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4FE50554-F21F-483E-9114-B1B8C4488D4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1. 소켓인수검사" sheetId="1" r:id="rId1"/>
    <sheet name="2.1 재단(1.69,064)" sheetId="2" r:id="rId2"/>
    <sheet name="3.1 절곡(HTG1.69)(브라켓,보강대,받침대)" sheetId="3" r:id="rId3"/>
    <sheet name="4. 차열재 소켓용 (수정)" sheetId="4" r:id="rId4"/>
    <sheet name="5. 차열재 출하용" sheetId="5" r:id="rId5"/>
    <sheet name="라벨소요량" sheetId="6" r:id="rId6"/>
    <sheet name="발주서정리" sheetId="7" r:id="rId7"/>
  </sheets>
  <definedNames>
    <definedName name="_xlnm.Print_Area" localSheetId="0">'1. 소켓인수검사'!$A$1:$G$16</definedName>
    <definedName name="_xlnm.Print_Area" localSheetId="2">'3.1 절곡(HTG1.69)(브라켓,보강대,받침대)'!$A$1:$AY$16</definedName>
    <definedName name="_xlnm.Print_Titles" localSheetId="0">'1. 소켓인수검사'!$6:$8</definedName>
    <definedName name="_xlnm.Print_Titles" localSheetId="1">'2.1 재단(1.69,064)'!$5:$7</definedName>
    <definedName name="_xlnm.Print_Titles" localSheetId="2">'3.1 절곡(HTG1.69)(브라켓,보강대,받침대)'!$1:$3</definedName>
    <definedName name="_xlnm.Print_Titles" localSheetId="3">'4. 차열재 소켓용 (수정)'!$1:$6</definedName>
    <definedName name="_xlnm.Print_Titles" localSheetId="4">'5. 차열재 출하용'!$8:$9</definedName>
    <definedName name="_xlnm.Print_Titles" localSheetId="5">라벨소요량!$5:$6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" i="6" l="1"/>
  <c r="X10" i="6"/>
  <c r="X11" i="6"/>
  <c r="X12" i="6"/>
  <c r="X13" i="6"/>
  <c r="X14" i="6"/>
  <c r="X8" i="6"/>
  <c r="X7" i="6"/>
  <c r="V9" i="6"/>
  <c r="V10" i="6"/>
  <c r="V11" i="6"/>
  <c r="V12" i="6"/>
  <c r="V13" i="6"/>
  <c r="V14" i="6"/>
  <c r="V8" i="6"/>
  <c r="V7" i="6"/>
  <c r="T7" i="6"/>
  <c r="T9" i="6"/>
  <c r="T10" i="6"/>
  <c r="T11" i="6"/>
  <c r="T12" i="6"/>
  <c r="T13" i="6"/>
  <c r="T14" i="6"/>
  <c r="T8" i="6"/>
  <c r="R9" i="6"/>
  <c r="R10" i="6"/>
  <c r="R11" i="6"/>
  <c r="R12" i="6"/>
  <c r="R13" i="6"/>
  <c r="R14" i="6"/>
  <c r="R8" i="6"/>
  <c r="R7" i="6"/>
  <c r="V16" i="3"/>
  <c r="J2" i="2"/>
  <c r="AA14" i="6" l="1"/>
  <c r="AA13" i="6"/>
  <c r="AA12" i="6"/>
  <c r="AA11" i="6"/>
  <c r="AA10" i="6"/>
  <c r="AA9" i="6"/>
  <c r="AA8" i="6"/>
  <c r="AA7" i="6"/>
  <c r="P15" i="6" l="1"/>
  <c r="N15" i="6"/>
  <c r="L15" i="6"/>
  <c r="J15" i="6"/>
  <c r="H15" i="6"/>
  <c r="K19" i="4"/>
  <c r="I19" i="4"/>
  <c r="AN16" i="3"/>
  <c r="AH16" i="3"/>
  <c r="P16" i="3"/>
  <c r="J16" i="3"/>
  <c r="J1" i="6"/>
  <c r="P5" i="5"/>
  <c r="M5" i="4"/>
  <c r="M1" i="3"/>
  <c r="D1" i="1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D14" i="6" l="1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  <c r="D10" i="6"/>
  <c r="C10" i="6"/>
  <c r="B10" i="6"/>
  <c r="A10" i="6"/>
  <c r="D9" i="6"/>
  <c r="C9" i="6"/>
  <c r="B9" i="6"/>
  <c r="A9" i="6"/>
  <c r="D8" i="6"/>
  <c r="C8" i="6"/>
  <c r="B8" i="6"/>
  <c r="A8" i="6"/>
  <c r="D7" i="6"/>
  <c r="C7" i="6"/>
  <c r="B7" i="6"/>
  <c r="A7" i="6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18" i="4"/>
  <c r="J18" i="4" s="1"/>
  <c r="C18" i="4"/>
  <c r="H18" i="4" s="1"/>
  <c r="B18" i="4"/>
  <c r="A18" i="4"/>
  <c r="D17" i="4"/>
  <c r="J17" i="4" s="1"/>
  <c r="C17" i="4"/>
  <c r="H17" i="4" s="1"/>
  <c r="B17" i="4"/>
  <c r="A17" i="4"/>
  <c r="D16" i="4"/>
  <c r="J16" i="4" s="1"/>
  <c r="C16" i="4"/>
  <c r="H16" i="4" s="1"/>
  <c r="B16" i="4"/>
  <c r="A16" i="4"/>
  <c r="D15" i="4"/>
  <c r="J15" i="4" s="1"/>
  <c r="C15" i="4"/>
  <c r="H15" i="4" s="1"/>
  <c r="B15" i="4"/>
  <c r="A15" i="4"/>
  <c r="D14" i="4"/>
  <c r="J14" i="4" s="1"/>
  <c r="C14" i="4"/>
  <c r="H14" i="4" s="1"/>
  <c r="B14" i="4"/>
  <c r="A14" i="4"/>
  <c r="D13" i="4"/>
  <c r="J13" i="4" s="1"/>
  <c r="C13" i="4"/>
  <c r="H13" i="4" s="1"/>
  <c r="B13" i="4"/>
  <c r="A13" i="4"/>
  <c r="D12" i="4"/>
  <c r="J12" i="4" s="1"/>
  <c r="C12" i="4"/>
  <c r="H12" i="4" s="1"/>
  <c r="B12" i="4"/>
  <c r="A12" i="4"/>
  <c r="D11" i="4"/>
  <c r="J11" i="4" s="1"/>
  <c r="C11" i="4"/>
  <c r="H11" i="4" s="1"/>
  <c r="B11" i="4"/>
  <c r="A11" i="4"/>
  <c r="AA15" i="3"/>
  <c r="Z15" i="3"/>
  <c r="D15" i="3"/>
  <c r="C15" i="3"/>
  <c r="A15" i="3"/>
  <c r="AA14" i="3"/>
  <c r="Z14" i="3"/>
  <c r="D14" i="3"/>
  <c r="C14" i="3"/>
  <c r="A14" i="3"/>
  <c r="AA13" i="3"/>
  <c r="Z13" i="3"/>
  <c r="D13" i="3"/>
  <c r="C13" i="3"/>
  <c r="A13" i="3"/>
  <c r="AA12" i="3"/>
  <c r="Z12" i="3"/>
  <c r="D12" i="3"/>
  <c r="C12" i="3"/>
  <c r="A12" i="3"/>
  <c r="AA11" i="3"/>
  <c r="Z11" i="3"/>
  <c r="D11" i="3"/>
  <c r="C11" i="3"/>
  <c r="A11" i="3"/>
  <c r="AA10" i="3"/>
  <c r="Z10" i="3"/>
  <c r="D10" i="3"/>
  <c r="C10" i="3"/>
  <c r="A10" i="3"/>
  <c r="AA9" i="3"/>
  <c r="Z9" i="3"/>
  <c r="D9" i="3"/>
  <c r="C9" i="3"/>
  <c r="A9" i="3"/>
  <c r="AA8" i="3"/>
  <c r="Z8" i="3"/>
  <c r="O8" i="3"/>
  <c r="N8" i="3"/>
  <c r="D8" i="3"/>
  <c r="C8" i="3"/>
  <c r="A8" i="3"/>
  <c r="H15" i="2"/>
  <c r="D15" i="2"/>
  <c r="N15" i="2" s="1"/>
  <c r="C15" i="2"/>
  <c r="A15" i="2"/>
  <c r="H14" i="2"/>
  <c r="D14" i="2"/>
  <c r="N14" i="2" s="1"/>
  <c r="C14" i="2"/>
  <c r="A14" i="2"/>
  <c r="H13" i="2"/>
  <c r="D13" i="2"/>
  <c r="C13" i="2"/>
  <c r="A13" i="2"/>
  <c r="H12" i="2"/>
  <c r="D12" i="2"/>
  <c r="C12" i="2"/>
  <c r="A12" i="2"/>
  <c r="H11" i="2"/>
  <c r="D11" i="2"/>
  <c r="N11" i="2" s="1"/>
  <c r="C11" i="2"/>
  <c r="A11" i="2"/>
  <c r="H10" i="2"/>
  <c r="D10" i="2"/>
  <c r="N10" i="2" s="1"/>
  <c r="C10" i="2"/>
  <c r="A10" i="2"/>
  <c r="H9" i="2"/>
  <c r="D9" i="2"/>
  <c r="N9" i="2" s="1"/>
  <c r="C9" i="2"/>
  <c r="A9" i="2"/>
  <c r="H8" i="2"/>
  <c r="F8" i="2"/>
  <c r="D8" i="2"/>
  <c r="N8" i="2" s="1"/>
  <c r="C8" i="2"/>
  <c r="AB8" i="2" s="1"/>
  <c r="A8" i="2"/>
  <c r="Y11" i="3" l="1"/>
  <c r="S11" i="3"/>
  <c r="Y15" i="3"/>
  <c r="S15" i="3"/>
  <c r="AC12" i="2"/>
  <c r="N12" i="2"/>
  <c r="AC13" i="2"/>
  <c r="N13" i="2"/>
  <c r="Y12" i="3"/>
  <c r="S12" i="3"/>
  <c r="Y9" i="3"/>
  <c r="S9" i="3"/>
  <c r="Y13" i="3"/>
  <c r="S13" i="3"/>
  <c r="Y8" i="3"/>
  <c r="S8" i="3"/>
  <c r="Y10" i="3"/>
  <c r="S10" i="3"/>
  <c r="Y14" i="3"/>
  <c r="S14" i="3"/>
  <c r="AB16" i="3"/>
  <c r="AH8" i="2"/>
  <c r="AI8" i="2" s="1"/>
  <c r="AJ8" i="2" s="1"/>
  <c r="AK8" i="2" s="1"/>
  <c r="T8" i="2" s="1"/>
  <c r="AC8" i="2"/>
  <c r="AD8" i="2" s="1"/>
  <c r="AE8" i="2" s="1"/>
  <c r="AF8" i="2" s="1"/>
  <c r="AG8" i="2" s="1"/>
  <c r="Z8" i="2" s="1"/>
  <c r="AC9" i="2"/>
  <c r="G13" i="2"/>
  <c r="AB13" i="2"/>
  <c r="G11" i="2"/>
  <c r="AB11" i="2"/>
  <c r="G14" i="2"/>
  <c r="AB14" i="2"/>
  <c r="AC15" i="2"/>
  <c r="G10" i="2"/>
  <c r="AB10" i="2"/>
  <c r="AC10" i="2"/>
  <c r="AC14" i="2"/>
  <c r="AC11" i="2"/>
  <c r="G9" i="2"/>
  <c r="AB9" i="2"/>
  <c r="G12" i="2"/>
  <c r="AB12" i="2"/>
  <c r="G15" i="2"/>
  <c r="AB15" i="2"/>
  <c r="G8" i="2"/>
  <c r="I12" i="3"/>
  <c r="M12" i="3"/>
  <c r="M8" i="3"/>
  <c r="I8" i="3"/>
  <c r="M10" i="3"/>
  <c r="I10" i="3"/>
  <c r="M14" i="3"/>
  <c r="I14" i="3"/>
  <c r="M11" i="3"/>
  <c r="I11" i="3"/>
  <c r="M15" i="3"/>
  <c r="I15" i="3"/>
  <c r="M9" i="3"/>
  <c r="I9" i="3"/>
  <c r="M13" i="3"/>
  <c r="I13" i="3"/>
  <c r="F8" i="6"/>
  <c r="F10" i="5"/>
  <c r="G10" i="5" s="1"/>
  <c r="I10" i="5" s="1"/>
  <c r="F14" i="5"/>
  <c r="G14" i="5" s="1"/>
  <c r="I14" i="5" s="1"/>
  <c r="F15" i="5"/>
  <c r="E16" i="5"/>
  <c r="E17" i="5"/>
  <c r="F16" i="5"/>
  <c r="G9" i="6"/>
  <c r="I9" i="6" s="1"/>
  <c r="O9" i="6" s="1"/>
  <c r="G8" i="6"/>
  <c r="I8" i="6" s="1"/>
  <c r="O8" i="6" s="1"/>
  <c r="F14" i="6"/>
  <c r="G14" i="6"/>
  <c r="I14" i="6" s="1"/>
  <c r="O14" i="6" s="1"/>
  <c r="F11" i="5"/>
  <c r="E11" i="5"/>
  <c r="E10" i="5"/>
  <c r="E12" i="5"/>
  <c r="E13" i="5"/>
  <c r="E14" i="5"/>
  <c r="G13" i="6"/>
  <c r="I13" i="6" s="1"/>
  <c r="O13" i="6" s="1"/>
  <c r="F17" i="5"/>
  <c r="F7" i="6"/>
  <c r="G11" i="6"/>
  <c r="I11" i="6" s="1"/>
  <c r="O11" i="6" s="1"/>
  <c r="F11" i="6"/>
  <c r="F10" i="6"/>
  <c r="G10" i="6"/>
  <c r="I10" i="6" s="1"/>
  <c r="O10" i="6" s="1"/>
  <c r="F13" i="5"/>
  <c r="E15" i="5"/>
  <c r="F12" i="6"/>
  <c r="G12" i="6"/>
  <c r="I12" i="6" s="1"/>
  <c r="O12" i="6" s="1"/>
  <c r="F13" i="6"/>
  <c r="F12" i="5"/>
  <c r="G7" i="6"/>
  <c r="F9" i="6"/>
  <c r="N10" i="5" l="1"/>
  <c r="U7" i="6"/>
  <c r="AS8" i="3"/>
  <c r="W7" i="6"/>
  <c r="S7" i="6"/>
  <c r="Q7" i="6"/>
  <c r="AY8" i="3"/>
  <c r="AD9" i="2"/>
  <c r="AE9" i="2" s="1"/>
  <c r="AF9" i="2" s="1"/>
  <c r="AG9" i="2" s="1"/>
  <c r="Z9" i="2" s="1"/>
  <c r="AD15" i="2"/>
  <c r="AE15" i="2" s="1"/>
  <c r="AF15" i="2" s="1"/>
  <c r="AG15" i="2" s="1"/>
  <c r="Z15" i="2" s="1"/>
  <c r="AD11" i="2"/>
  <c r="AE11" i="2" s="1"/>
  <c r="AF11" i="2" s="1"/>
  <c r="AG11" i="2" s="1"/>
  <c r="Z11" i="2" s="1"/>
  <c r="AD10" i="2"/>
  <c r="AE10" i="2" s="1"/>
  <c r="AF10" i="2" s="1"/>
  <c r="AG10" i="2" s="1"/>
  <c r="Z10" i="2" s="1"/>
  <c r="AH11" i="2"/>
  <c r="AI11" i="2" s="1"/>
  <c r="AJ11" i="2" s="1"/>
  <c r="AK11" i="2" s="1"/>
  <c r="T11" i="2" s="1"/>
  <c r="AD14" i="2"/>
  <c r="AE14" i="2" s="1"/>
  <c r="AF14" i="2" s="1"/>
  <c r="AG14" i="2" s="1"/>
  <c r="Z14" i="2" s="1"/>
  <c r="AH12" i="2"/>
  <c r="AI12" i="2" s="1"/>
  <c r="AJ12" i="2" s="1"/>
  <c r="AK12" i="2" s="1"/>
  <c r="T12" i="2" s="1"/>
  <c r="AD12" i="2"/>
  <c r="AE12" i="2" s="1"/>
  <c r="AF12" i="2" s="1"/>
  <c r="AG12" i="2" s="1"/>
  <c r="Z12" i="2" s="1"/>
  <c r="AH15" i="2"/>
  <c r="AI15" i="2" s="1"/>
  <c r="AJ15" i="2" s="1"/>
  <c r="AK15" i="2" s="1"/>
  <c r="T15" i="2" s="1"/>
  <c r="AH14" i="2"/>
  <c r="AI14" i="2" s="1"/>
  <c r="AJ14" i="2" s="1"/>
  <c r="AK14" i="2" s="1"/>
  <c r="T14" i="2" s="1"/>
  <c r="AH10" i="2"/>
  <c r="AI10" i="2" s="1"/>
  <c r="AJ10" i="2" s="1"/>
  <c r="AK10" i="2" s="1"/>
  <c r="T10" i="2" s="1"/>
  <c r="AH9" i="2"/>
  <c r="AI9" i="2" s="1"/>
  <c r="AJ9" i="2" s="1"/>
  <c r="AK9" i="2" s="1"/>
  <c r="T9" i="2" s="1"/>
  <c r="AH13" i="2"/>
  <c r="AI13" i="2" s="1"/>
  <c r="AJ13" i="2" s="1"/>
  <c r="AK13" i="2" s="1"/>
  <c r="T13" i="2" s="1"/>
  <c r="AD13" i="2"/>
  <c r="AE13" i="2" s="1"/>
  <c r="AF13" i="2" s="1"/>
  <c r="AG13" i="2" s="1"/>
  <c r="Z13" i="2" s="1"/>
  <c r="G11" i="5"/>
  <c r="I11" i="5" s="1"/>
  <c r="L18" i="5"/>
  <c r="S15" i="5"/>
  <c r="U15" i="5" s="1"/>
  <c r="S14" i="5"/>
  <c r="U14" i="5" s="1"/>
  <c r="S17" i="5"/>
  <c r="U17" i="5" s="1"/>
  <c r="S16" i="5"/>
  <c r="U16" i="5" s="1"/>
  <c r="S10" i="5"/>
  <c r="U10" i="5" s="1"/>
  <c r="G15" i="5"/>
  <c r="I15" i="5" s="1"/>
  <c r="G16" i="5"/>
  <c r="I16" i="5" s="1"/>
  <c r="G17" i="5"/>
  <c r="I17" i="5" s="1"/>
  <c r="S11" i="5"/>
  <c r="U11" i="5" s="1"/>
  <c r="I7" i="6"/>
  <c r="O7" i="6"/>
  <c r="G12" i="5"/>
  <c r="I12" i="5" s="1"/>
  <c r="S12" i="5"/>
  <c r="U12" i="5" s="1"/>
  <c r="S13" i="5"/>
  <c r="U13" i="5" s="1"/>
  <c r="G13" i="5"/>
  <c r="I13" i="5" s="1"/>
  <c r="Z16" i="2" l="1"/>
  <c r="T16" i="2"/>
  <c r="U10" i="6"/>
  <c r="N13" i="5"/>
  <c r="W10" i="6"/>
  <c r="AS11" i="3"/>
  <c r="AY10" i="3"/>
  <c r="S9" i="6"/>
  <c r="Q9" i="6"/>
  <c r="S14" i="6"/>
  <c r="Q14" i="6"/>
  <c r="AY15" i="3"/>
  <c r="U8" i="6"/>
  <c r="N11" i="5"/>
  <c r="AS9" i="3"/>
  <c r="W8" i="6"/>
  <c r="S13" i="6"/>
  <c r="AY14" i="3"/>
  <c r="Q13" i="6"/>
  <c r="U12" i="6"/>
  <c r="AS13" i="3"/>
  <c r="N15" i="5"/>
  <c r="W12" i="6"/>
  <c r="S12" i="6"/>
  <c r="AY13" i="3"/>
  <c r="Q12" i="6"/>
  <c r="W13" i="6"/>
  <c r="U13" i="6"/>
  <c r="AS14" i="3"/>
  <c r="N16" i="5"/>
  <c r="N12" i="5"/>
  <c r="U9" i="6"/>
  <c r="W9" i="6"/>
  <c r="AS10" i="3"/>
  <c r="AS15" i="3"/>
  <c r="N17" i="5"/>
  <c r="U14" i="6"/>
  <c r="W14" i="6"/>
  <c r="Q8" i="6"/>
  <c r="AY9" i="3"/>
  <c r="S8" i="6"/>
  <c r="Q11" i="6"/>
  <c r="AY12" i="3"/>
  <c r="S11" i="6"/>
  <c r="W11" i="6"/>
  <c r="U11" i="6"/>
  <c r="AS12" i="3"/>
  <c r="N14" i="5"/>
  <c r="Q10" i="6"/>
  <c r="AY11" i="3"/>
  <c r="S10" i="6"/>
  <c r="I18" i="5"/>
  <c r="G19" i="5" s="1"/>
  <c r="R18" i="5"/>
  <c r="G21" i="5" s="1"/>
  <c r="U18" i="5"/>
  <c r="G22" i="5" s="1"/>
  <c r="G20" i="5"/>
  <c r="N18" i="5" l="1"/>
  <c r="AY16" i="3"/>
  <c r="V15" i="6"/>
  <c r="R15" i="6"/>
  <c r="T15" i="6"/>
  <c r="AS16" i="3"/>
  <c r="X15" i="6"/>
</calcChain>
</file>

<file path=xl/sharedStrings.xml><?xml version="1.0" encoding="utf-8"?>
<sst xmlns="http://schemas.openxmlformats.org/spreadsheetml/2006/main" count="279" uniqueCount="123">
  <si>
    <t>차열시트</t>
  </si>
  <si>
    <t>HTG-064</t>
  </si>
  <si>
    <t>수량</t>
  </si>
  <si>
    <t>차열재</t>
  </si>
  <si>
    <t>No</t>
  </si>
  <si>
    <t>비고</t>
  </si>
  <si>
    <t>특이사항 및
   조치사항</t>
  </si>
  <si>
    <t>특이사항 및   조치사항</t>
  </si>
  <si>
    <t>차열재생산일지(출하용)</t>
  </si>
  <si>
    <t>업체</t>
  </si>
  <si>
    <t>4T</t>
  </si>
  <si>
    <t>상하1</t>
  </si>
  <si>
    <t>d</t>
  </si>
  <si>
    <t>보강대</t>
  </si>
  <si>
    <t>상하2</t>
  </si>
  <si>
    <t>25*
1400</t>
  </si>
  <si>
    <t>세로</t>
  </si>
  <si>
    <t>산출량</t>
  </si>
  <si>
    <t>TTL</t>
  </si>
  <si>
    <t>상하</t>
  </si>
  <si>
    <t>폭</t>
  </si>
  <si>
    <t>둘레</t>
  </si>
  <si>
    <t>품명</t>
  </si>
  <si>
    <t>작업자</t>
  </si>
  <si>
    <t>좌우</t>
  </si>
  <si>
    <t>합계</t>
  </si>
  <si>
    <t>규격</t>
  </si>
  <si>
    <t>No.</t>
  </si>
  <si>
    <t>가로</t>
  </si>
  <si>
    <t>면적</t>
  </si>
  <si>
    <t>총량</t>
  </si>
  <si>
    <t>두께</t>
  </si>
  <si>
    <t>구조</t>
  </si>
  <si>
    <t>25*1400</t>
  </si>
  <si>
    <t xml:space="preserve">업 체 </t>
  </si>
  <si>
    <t>생산 종료</t>
  </si>
  <si>
    <t>수량(EA)</t>
  </si>
  <si>
    <t>방화
소켓</t>
  </si>
  <si>
    <t>생산 시작</t>
  </si>
  <si>
    <t>수량
(EA)</t>
  </si>
  <si>
    <t>인정번호</t>
  </si>
  <si>
    <t>생산일자</t>
  </si>
  <si>
    <t>50*600</t>
  </si>
  <si>
    <t>소켓 Lot</t>
  </si>
  <si>
    <t>설치위치</t>
  </si>
  <si>
    <t>재고여부</t>
  </si>
  <si>
    <t>평철(mm)</t>
  </si>
  <si>
    <t>설비번호</t>
  </si>
  <si>
    <t>소켓내부용</t>
  </si>
  <si>
    <t>50*
600</t>
  </si>
  <si>
    <t>차열재(50*600*3.6M)</t>
  </si>
  <si>
    <t>차열재(38*600*4.8M)</t>
  </si>
  <si>
    <t>그라스울(25*1000*20M)</t>
  </si>
  <si>
    <t>그라스울(25*1400*20M)</t>
  </si>
  <si>
    <t>차열재(96K)
(틈새복합시트용)</t>
  </si>
  <si>
    <t>*VM 200(1000*1000)기준</t>
  </si>
  <si>
    <t>LOT NO</t>
  </si>
  <si>
    <t>틈새강판(Z형)</t>
  </si>
  <si>
    <t>플래싱시트(Z형)</t>
  </si>
  <si>
    <t>플래싱(Z형 강판)</t>
  </si>
  <si>
    <t>25*
1000</t>
  </si>
  <si>
    <t>※ 상하 : [상(3장)+하(3장)] * 소켓(2개) = 12개
※ 받침대 : [2장/대] * 4곳 * 소켓(2개) = 16개
* 4T*255* 55M</t>
  </si>
  <si>
    <t>FS-MP25-0910-05</t>
  </si>
  <si>
    <t>차열재(96K) : 단열용</t>
  </si>
  <si>
    <t>차열재(소켓용)(25T*300)(96K)</t>
  </si>
  <si>
    <t>25*200</t>
  </si>
  <si>
    <t>25*1000</t>
  </si>
  <si>
    <t>받침대1</t>
  </si>
  <si>
    <t>0.5T</t>
  </si>
  <si>
    <t>1.6T</t>
  </si>
  <si>
    <t>Lot No</t>
  </si>
  <si>
    <t>틈새복합시트용</t>
  </si>
  <si>
    <t>Z형 플래싱용</t>
  </si>
  <si>
    <t>받침대2</t>
  </si>
  <si>
    <t>틈새복합시트</t>
  </si>
  <si>
    <t>플래싱(Z형)</t>
  </si>
  <si>
    <t>그라스울</t>
  </si>
  <si>
    <t>38*600</t>
  </si>
  <si>
    <t>38*
600</t>
  </si>
  <si>
    <t>0.6T</t>
  </si>
  <si>
    <t>분할</t>
    <phoneticPr fontId="33" type="noConversion"/>
  </si>
  <si>
    <t>재단작업지시서</t>
    <phoneticPr fontId="33" type="noConversion"/>
  </si>
  <si>
    <t>절곡작업지시서</t>
    <phoneticPr fontId="33" type="noConversion"/>
  </si>
  <si>
    <t>차열재 생산일지(소켓외부용)</t>
    <phoneticPr fontId="33" type="noConversion"/>
  </si>
  <si>
    <t>라벨소요량(웰스홈_국립한국문학관(입상)_251203 )</t>
    <phoneticPr fontId="33" type="noConversion"/>
  </si>
  <si>
    <t>라벨소요량</t>
    <phoneticPr fontId="33" type="noConversion"/>
  </si>
  <si>
    <t>소요량</t>
    <phoneticPr fontId="33" type="noConversion"/>
  </si>
  <si>
    <t>EZ F.B POSMAC Duct-HTG-064</t>
    <phoneticPr fontId="33" type="noConversion"/>
  </si>
  <si>
    <t>구조체작업지시서</t>
    <phoneticPr fontId="33" type="noConversion"/>
  </si>
  <si>
    <t>개구부W</t>
  </si>
  <si>
    <t>개구부H</t>
  </si>
  <si>
    <t>Z둘레</t>
  </si>
  <si>
    <t>Z이론</t>
  </si>
  <si>
    <t>Z×로스</t>
  </si>
  <si>
    <t>Z올림</t>
  </si>
  <si>
    <t>H둘레</t>
  </si>
  <si>
    <t>H이론</t>
  </si>
  <si>
    <t>H×로스</t>
  </si>
  <si>
    <t>H올림</t>
  </si>
  <si>
    <t>틈새</t>
    <phoneticPr fontId="33" type="noConversion"/>
  </si>
  <si>
    <t>z형</t>
    <phoneticPr fontId="33" type="noConversion"/>
  </si>
  <si>
    <t>01</t>
    <phoneticPr fontId="33" type="noConversion"/>
  </si>
  <si>
    <t>02</t>
  </si>
  <si>
    <t>03</t>
  </si>
  <si>
    <t>04</t>
  </si>
  <si>
    <t>05</t>
  </si>
  <si>
    <t>06</t>
  </si>
  <si>
    <t>07</t>
  </si>
  <si>
    <t>08</t>
  </si>
  <si>
    <t>좌우</t>
    <phoneticPr fontId="33" type="noConversion"/>
  </si>
  <si>
    <t>규격</t>
    <phoneticPr fontId="33" type="noConversion"/>
  </si>
  <si>
    <t>상하(4T)</t>
    <phoneticPr fontId="33" type="noConversion"/>
  </si>
  <si>
    <t>받침대(4T)</t>
    <phoneticPr fontId="33" type="noConversion"/>
  </si>
  <si>
    <t>좌우(4T)</t>
    <phoneticPr fontId="33" type="noConversion"/>
  </si>
  <si>
    <t>26.06.23 이신이엔지_진성방재_포스코이앤씨_속초더샾프라임뷰</t>
    <phoneticPr fontId="33" type="noConversion"/>
  </si>
  <si>
    <t>AX039</t>
    <phoneticPr fontId="33" type="noConversion"/>
  </si>
  <si>
    <t>AX040</t>
  </si>
  <si>
    <t>AX041</t>
  </si>
  <si>
    <t>AX042</t>
  </si>
  <si>
    <t>AX043</t>
  </si>
  <si>
    <t>AX044</t>
  </si>
  <si>
    <t>AX045</t>
  </si>
  <si>
    <t>AX046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</si>
</sst>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 &quot;* #,##0&quot; &quot;;&quot;-&quot;* #,##0&quot; &quot;;&quot; &quot;* &quot;- &quot;;&quot; &quot;@&quot; &quot;"/>
    <numFmt numFmtId="177" formatCode="0_);[Red]\(0\)"/>
  </numFmts>
  <fonts count="39">
    <font>
      <sz val="11"/>
      <color rgb="FF000000"/>
      <name val="맑은 고딕"/>
    </font>
    <font>
      <sz val="10"/>
      <color rgb="FF000000"/>
      <name val="Helvetica Neue"/>
    </font>
    <font>
      <sz val="10"/>
      <color rgb="FF000000"/>
      <name val="맑은 고딕"/>
      <family val="3"/>
      <charset val="129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2060"/>
      <name val="Helvetica Neue"/>
    </font>
    <font>
      <sz val="11"/>
      <color rgb="FF000000"/>
      <name val="Helvetica Neue"/>
    </font>
    <font>
      <b/>
      <sz val="11"/>
      <color rgb="FF002060"/>
      <name val="Helvetica Neue"/>
    </font>
    <font>
      <b/>
      <sz val="11"/>
      <color rgb="FF00206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2060"/>
      <name val="Helvetica Neue"/>
    </font>
    <font>
      <sz val="9"/>
      <color rgb="FF000000"/>
      <name val="Helvetica Neue"/>
    </font>
    <font>
      <b/>
      <sz val="11"/>
      <color rgb="FF00B050"/>
      <name val="맑은 고딕"/>
      <family val="3"/>
      <charset val="129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7030A0"/>
      <name val="맑은 고딕"/>
      <family val="3"/>
      <charset val="129"/>
    </font>
    <font>
      <sz val="20"/>
      <color rgb="FF000000"/>
      <name val="맑은 고딕"/>
      <family val="3"/>
      <charset val="129"/>
    </font>
    <font>
      <b/>
      <sz val="11"/>
      <color rgb="FF548235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4"/>
      <color rgb="FF4472C4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70C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8"/>
      <color rgb="FF000000"/>
      <name val="Helvetica Neue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Helvetica Neue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medium">
        <color auto="1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0" fontId="32" fillId="0" borderId="0">
      <alignment vertical="center"/>
    </xf>
    <xf numFmtId="176" fontId="32" fillId="0" borderId="0">
      <alignment vertical="center"/>
    </xf>
    <xf numFmtId="0" fontId="1" fillId="0" borderId="0">
      <alignment vertical="center"/>
    </xf>
  </cellStyleXfs>
  <cellXfs count="3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2" fillId="0" borderId="0" xfId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3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3" fillId="2" borderId="0" xfId="3" applyFont="1" applyFill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5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176" fontId="32" fillId="0" borderId="4" xfId="2" applyBorder="1" applyAlignment="1">
      <alignment horizontal="center" vertical="center"/>
    </xf>
    <xf numFmtId="176" fontId="32" fillId="0" borderId="5" xfId="2" applyBorder="1" applyAlignment="1">
      <alignment horizontal="center" vertical="center"/>
    </xf>
    <xf numFmtId="176" fontId="32" fillId="0" borderId="6" xfId="2" applyBorder="1" applyAlignment="1">
      <alignment horizontal="center" vertical="center"/>
    </xf>
    <xf numFmtId="176" fontId="32" fillId="0" borderId="7" xfId="2" applyBorder="1" applyAlignment="1">
      <alignment horizontal="center" vertical="center"/>
    </xf>
    <xf numFmtId="0" fontId="3" fillId="0" borderId="8" xfId="3" applyFont="1" applyBorder="1" applyAlignment="1">
      <alignment horizontal="center" vertical="center" wrapText="1"/>
    </xf>
    <xf numFmtId="176" fontId="32" fillId="0" borderId="9" xfId="2" applyBorder="1" applyAlignment="1">
      <alignment horizontal="center" vertical="center"/>
    </xf>
    <xf numFmtId="0" fontId="1" fillId="0" borderId="8" xfId="3" applyBorder="1">
      <alignment vertical="center"/>
    </xf>
    <xf numFmtId="0" fontId="1" fillId="0" borderId="8" xfId="3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32" fillId="0" borderId="10" xfId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32" fillId="0" borderId="16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6" fillId="5" borderId="3" xfId="3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9" fillId="0" borderId="18" xfId="1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32" fillId="0" borderId="20" xfId="1" applyBorder="1" applyAlignment="1">
      <alignment horizontal="center" vertical="center" wrapText="1"/>
    </xf>
    <xf numFmtId="0" fontId="7" fillId="0" borderId="20" xfId="3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32" fillId="0" borderId="21" xfId="1" applyBorder="1">
      <alignment vertical="center"/>
    </xf>
    <xf numFmtId="0" fontId="13" fillId="0" borderId="20" xfId="3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/>
    </xf>
    <xf numFmtId="0" fontId="14" fillId="5" borderId="18" xfId="3" applyFont="1" applyFill="1" applyBorder="1" applyAlignment="1">
      <alignment horizontal="center" vertical="center" wrapText="1"/>
    </xf>
    <xf numFmtId="0" fontId="14" fillId="5" borderId="20" xfId="3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 wrapText="1"/>
    </xf>
    <xf numFmtId="0" fontId="9" fillId="7" borderId="23" xfId="0" applyFont="1" applyFill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7" borderId="20" xfId="1" applyFont="1" applyFill="1" applyBorder="1" applyAlignment="1">
      <alignment horizontal="center" vertical="center" wrapText="1"/>
    </xf>
    <xf numFmtId="0" fontId="0" fillId="0" borderId="19" xfId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wrapText="1"/>
    </xf>
    <xf numFmtId="0" fontId="19" fillId="0" borderId="20" xfId="1" applyFont="1" applyBorder="1" applyAlignment="1">
      <alignment horizontal="center" vertical="center" wrapText="1"/>
    </xf>
    <xf numFmtId="0" fontId="19" fillId="7" borderId="20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20" fillId="0" borderId="20" xfId="1" applyFont="1" applyBorder="1" applyAlignment="1">
      <alignment horizontal="center" vertical="center" shrinkToFit="1"/>
    </xf>
    <xf numFmtId="0" fontId="21" fillId="0" borderId="20" xfId="1" applyFont="1" applyBorder="1" applyAlignment="1">
      <alignment horizontal="center" vertical="center" shrinkToFit="1"/>
    </xf>
    <xf numFmtId="0" fontId="2" fillId="0" borderId="23" xfId="1" applyFont="1" applyBorder="1" applyAlignment="1">
      <alignment horizontal="center" vertical="center" shrinkToFit="1"/>
    </xf>
    <xf numFmtId="0" fontId="2" fillId="0" borderId="21" xfId="1" applyFont="1" applyBorder="1" applyAlignment="1">
      <alignment horizontal="center" vertical="center" wrapText="1"/>
    </xf>
    <xf numFmtId="0" fontId="2" fillId="0" borderId="21" xfId="1" applyFont="1" applyBorder="1" applyAlignment="1">
      <alignment vertical="center" wrapText="1"/>
    </xf>
    <xf numFmtId="0" fontId="10" fillId="0" borderId="21" xfId="1" applyFont="1" applyBorder="1" applyAlignment="1">
      <alignment horizontal="center" vertical="center" wrapText="1"/>
    </xf>
    <xf numFmtId="0" fontId="32" fillId="0" borderId="24" xfId="1" applyBorder="1">
      <alignment vertical="center"/>
    </xf>
    <xf numFmtId="0" fontId="7" fillId="11" borderId="20" xfId="3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0" fillId="3" borderId="20" xfId="1" applyFont="1" applyFill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 wrapText="1"/>
    </xf>
    <xf numFmtId="0" fontId="9" fillId="0" borderId="20" xfId="1" applyFont="1" applyBorder="1">
      <alignment vertical="center"/>
    </xf>
    <xf numFmtId="0" fontId="0" fillId="2" borderId="20" xfId="0" applyFill="1" applyBorder="1" applyAlignment="1">
      <alignment vertical="center" wrapText="1"/>
    </xf>
    <xf numFmtId="0" fontId="0" fillId="6" borderId="21" xfId="0" applyFill="1" applyBorder="1" applyAlignment="1">
      <alignment horizontal="center" vertical="center" wrapText="1"/>
    </xf>
    <xf numFmtId="0" fontId="9" fillId="8" borderId="21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1" fillId="0" borderId="8" xfId="3" applyBorder="1" applyAlignment="1">
      <alignment vertical="top" wrapText="1"/>
    </xf>
    <xf numFmtId="0" fontId="23" fillId="0" borderId="25" xfId="0" applyFont="1" applyBorder="1">
      <alignment vertical="center"/>
    </xf>
    <xf numFmtId="0" fontId="23" fillId="0" borderId="67" xfId="0" applyFont="1" applyBorder="1">
      <alignment vertical="center"/>
    </xf>
    <xf numFmtId="0" fontId="23" fillId="0" borderId="59" xfId="0" applyFont="1" applyBorder="1">
      <alignment vertical="center"/>
    </xf>
    <xf numFmtId="0" fontId="23" fillId="0" borderId="60" xfId="0" applyFont="1" applyBorder="1">
      <alignment vertical="center"/>
    </xf>
    <xf numFmtId="0" fontId="23" fillId="0" borderId="71" xfId="0" applyFont="1" applyBorder="1">
      <alignment vertical="center"/>
    </xf>
    <xf numFmtId="0" fontId="11" fillId="0" borderId="74" xfId="1" applyFont="1" applyBorder="1" applyAlignment="1">
      <alignment horizontal="center" vertical="center"/>
    </xf>
    <xf numFmtId="0" fontId="11" fillId="0" borderId="78" xfId="1" applyFont="1" applyBorder="1" applyAlignment="1">
      <alignment horizontal="center" vertical="center"/>
    </xf>
    <xf numFmtId="0" fontId="4" fillId="0" borderId="25" xfId="1" applyFont="1" applyBorder="1">
      <alignment vertical="center"/>
    </xf>
    <xf numFmtId="0" fontId="4" fillId="0" borderId="67" xfId="1" applyFont="1" applyBorder="1">
      <alignment vertical="center"/>
    </xf>
    <xf numFmtId="0" fontId="4" fillId="0" borderId="71" xfId="1" applyFont="1" applyBorder="1">
      <alignment vertical="center"/>
    </xf>
    <xf numFmtId="0" fontId="2" fillId="0" borderId="0" xfId="3" applyFont="1">
      <alignment vertical="center"/>
    </xf>
    <xf numFmtId="0" fontId="10" fillId="8" borderId="21" xfId="1" applyFont="1" applyFill="1" applyBorder="1" applyAlignment="1">
      <alignment horizontal="center" vertical="center" wrapText="1"/>
    </xf>
    <xf numFmtId="0" fontId="1" fillId="0" borderId="2" xfId="3" quotePrefix="1" applyBorder="1" applyAlignment="1">
      <alignment horizontal="center" vertical="center" wrapText="1"/>
    </xf>
    <xf numFmtId="2" fontId="0" fillId="0" borderId="0" xfId="0" applyNumberFormat="1">
      <alignment vertical="center"/>
    </xf>
    <xf numFmtId="0" fontId="0" fillId="7" borderId="0" xfId="0" applyFill="1">
      <alignment vertical="center"/>
    </xf>
    <xf numFmtId="0" fontId="9" fillId="7" borderId="0" xfId="0" applyFont="1" applyFill="1">
      <alignment vertical="center"/>
    </xf>
    <xf numFmtId="0" fontId="9" fillId="12" borderId="0" xfId="0" applyFont="1" applyFill="1">
      <alignment vertical="center"/>
    </xf>
    <xf numFmtId="0" fontId="0" fillId="12" borderId="0" xfId="0" applyFill="1">
      <alignment vertical="center"/>
    </xf>
    <xf numFmtId="0" fontId="12" fillId="0" borderId="20" xfId="1" applyFont="1" applyBorder="1" applyAlignment="1">
      <alignment vertical="center" wrapText="1"/>
    </xf>
    <xf numFmtId="0" fontId="32" fillId="4" borderId="20" xfId="1" applyFill="1" applyBorder="1" applyAlignment="1">
      <alignment horizontal="center" vertical="center"/>
    </xf>
    <xf numFmtId="0" fontId="2" fillId="4" borderId="20" xfId="1" applyFont="1" applyFill="1" applyBorder="1" applyAlignment="1">
      <alignment horizontal="center" vertical="center" wrapText="1"/>
    </xf>
    <xf numFmtId="0" fontId="2" fillId="4" borderId="20" xfId="1" applyFont="1" applyFill="1" applyBorder="1" applyAlignment="1">
      <alignment vertical="center" wrapText="1"/>
    </xf>
    <xf numFmtId="0" fontId="0" fillId="0" borderId="20" xfId="0" applyBorder="1" applyAlignment="1">
      <alignment horizontal="center" vertical="center"/>
    </xf>
    <xf numFmtId="0" fontId="32" fillId="0" borderId="20" xfId="1" applyBorder="1" applyAlignment="1">
      <alignment vertical="center" wrapText="1"/>
    </xf>
    <xf numFmtId="0" fontId="34" fillId="0" borderId="20" xfId="1" applyFont="1" applyBorder="1" applyAlignment="1">
      <alignment vertical="center" wrapText="1"/>
    </xf>
    <xf numFmtId="0" fontId="25" fillId="0" borderId="20" xfId="1" applyFont="1" applyBorder="1" applyAlignment="1">
      <alignment vertical="center" wrapText="1"/>
    </xf>
    <xf numFmtId="176" fontId="32" fillId="0" borderId="20" xfId="1" applyNumberFormat="1" applyBorder="1" applyAlignment="1">
      <alignment horizontal="center" vertical="center" wrapText="1"/>
    </xf>
    <xf numFmtId="0" fontId="22" fillId="7" borderId="20" xfId="0" applyFont="1" applyFill="1" applyBorder="1" applyAlignment="1">
      <alignment vertical="center" wrapText="1"/>
    </xf>
    <xf numFmtId="0" fontId="2" fillId="0" borderId="33" xfId="1" applyFont="1" applyBorder="1" applyAlignment="1">
      <alignment vertical="center" wrapText="1"/>
    </xf>
    <xf numFmtId="0" fontId="4" fillId="0" borderId="58" xfId="3" applyFont="1" applyBorder="1" applyAlignment="1">
      <alignment horizontal="center" vertical="center" wrapText="1"/>
    </xf>
    <xf numFmtId="0" fontId="36" fillId="0" borderId="59" xfId="3" applyFont="1" applyBorder="1" applyAlignment="1">
      <alignment horizontal="center" vertical="center" wrapText="1"/>
    </xf>
    <xf numFmtId="0" fontId="36" fillId="0" borderId="61" xfId="3" applyFont="1" applyBorder="1" applyAlignment="1">
      <alignment horizontal="center" vertical="center" wrapText="1"/>
    </xf>
    <xf numFmtId="0" fontId="36" fillId="0" borderId="0" xfId="3" applyFont="1" applyAlignment="1">
      <alignment horizontal="center" vertical="center" wrapText="1"/>
    </xf>
    <xf numFmtId="0" fontId="36" fillId="0" borderId="63" xfId="3" applyFont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8" fillId="0" borderId="59" xfId="3" applyFont="1" applyBorder="1" applyAlignment="1">
      <alignment horizontal="center" vertical="center" wrapText="1"/>
    </xf>
    <xf numFmtId="0" fontId="38" fillId="0" borderId="60" xfId="3" applyFont="1" applyBorder="1" applyAlignment="1">
      <alignment horizontal="center" vertical="center" wrapText="1"/>
    </xf>
    <xf numFmtId="0" fontId="38" fillId="0" borderId="0" xfId="3" applyFont="1" applyAlignment="1">
      <alignment horizontal="center" vertical="center" wrapText="1"/>
    </xf>
    <xf numFmtId="0" fontId="38" fillId="0" borderId="62" xfId="3" applyFont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38" fillId="0" borderId="64" xfId="3" applyFont="1" applyBorder="1" applyAlignment="1">
      <alignment horizontal="center" vertical="center" wrapText="1"/>
    </xf>
    <xf numFmtId="0" fontId="1" fillId="9" borderId="3" xfId="3" applyFill="1" applyBorder="1" applyAlignment="1">
      <alignment horizontal="center" vertical="center" wrapText="1"/>
    </xf>
    <xf numFmtId="0" fontId="1" fillId="9" borderId="35" xfId="3" applyFill="1" applyBorder="1" applyAlignment="1">
      <alignment horizontal="center" vertical="center" wrapText="1"/>
    </xf>
    <xf numFmtId="0" fontId="1" fillId="9" borderId="36" xfId="3" applyFill="1" applyBorder="1" applyAlignment="1">
      <alignment horizontal="center" vertical="center" wrapText="1"/>
    </xf>
    <xf numFmtId="0" fontId="3" fillId="9" borderId="3" xfId="3" applyFont="1" applyFill="1" applyBorder="1" applyAlignment="1">
      <alignment horizontal="center" vertical="center" wrapText="1"/>
    </xf>
    <xf numFmtId="0" fontId="3" fillId="9" borderId="35" xfId="3" applyFont="1" applyFill="1" applyBorder="1" applyAlignment="1">
      <alignment horizontal="center" vertical="center" wrapText="1"/>
    </xf>
    <xf numFmtId="0" fontId="3" fillId="9" borderId="36" xfId="3" applyFont="1" applyFill="1" applyBorder="1" applyAlignment="1">
      <alignment horizontal="center" vertical="center" wrapText="1"/>
    </xf>
    <xf numFmtId="0" fontId="3" fillId="9" borderId="2" xfId="3" applyFont="1" applyFill="1" applyBorder="1" applyAlignment="1">
      <alignment horizontal="center" vertical="center" wrapText="1"/>
    </xf>
    <xf numFmtId="0" fontId="4" fillId="0" borderId="37" xfId="3" applyFont="1" applyBorder="1" applyAlignment="1">
      <alignment horizontal="left" vertical="center"/>
    </xf>
    <xf numFmtId="0" fontId="3" fillId="9" borderId="38" xfId="3" applyFont="1" applyFill="1" applyBorder="1" applyAlignment="1">
      <alignment horizontal="center" vertical="center" wrapText="1"/>
    </xf>
    <xf numFmtId="0" fontId="3" fillId="9" borderId="39" xfId="3" applyFont="1" applyFill="1" applyBorder="1" applyAlignment="1">
      <alignment horizontal="center" vertical="center" wrapText="1"/>
    </xf>
    <xf numFmtId="176" fontId="32" fillId="0" borderId="34" xfId="2" applyBorder="1" applyAlignment="1">
      <alignment horizontal="center" vertical="center"/>
    </xf>
    <xf numFmtId="176" fontId="32" fillId="0" borderId="40" xfId="2" applyBorder="1" applyAlignment="1">
      <alignment horizontal="center" vertical="center"/>
    </xf>
    <xf numFmtId="176" fontId="32" fillId="0" borderId="13" xfId="2" applyBorder="1" applyAlignment="1">
      <alignment horizontal="center" vertical="center"/>
    </xf>
    <xf numFmtId="176" fontId="32" fillId="0" borderId="7" xfId="2" applyBorder="1" applyAlignment="1">
      <alignment horizontal="center" vertical="center"/>
    </xf>
    <xf numFmtId="177" fontId="12" fillId="0" borderId="80" xfId="1" applyNumberFormat="1" applyFont="1" applyBorder="1" applyAlignment="1">
      <alignment horizontal="center" vertical="center" wrapText="1"/>
    </xf>
    <xf numFmtId="177" fontId="12" fillId="0" borderId="81" xfId="1" applyNumberFormat="1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/>
    </xf>
    <xf numFmtId="0" fontId="23" fillId="0" borderId="59" xfId="0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35" fillId="0" borderId="59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64" xfId="0" applyFont="1" applyBorder="1" applyAlignment="1">
      <alignment horizontal="center" vertical="center" wrapText="1"/>
    </xf>
    <xf numFmtId="0" fontId="10" fillId="3" borderId="79" xfId="0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center" vertical="center" wrapText="1"/>
    </xf>
    <xf numFmtId="0" fontId="10" fillId="3" borderId="82" xfId="0" applyFont="1" applyFill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 wrapText="1"/>
    </xf>
    <xf numFmtId="0" fontId="10" fillId="3" borderId="80" xfId="1" applyFont="1" applyFill="1" applyBorder="1" applyAlignment="1">
      <alignment horizontal="center" vertical="center" wrapText="1"/>
    </xf>
    <xf numFmtId="0" fontId="10" fillId="3" borderId="81" xfId="1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177" fontId="9" fillId="0" borderId="28" xfId="1" applyNumberFormat="1" applyFont="1" applyBorder="1" applyAlignment="1">
      <alignment horizontal="center" vertical="center" wrapText="1"/>
    </xf>
    <xf numFmtId="177" fontId="9" fillId="0" borderId="27" xfId="1" applyNumberFormat="1" applyFont="1" applyBorder="1" applyAlignment="1">
      <alignment horizontal="center" vertical="center" wrapText="1"/>
    </xf>
    <xf numFmtId="177" fontId="9" fillId="0" borderId="29" xfId="1" applyNumberFormat="1" applyFont="1" applyBorder="1" applyAlignment="1">
      <alignment horizontal="center" vertical="center" wrapText="1"/>
    </xf>
    <xf numFmtId="177" fontId="9" fillId="0" borderId="30" xfId="1" applyNumberFormat="1" applyFont="1" applyBorder="1" applyAlignment="1">
      <alignment horizontal="center" vertical="center" wrapText="1"/>
    </xf>
    <xf numFmtId="177" fontId="9" fillId="0" borderId="0" xfId="1" applyNumberFormat="1" applyFont="1" applyAlignment="1">
      <alignment horizontal="center" vertical="center" wrapText="1"/>
    </xf>
    <xf numFmtId="177" fontId="9" fillId="0" borderId="31" xfId="1" applyNumberFormat="1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17" fillId="0" borderId="33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20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1" xfId="0" applyBorder="1" applyAlignment="1">
      <alignment horizontal="left" vertical="top" wrapText="1"/>
    </xf>
    <xf numFmtId="0" fontId="0" fillId="0" borderId="42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10" borderId="19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177" fontId="9" fillId="0" borderId="20" xfId="1" applyNumberFormat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32" fillId="0" borderId="20" xfId="1" applyBorder="1" applyAlignment="1">
      <alignment horizontal="center" vertical="center" wrapText="1"/>
    </xf>
    <xf numFmtId="0" fontId="24" fillId="0" borderId="20" xfId="1" applyFont="1" applyBorder="1" applyAlignment="1">
      <alignment horizontal="center" vertical="center" wrapText="1"/>
    </xf>
    <xf numFmtId="0" fontId="25" fillId="0" borderId="20" xfId="1" applyFont="1" applyBorder="1" applyAlignment="1">
      <alignment horizontal="center" vertical="center" wrapText="1"/>
    </xf>
    <xf numFmtId="0" fontId="17" fillId="2" borderId="20" xfId="1" applyFont="1" applyFill="1" applyBorder="1" applyAlignment="1">
      <alignment horizontal="center" vertical="center" wrapText="1"/>
    </xf>
    <xf numFmtId="0" fontId="27" fillId="0" borderId="20" xfId="1" applyFont="1" applyBorder="1" applyAlignment="1">
      <alignment horizontal="center" vertical="center" wrapText="1"/>
    </xf>
    <xf numFmtId="0" fontId="28" fillId="0" borderId="20" xfId="1" applyFont="1" applyBorder="1" applyAlignment="1">
      <alignment horizontal="center" vertical="center" wrapText="1"/>
    </xf>
    <xf numFmtId="177" fontId="32" fillId="0" borderId="20" xfId="1" applyNumberFormat="1" applyBorder="1" applyAlignment="1">
      <alignment horizontal="center" vertical="center" wrapText="1"/>
    </xf>
    <xf numFmtId="0" fontId="2" fillId="4" borderId="20" xfId="1" applyFont="1" applyFill="1" applyBorder="1" applyAlignment="1">
      <alignment horizontal="center" vertical="center" wrapText="1"/>
    </xf>
    <xf numFmtId="0" fontId="32" fillId="0" borderId="72" xfId="1" applyBorder="1" applyAlignment="1">
      <alignment horizontal="center" vertical="center"/>
    </xf>
    <xf numFmtId="0" fontId="32" fillId="0" borderId="73" xfId="1" applyBorder="1" applyAlignment="1">
      <alignment horizontal="center" vertical="center"/>
    </xf>
    <xf numFmtId="0" fontId="32" fillId="0" borderId="75" xfId="1" applyBorder="1" applyAlignment="1">
      <alignment horizontal="center" vertical="center"/>
    </xf>
    <xf numFmtId="0" fontId="32" fillId="0" borderId="1" xfId="1" applyBorder="1" applyAlignment="1">
      <alignment horizontal="center" vertical="center"/>
    </xf>
    <xf numFmtId="0" fontId="32" fillId="0" borderId="76" xfId="1" applyBorder="1" applyAlignment="1">
      <alignment horizontal="center" vertical="center"/>
    </xf>
    <xf numFmtId="0" fontId="32" fillId="0" borderId="77" xfId="1" applyBorder="1" applyAlignment="1">
      <alignment horizontal="center" vertical="center"/>
    </xf>
    <xf numFmtId="0" fontId="32" fillId="0" borderId="0" xfId="1" applyAlignment="1">
      <alignment horizontal="center" vertical="center"/>
    </xf>
    <xf numFmtId="0" fontId="32" fillId="4" borderId="20" xfId="1" applyFill="1" applyBorder="1" applyAlignment="1">
      <alignment horizontal="center" vertical="center"/>
    </xf>
    <xf numFmtId="0" fontId="26" fillId="0" borderId="53" xfId="1" applyFont="1" applyBorder="1" applyAlignment="1">
      <alignment horizontal="center" vertical="center"/>
    </xf>
    <xf numFmtId="0" fontId="26" fillId="0" borderId="0" xfId="1" applyFont="1" applyAlignment="1">
      <alignment horizontal="center" vertical="center"/>
    </xf>
    <xf numFmtId="0" fontId="26" fillId="0" borderId="56" xfId="1" applyFont="1" applyBorder="1" applyAlignment="1">
      <alignment horizontal="center" vertical="center"/>
    </xf>
    <xf numFmtId="0" fontId="26" fillId="0" borderId="53" xfId="1" applyFont="1" applyBorder="1" applyAlignment="1">
      <alignment horizontal="center" vertical="center" wrapText="1"/>
    </xf>
    <xf numFmtId="0" fontId="26" fillId="0" borderId="54" xfId="1" applyFont="1" applyBorder="1" applyAlignment="1">
      <alignment horizontal="center" vertical="center" wrapText="1"/>
    </xf>
    <xf numFmtId="0" fontId="26" fillId="0" borderId="0" xfId="1" applyFont="1" applyAlignment="1">
      <alignment horizontal="center" vertical="center" wrapText="1"/>
    </xf>
    <xf numFmtId="0" fontId="26" fillId="0" borderId="55" xfId="1" applyFont="1" applyBorder="1" applyAlignment="1">
      <alignment horizontal="center" vertical="center" wrapText="1"/>
    </xf>
    <xf numFmtId="0" fontId="26" fillId="0" borderId="56" xfId="1" applyFont="1" applyBorder="1" applyAlignment="1">
      <alignment horizontal="center" vertical="center" wrapText="1"/>
    </xf>
    <xf numFmtId="0" fontId="26" fillId="0" borderId="57" xfId="1" applyFont="1" applyBorder="1" applyAlignment="1">
      <alignment horizontal="center" vertical="center" wrapText="1"/>
    </xf>
    <xf numFmtId="177" fontId="34" fillId="0" borderId="20" xfId="1" applyNumberFormat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2" fillId="0" borderId="1" xfId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 wrapText="1" shrinkToFit="1"/>
    </xf>
    <xf numFmtId="0" fontId="0" fillId="0" borderId="42" xfId="0" applyBorder="1" applyAlignment="1">
      <alignment horizontal="center" vertical="center" wrapText="1" shrinkToFit="1"/>
    </xf>
    <xf numFmtId="0" fontId="0" fillId="0" borderId="14" xfId="0" applyBorder="1" applyAlignment="1">
      <alignment horizontal="center" vertical="center" wrapText="1" shrinkToFit="1"/>
    </xf>
    <xf numFmtId="0" fontId="0" fillId="0" borderId="43" xfId="0" applyBorder="1" applyAlignment="1">
      <alignment horizontal="center" vertical="center" wrapText="1" shrinkToFit="1"/>
    </xf>
    <xf numFmtId="0" fontId="0" fillId="0" borderId="16" xfId="0" applyBorder="1" applyAlignment="1">
      <alignment horizontal="center" vertical="center" wrapText="1" shrinkToFit="1"/>
    </xf>
    <xf numFmtId="0" fontId="0" fillId="0" borderId="15" xfId="0" applyBorder="1" applyAlignment="1">
      <alignment horizontal="center" vertical="center" wrapText="1" shrinkToFit="1"/>
    </xf>
    <xf numFmtId="0" fontId="0" fillId="2" borderId="20" xfId="0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79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 wrapText="1"/>
    </xf>
    <xf numFmtId="0" fontId="2" fillId="0" borderId="52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32" fillId="0" borderId="41" xfId="1" applyBorder="1" applyAlignment="1">
      <alignment horizontal="center" vertical="center"/>
    </xf>
    <xf numFmtId="0" fontId="32" fillId="0" borderId="42" xfId="1" applyBorder="1" applyAlignment="1">
      <alignment horizontal="center" vertical="center"/>
    </xf>
    <xf numFmtId="0" fontId="32" fillId="0" borderId="25" xfId="1" applyBorder="1" applyAlignment="1">
      <alignment horizontal="center" vertical="center"/>
    </xf>
    <xf numFmtId="0" fontId="32" fillId="0" borderId="43" xfId="1" applyBorder="1" applyAlignment="1">
      <alignment horizontal="center" vertical="center"/>
    </xf>
    <xf numFmtId="0" fontId="32" fillId="0" borderId="16" xfId="1" applyBorder="1" applyAlignment="1">
      <alignment horizontal="center" vertical="center"/>
    </xf>
    <xf numFmtId="0" fontId="4" fillId="0" borderId="59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37" xfId="1" applyFont="1" applyBorder="1" applyAlignment="1">
      <alignment horizontal="center" vertical="center"/>
    </xf>
    <xf numFmtId="0" fontId="4" fillId="0" borderId="60" xfId="1" applyFont="1" applyBorder="1" applyAlignment="1">
      <alignment horizontal="center" vertical="center"/>
    </xf>
    <xf numFmtId="0" fontId="4" fillId="0" borderId="62" xfId="1" applyFont="1" applyBorder="1" applyAlignment="1">
      <alignment horizontal="center" vertical="center"/>
    </xf>
    <xf numFmtId="0" fontId="4" fillId="0" borderId="64" xfId="1" applyFont="1" applyBorder="1" applyAlignment="1">
      <alignment horizontal="center" vertical="center"/>
    </xf>
    <xf numFmtId="0" fontId="32" fillId="0" borderId="65" xfId="1" applyBorder="1" applyAlignment="1">
      <alignment horizontal="center" vertical="center"/>
    </xf>
    <xf numFmtId="0" fontId="32" fillId="0" borderId="66" xfId="1" applyBorder="1" applyAlignment="1">
      <alignment horizontal="center" vertical="center"/>
    </xf>
    <xf numFmtId="0" fontId="32" fillId="0" borderId="68" xfId="1" applyBorder="1" applyAlignment="1">
      <alignment horizontal="center" vertical="center"/>
    </xf>
    <xf numFmtId="0" fontId="32" fillId="0" borderId="69" xfId="1" applyBorder="1" applyAlignment="1">
      <alignment horizontal="center" vertical="center"/>
    </xf>
    <xf numFmtId="0" fontId="32" fillId="0" borderId="70" xfId="1" applyBorder="1" applyAlignment="1">
      <alignment horizontal="center" vertical="center"/>
    </xf>
    <xf numFmtId="0" fontId="32" fillId="0" borderId="17" xfId="1" applyBorder="1" applyAlignment="1">
      <alignment horizontal="center" vertical="center"/>
    </xf>
    <xf numFmtId="0" fontId="32" fillId="0" borderId="19" xfId="1" applyBorder="1" applyAlignment="1">
      <alignment horizontal="center" vertical="center"/>
    </xf>
    <xf numFmtId="0" fontId="2" fillId="0" borderId="20" xfId="1" applyFont="1" applyBorder="1" applyAlignment="1">
      <alignment horizontal="center" vertical="center" wrapText="1"/>
    </xf>
    <xf numFmtId="0" fontId="2" fillId="7" borderId="18" xfId="1" applyFont="1" applyFill="1" applyBorder="1" applyAlignment="1">
      <alignment horizontal="center" vertical="center" wrapText="1"/>
    </xf>
    <xf numFmtId="0" fontId="2" fillId="7" borderId="20" xfId="1" applyFont="1" applyFill="1" applyBorder="1" applyAlignment="1">
      <alignment horizontal="center" vertical="center" wrapText="1"/>
    </xf>
    <xf numFmtId="0" fontId="2" fillId="6" borderId="22" xfId="1" applyFont="1" applyFill="1" applyBorder="1" applyAlignment="1">
      <alignment horizontal="center" vertical="center" wrapText="1"/>
    </xf>
    <xf numFmtId="0" fontId="2" fillId="6" borderId="23" xfId="1" applyFont="1" applyFill="1" applyBorder="1" applyAlignment="1">
      <alignment horizontal="center" vertical="center" wrapText="1"/>
    </xf>
    <xf numFmtId="0" fontId="2" fillId="6" borderId="18" xfId="1" applyFont="1" applyFill="1" applyBorder="1" applyAlignment="1">
      <alignment horizontal="center" vertical="center" wrapText="1"/>
    </xf>
    <xf numFmtId="0" fontId="2" fillId="6" borderId="20" xfId="1" applyFont="1" applyFill="1" applyBorder="1" applyAlignment="1">
      <alignment horizontal="center" vertical="center" wrapText="1"/>
    </xf>
    <xf numFmtId="0" fontId="32" fillId="0" borderId="18" xfId="1" applyBorder="1" applyAlignment="1">
      <alignment horizontal="center" vertical="center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434009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6565" y="198782"/>
          <a:ext cx="2045804" cy="67089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oneCellAnchor>
    <xdr:from>
      <xdr:col>3</xdr:col>
      <xdr:colOff>57980</xdr:colOff>
      <xdr:row>21</xdr:row>
      <xdr:rowOff>24846</xdr:rowOff>
    </xdr:from>
    <xdr:ext cx="919369" cy="37414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5AD291-5374-255C-F3D8-2918579FEBE8}"/>
            </a:ext>
          </a:extLst>
        </xdr:cNvPr>
        <xdr:cNvSpPr txBox="1"/>
      </xdr:nvSpPr>
      <xdr:spPr>
        <a:xfrm>
          <a:off x="1681371" y="4845324"/>
          <a:ext cx="91936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800"/>
            <a:t>26.8m</a:t>
          </a:r>
          <a:endParaRPr lang="ko-KR" alt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47625</xdr:rowOff>
    </xdr:from>
    <xdr:to>
      <xdr:col>6</xdr:col>
      <xdr:colOff>139513</xdr:colOff>
      <xdr:row>2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8600" y="47625"/>
          <a:ext cx="1434913" cy="1130113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2</xdr:col>
      <xdr:colOff>905995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24117" y="0"/>
          <a:ext cx="2039470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57149</xdr:colOff>
      <xdr:row>0</xdr:row>
      <xdr:rowOff>0</xdr:rowOff>
    </xdr:from>
    <xdr:to>
      <xdr:col>3</xdr:col>
      <xdr:colOff>396128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57149" y="0"/>
          <a:ext cx="2053479" cy="6734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0</xdr:colOff>
      <xdr:row>17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4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233647" cy="1494864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485775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590675" cy="6667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FFFF"/>
  </sheetPr>
  <dimension ref="A1:R16"/>
  <sheetViews>
    <sheetView view="pageBreakPreview" zoomScale="120" zoomScaleNormal="120" zoomScaleSheetLayoutView="12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9" sqref="Q9:Q16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3.5" customHeight="1">
      <c r="A1" s="118" t="s">
        <v>88</v>
      </c>
      <c r="B1" s="119"/>
      <c r="C1" s="119"/>
      <c r="D1" s="124" t="str">
        <f>R1</f>
        <v>26.06.23 이신이엔지_진성방재_포스코이앤씨_속초더샾프라임뷰</v>
      </c>
      <c r="E1" s="125"/>
      <c r="F1" s="125"/>
      <c r="G1" s="126"/>
      <c r="R1" s="99" t="s">
        <v>114</v>
      </c>
    </row>
    <row r="2" spans="1:18" ht="12.75" customHeight="1">
      <c r="A2" s="120"/>
      <c r="B2" s="121"/>
      <c r="C2" s="121"/>
      <c r="D2" s="127"/>
      <c r="E2" s="127"/>
      <c r="F2" s="127"/>
      <c r="G2" s="128"/>
    </row>
    <row r="3" spans="1:18" ht="13.5" customHeight="1">
      <c r="A3" s="120"/>
      <c r="B3" s="121"/>
      <c r="C3" s="121"/>
      <c r="D3" s="127"/>
      <c r="E3" s="127"/>
      <c r="F3" s="127"/>
      <c r="G3" s="128"/>
    </row>
    <row r="4" spans="1:18" ht="17.25" customHeight="1" thickBot="1">
      <c r="A4" s="122"/>
      <c r="B4" s="123"/>
      <c r="C4" s="123"/>
      <c r="D4" s="129"/>
      <c r="E4" s="129"/>
      <c r="F4" s="129"/>
      <c r="G4" s="130"/>
    </row>
    <row r="5" spans="1:18" ht="6.75" customHeight="1">
      <c r="A5" s="88"/>
      <c r="B5" s="88"/>
      <c r="C5" s="88"/>
      <c r="D5" s="88"/>
      <c r="E5" s="88"/>
      <c r="F5" s="88"/>
      <c r="G5" s="88"/>
    </row>
    <row r="6" spans="1:18" s="10" customFormat="1" ht="18" customHeight="1" thickBot="1">
      <c r="A6" s="131" t="s">
        <v>4</v>
      </c>
      <c r="B6" s="134" t="s">
        <v>32</v>
      </c>
      <c r="C6" s="137" t="s">
        <v>26</v>
      </c>
      <c r="D6" s="137"/>
      <c r="E6" s="137" t="s">
        <v>80</v>
      </c>
      <c r="F6" s="134" t="s">
        <v>45</v>
      </c>
      <c r="G6" s="134" t="s">
        <v>5</v>
      </c>
      <c r="H6" s="9"/>
      <c r="I6" s="138" t="s">
        <v>55</v>
      </c>
      <c r="J6" s="138"/>
      <c r="K6" s="138"/>
      <c r="L6" s="138"/>
      <c r="M6" s="138"/>
      <c r="N6" s="138"/>
      <c r="O6" s="8"/>
    </row>
    <row r="7" spans="1:18" s="10" customFormat="1" ht="18" customHeight="1">
      <c r="A7" s="132"/>
      <c r="B7" s="135"/>
      <c r="C7" s="139" t="s">
        <v>28</v>
      </c>
      <c r="D7" s="134" t="s">
        <v>16</v>
      </c>
      <c r="E7" s="137"/>
      <c r="F7" s="135"/>
      <c r="G7" s="135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33"/>
      <c r="B8" s="136"/>
      <c r="C8" s="140"/>
      <c r="D8" s="136"/>
      <c r="E8" s="137"/>
      <c r="F8" s="136"/>
      <c r="G8" s="136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101" t="s">
        <v>101</v>
      </c>
      <c r="B9" s="37" t="s">
        <v>1</v>
      </c>
      <c r="C9" s="31">
        <v>400</v>
      </c>
      <c r="D9" s="31">
        <v>300</v>
      </c>
      <c r="E9" s="13"/>
      <c r="F9" s="14"/>
      <c r="G9" s="14"/>
      <c r="H9" s="15"/>
      <c r="I9" s="141"/>
      <c r="J9" s="143"/>
      <c r="K9" s="16"/>
      <c r="L9" s="17"/>
      <c r="M9" s="18"/>
      <c r="N9" s="143"/>
      <c r="O9" s="8"/>
      <c r="Q9" s="10" t="s">
        <v>115</v>
      </c>
    </row>
    <row r="10" spans="1:18" s="10" customFormat="1" ht="18" customHeight="1" thickBot="1">
      <c r="A10" s="101" t="s">
        <v>102</v>
      </c>
      <c r="B10" s="37" t="s">
        <v>1</v>
      </c>
      <c r="C10" s="31">
        <v>400</v>
      </c>
      <c r="D10" s="31">
        <v>300</v>
      </c>
      <c r="E10" s="14"/>
      <c r="F10" s="14"/>
      <c r="G10" s="14"/>
      <c r="H10" s="15"/>
      <c r="I10" s="141"/>
      <c r="J10" s="143"/>
      <c r="K10" s="16"/>
      <c r="L10" s="17"/>
      <c r="M10" s="18"/>
      <c r="N10" s="143"/>
      <c r="O10" s="8"/>
      <c r="Q10" s="10" t="s">
        <v>116</v>
      </c>
    </row>
    <row r="11" spans="1:18" s="10" customFormat="1" ht="18" customHeight="1" thickBot="1">
      <c r="A11" s="101" t="s">
        <v>103</v>
      </c>
      <c r="B11" s="37" t="s">
        <v>1</v>
      </c>
      <c r="C11" s="31">
        <v>400</v>
      </c>
      <c r="D11" s="31">
        <v>300</v>
      </c>
      <c r="E11" s="13"/>
      <c r="F11" s="14"/>
      <c r="G11" s="14"/>
      <c r="H11" s="15"/>
      <c r="I11" s="141"/>
      <c r="J11" s="143"/>
      <c r="K11" s="16"/>
      <c r="L11" s="17"/>
      <c r="M11" s="18"/>
      <c r="N11" s="143"/>
      <c r="O11" s="8"/>
      <c r="Q11" s="10" t="s">
        <v>117</v>
      </c>
    </row>
    <row r="12" spans="1:18" s="10" customFormat="1" ht="18" customHeight="1" thickBot="1">
      <c r="A12" s="101" t="s">
        <v>104</v>
      </c>
      <c r="B12" s="37" t="s">
        <v>1</v>
      </c>
      <c r="C12" s="31">
        <v>400</v>
      </c>
      <c r="D12" s="31">
        <v>300</v>
      </c>
      <c r="E12" s="13"/>
      <c r="F12" s="14"/>
      <c r="G12" s="14"/>
      <c r="H12" s="15"/>
      <c r="I12" s="141"/>
      <c r="J12" s="143"/>
      <c r="K12" s="16"/>
      <c r="L12" s="17"/>
      <c r="M12" s="18"/>
      <c r="N12" s="143"/>
      <c r="O12" s="8"/>
      <c r="Q12" s="10" t="s">
        <v>118</v>
      </c>
    </row>
    <row r="13" spans="1:18" s="10" customFormat="1" ht="18" customHeight="1" thickBot="1">
      <c r="A13" s="101" t="s">
        <v>105</v>
      </c>
      <c r="B13" s="37" t="s">
        <v>1</v>
      </c>
      <c r="C13" s="31">
        <v>500</v>
      </c>
      <c r="D13" s="31">
        <v>450</v>
      </c>
      <c r="E13" s="13"/>
      <c r="F13" s="14"/>
      <c r="G13" s="14"/>
      <c r="H13" s="15"/>
      <c r="I13" s="141"/>
      <c r="J13" s="143"/>
      <c r="K13" s="16"/>
      <c r="L13" s="17"/>
      <c r="M13" s="18"/>
      <c r="N13" s="143"/>
      <c r="O13" s="8"/>
      <c r="Q13" s="10" t="s">
        <v>119</v>
      </c>
    </row>
    <row r="14" spans="1:18" s="10" customFormat="1" ht="18" customHeight="1">
      <c r="A14" s="101" t="s">
        <v>106</v>
      </c>
      <c r="B14" s="37" t="s">
        <v>1</v>
      </c>
      <c r="C14" s="31">
        <v>500</v>
      </c>
      <c r="D14" s="31">
        <v>450</v>
      </c>
      <c r="E14" s="13"/>
      <c r="F14" s="14"/>
      <c r="G14" s="14"/>
      <c r="H14" s="15"/>
      <c r="I14" s="142"/>
      <c r="J14" s="144"/>
      <c r="K14" s="16"/>
      <c r="L14" s="17"/>
      <c r="M14" s="18"/>
      <c r="N14" s="144"/>
      <c r="O14" s="8"/>
      <c r="Q14" s="10" t="s">
        <v>120</v>
      </c>
    </row>
    <row r="15" spans="1:18" s="10" customFormat="1" ht="18" customHeight="1">
      <c r="A15" s="101" t="s">
        <v>107</v>
      </c>
      <c r="B15" s="37" t="s">
        <v>1</v>
      </c>
      <c r="C15" s="31">
        <v>500</v>
      </c>
      <c r="D15" s="31">
        <v>450</v>
      </c>
      <c r="E15" s="24"/>
      <c r="F15" s="14"/>
      <c r="G15" s="14"/>
      <c r="H15" s="20"/>
      <c r="I15" s="21"/>
      <c r="J15" s="21"/>
      <c r="K15" s="21"/>
      <c r="L15" s="22"/>
      <c r="M15" s="21"/>
      <c r="N15" s="21"/>
      <c r="O15" s="21"/>
      <c r="P15" s="23"/>
      <c r="Q15" s="10" t="s">
        <v>121</v>
      </c>
    </row>
    <row r="16" spans="1:18" s="10" customFormat="1" ht="18" customHeight="1">
      <c r="A16" s="101" t="s">
        <v>108</v>
      </c>
      <c r="B16" s="37" t="s">
        <v>1</v>
      </c>
      <c r="C16" s="31">
        <v>500</v>
      </c>
      <c r="D16" s="31">
        <v>450</v>
      </c>
      <c r="E16" s="13"/>
      <c r="F16" s="14"/>
      <c r="G16" s="14"/>
      <c r="H16" s="15"/>
      <c r="I16" s="19"/>
      <c r="J16" s="19"/>
      <c r="K16" s="19"/>
      <c r="L16" s="8"/>
      <c r="M16" s="19"/>
      <c r="N16" s="19"/>
      <c r="O16" s="19"/>
      <c r="Q16" s="10" t="s">
        <v>122</v>
      </c>
    </row>
  </sheetData>
  <mergeCells count="14">
    <mergeCell ref="I6:N6"/>
    <mergeCell ref="C7:C8"/>
    <mergeCell ref="D7:D8"/>
    <mergeCell ref="I9:I14"/>
    <mergeCell ref="J9:J14"/>
    <mergeCell ref="N9:N14"/>
    <mergeCell ref="A1:C4"/>
    <mergeCell ref="D1:G4"/>
    <mergeCell ref="A6:A8"/>
    <mergeCell ref="B6:B8"/>
    <mergeCell ref="C6:D6"/>
    <mergeCell ref="E6:E8"/>
    <mergeCell ref="F6:F8"/>
    <mergeCell ref="G6:G8"/>
  </mergeCells>
  <phoneticPr fontId="33" type="noConversion"/>
  <pageMargins left="0.2361111044883728" right="0.2361111044883728" top="0.74791663885116577" bottom="0.74791663885116577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K23"/>
  <sheetViews>
    <sheetView tabSelected="1" topLeftCell="A2" zoomScale="115" zoomScaleNormal="115" zoomScaleSheetLayoutView="115" workbookViewId="0">
      <pane ySplit="6" topLeftCell="A8" activePane="bottomLeft" state="frozen"/>
      <selection pane="bottomLeft" activeCell="Q32" sqref="Q32"/>
    </sheetView>
  </sheetViews>
  <sheetFormatPr defaultColWidth="9" defaultRowHeight="16.5"/>
  <cols>
    <col min="1" max="1" width="4.875" bestFit="1" customWidth="1"/>
    <col min="2" max="2" width="8.25" customWidth="1"/>
    <col min="3" max="4" width="8.125" customWidth="1"/>
    <col min="5" max="5" width="13.875" hidden="1" customWidth="1"/>
    <col min="6" max="7" width="7" style="6" customWidth="1"/>
    <col min="8" max="8" width="7.75" style="6" customWidth="1"/>
    <col min="9" max="9" width="6.375" style="6" customWidth="1"/>
    <col min="10" max="11" width="2.75" style="6" customWidth="1"/>
    <col min="12" max="12" width="8" style="6" customWidth="1"/>
    <col min="13" max="13" width="6.375" style="6" customWidth="1"/>
    <col min="14" max="15" width="2.75" style="6" customWidth="1"/>
    <col min="16" max="16" width="8" style="6" customWidth="1"/>
    <col min="17" max="19" width="7" style="6" customWidth="1"/>
    <col min="20" max="20" width="7.75" style="6" customWidth="1"/>
    <col min="21" max="22" width="6.375" style="6" customWidth="1"/>
    <col min="23" max="25" width="2.75" style="6" customWidth="1"/>
    <col min="26" max="26" width="8" style="6" customWidth="1"/>
    <col min="27" max="27" width="7.75" customWidth="1"/>
    <col min="28" max="37" width="0" hidden="1" customWidth="1"/>
  </cols>
  <sheetData>
    <row r="1" spans="1:37" ht="16.5" customHeight="1" thickBot="1">
      <c r="A1" s="147"/>
      <c r="B1" s="148"/>
      <c r="C1" s="148"/>
      <c r="D1" s="148"/>
      <c r="E1" s="90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2"/>
    </row>
    <row r="2" spans="1:37" ht="38.25" customHeight="1">
      <c r="A2" s="149"/>
      <c r="B2" s="150"/>
      <c r="C2" s="150"/>
      <c r="D2" s="150"/>
      <c r="E2" s="89"/>
      <c r="F2" s="161" t="s">
        <v>81</v>
      </c>
      <c r="G2" s="162"/>
      <c r="H2" s="162"/>
      <c r="I2" s="162"/>
      <c r="J2" s="165" t="str">
        <f>'1. 소켓인수검사'!R1</f>
        <v>26.06.23 이신이엔지_진성방재_포스코이앤씨_속초더샾프라임뷰</v>
      </c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6"/>
    </row>
    <row r="3" spans="1:37" ht="38.25" customHeight="1" thickBot="1">
      <c r="A3" s="151"/>
      <c r="B3" s="152"/>
      <c r="C3" s="152"/>
      <c r="D3" s="152"/>
      <c r="E3" s="93"/>
      <c r="F3" s="163"/>
      <c r="G3" s="164"/>
      <c r="H3" s="164"/>
      <c r="I3" s="164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8"/>
    </row>
    <row r="4" spans="1:37" ht="8.1" customHeight="1">
      <c r="A4" s="153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75"/>
    </row>
    <row r="5" spans="1:37" s="30" customFormat="1" ht="26.45" customHeight="1">
      <c r="A5" s="155" t="s">
        <v>27</v>
      </c>
      <c r="B5" s="157" t="s">
        <v>32</v>
      </c>
      <c r="C5" s="159" t="s">
        <v>26</v>
      </c>
      <c r="D5" s="159"/>
      <c r="E5" s="159" t="s">
        <v>43</v>
      </c>
      <c r="F5" s="169" t="s">
        <v>48</v>
      </c>
      <c r="G5" s="170"/>
      <c r="H5" s="170"/>
      <c r="I5" s="170"/>
      <c r="J5" s="170"/>
      <c r="K5" s="170"/>
      <c r="L5" s="170"/>
      <c r="M5" s="170"/>
      <c r="N5" s="170"/>
      <c r="O5" s="170"/>
      <c r="P5" s="171"/>
      <c r="Q5" s="159" t="s">
        <v>0</v>
      </c>
      <c r="R5" s="159"/>
      <c r="S5" s="159"/>
      <c r="T5" s="159"/>
      <c r="U5" s="159"/>
      <c r="V5" s="159"/>
      <c r="W5" s="159"/>
      <c r="X5" s="159"/>
      <c r="Y5" s="159"/>
      <c r="Z5" s="159"/>
      <c r="AA5" s="175" t="s">
        <v>5</v>
      </c>
      <c r="AB5" s="30">
        <v>15</v>
      </c>
      <c r="AC5" s="30">
        <v>50</v>
      </c>
    </row>
    <row r="6" spans="1:37" s="30" customFormat="1" ht="16.5" customHeight="1">
      <c r="A6" s="156"/>
      <c r="B6" s="158"/>
      <c r="C6" s="160" t="s">
        <v>28</v>
      </c>
      <c r="D6" s="160" t="s">
        <v>16</v>
      </c>
      <c r="E6" s="160"/>
      <c r="F6" s="172" t="s">
        <v>111</v>
      </c>
      <c r="G6" s="172"/>
      <c r="H6" s="172"/>
      <c r="I6" s="172" t="s">
        <v>112</v>
      </c>
      <c r="J6" s="172"/>
      <c r="K6" s="172"/>
      <c r="L6" s="172"/>
      <c r="M6" s="172" t="s">
        <v>113</v>
      </c>
      <c r="N6" s="172"/>
      <c r="O6" s="172"/>
      <c r="P6" s="172"/>
      <c r="Q6" s="172" t="s">
        <v>71</v>
      </c>
      <c r="R6" s="172"/>
      <c r="S6" s="172"/>
      <c r="T6" s="172"/>
      <c r="U6" s="172" t="s">
        <v>72</v>
      </c>
      <c r="V6" s="172"/>
      <c r="W6" s="172"/>
      <c r="X6" s="172"/>
      <c r="Y6" s="172"/>
      <c r="Z6" s="172"/>
      <c r="AA6" s="176"/>
      <c r="AG6" s="104" t="s">
        <v>100</v>
      </c>
      <c r="AK6" s="105" t="s">
        <v>99</v>
      </c>
    </row>
    <row r="7" spans="1:37" s="30" customFormat="1" ht="16.5" customHeight="1">
      <c r="A7" s="156"/>
      <c r="B7" s="158"/>
      <c r="C7" s="160"/>
      <c r="D7" s="160"/>
      <c r="E7" s="160"/>
      <c r="F7" s="79" t="s">
        <v>20</v>
      </c>
      <c r="G7" s="79" t="s">
        <v>26</v>
      </c>
      <c r="H7" s="79" t="s">
        <v>36</v>
      </c>
      <c r="I7" s="79" t="s">
        <v>20</v>
      </c>
      <c r="J7" s="173" t="s">
        <v>26</v>
      </c>
      <c r="K7" s="174"/>
      <c r="L7" s="79" t="s">
        <v>36</v>
      </c>
      <c r="M7" s="79" t="s">
        <v>20</v>
      </c>
      <c r="N7" s="173" t="s">
        <v>110</v>
      </c>
      <c r="O7" s="174"/>
      <c r="P7" s="79" t="s">
        <v>36</v>
      </c>
      <c r="Q7" s="79" t="s">
        <v>31</v>
      </c>
      <c r="R7" s="79" t="s">
        <v>20</v>
      </c>
      <c r="S7" s="79" t="s">
        <v>26</v>
      </c>
      <c r="T7" s="79" t="s">
        <v>36</v>
      </c>
      <c r="U7" s="79" t="s">
        <v>31</v>
      </c>
      <c r="V7" s="79" t="s">
        <v>20</v>
      </c>
      <c r="W7" s="172" t="s">
        <v>26</v>
      </c>
      <c r="X7" s="172"/>
      <c r="Y7" s="172"/>
      <c r="Z7" s="79" t="s">
        <v>36</v>
      </c>
      <c r="AA7" s="176"/>
      <c r="AB7" s="30" t="s">
        <v>89</v>
      </c>
      <c r="AC7" s="30" t="s">
        <v>90</v>
      </c>
      <c r="AD7" s="30" t="s">
        <v>91</v>
      </c>
      <c r="AE7" s="30" t="s">
        <v>92</v>
      </c>
      <c r="AF7" s="30" t="s">
        <v>93</v>
      </c>
      <c r="AG7" s="30" t="s">
        <v>94</v>
      </c>
      <c r="AH7" s="30" t="s">
        <v>95</v>
      </c>
      <c r="AI7" s="30" t="s">
        <v>96</v>
      </c>
      <c r="AJ7" s="30" t="s">
        <v>97</v>
      </c>
      <c r="AK7" s="30" t="s">
        <v>98</v>
      </c>
    </row>
    <row r="8" spans="1:37">
      <c r="A8" s="40" t="str">
        <f>'1. 소켓인수검사'!A9</f>
        <v>01</v>
      </c>
      <c r="B8" s="52" t="s">
        <v>1</v>
      </c>
      <c r="C8" s="44">
        <f>'1. 소켓인수검사'!C9</f>
        <v>400</v>
      </c>
      <c r="D8" s="44">
        <f>'1. 소켓인수검사'!D9</f>
        <v>300</v>
      </c>
      <c r="E8" s="42"/>
      <c r="F8" s="187">
        <f>255</f>
        <v>255</v>
      </c>
      <c r="G8" s="43">
        <f>C8-5</f>
        <v>395</v>
      </c>
      <c r="H8" s="44">
        <f>3*2</f>
        <v>6</v>
      </c>
      <c r="I8" s="187">
        <v>255</v>
      </c>
      <c r="J8" s="145"/>
      <c r="K8" s="146"/>
      <c r="L8" s="44"/>
      <c r="M8" s="187">
        <v>255</v>
      </c>
      <c r="N8" s="145">
        <f>D8-35</f>
        <v>265</v>
      </c>
      <c r="O8" s="146"/>
      <c r="P8" s="44">
        <v>2</v>
      </c>
      <c r="Q8" s="183" t="s">
        <v>10</v>
      </c>
      <c r="R8" s="185">
        <v>185</v>
      </c>
      <c r="S8" s="201">
        <v>1000</v>
      </c>
      <c r="T8" s="44">
        <f>+AK8*2</f>
        <v>4</v>
      </c>
      <c r="U8" s="183" t="s">
        <v>10</v>
      </c>
      <c r="V8" s="185">
        <v>125</v>
      </c>
      <c r="W8" s="177">
        <v>1000</v>
      </c>
      <c r="X8" s="178"/>
      <c r="Y8" s="179"/>
      <c r="Z8" s="44">
        <f>+AG8</f>
        <v>3</v>
      </c>
      <c r="AA8" s="49"/>
      <c r="AB8">
        <f xml:space="preserve"> C8+$AC$5*2</f>
        <v>500</v>
      </c>
      <c r="AC8">
        <f xml:space="preserve"> D8+$AC$5*2</f>
        <v>400</v>
      </c>
      <c r="AD8">
        <f>(AB8+AC8)*2</f>
        <v>1800</v>
      </c>
      <c r="AE8">
        <f>AD8/1000</f>
        <v>1.8</v>
      </c>
      <c r="AF8" s="102">
        <f>AE8*(1+$AB$5/100)</f>
        <v>2.0699999999999998</v>
      </c>
      <c r="AG8" s="103">
        <f>CEILING(AF8,1)</f>
        <v>3</v>
      </c>
      <c r="AH8">
        <f>D8*2+AB8*2</f>
        <v>1600</v>
      </c>
      <c r="AI8">
        <f>AH8/1000</f>
        <v>1.6</v>
      </c>
      <c r="AJ8" s="102">
        <f>AI8*(1+$AB$5/100)</f>
        <v>1.8399999999999999</v>
      </c>
      <c r="AK8" s="106">
        <f>CEILING(AJ8,1)</f>
        <v>2</v>
      </c>
    </row>
    <row r="9" spans="1:37">
      <c r="A9" s="40" t="str">
        <f>'1. 소켓인수검사'!A10</f>
        <v>02</v>
      </c>
      <c r="B9" s="52" t="s">
        <v>1</v>
      </c>
      <c r="C9" s="44">
        <f>'1. 소켓인수검사'!C10</f>
        <v>400</v>
      </c>
      <c r="D9" s="44">
        <f>'1. 소켓인수검사'!D10</f>
        <v>300</v>
      </c>
      <c r="E9" s="42"/>
      <c r="F9" s="187"/>
      <c r="G9" s="43">
        <f t="shared" ref="G9:G15" si="0">C9-5</f>
        <v>395</v>
      </c>
      <c r="H9" s="44">
        <f t="shared" ref="H9:H15" si="1">3*2</f>
        <v>6</v>
      </c>
      <c r="I9" s="187"/>
      <c r="J9" s="145"/>
      <c r="K9" s="146"/>
      <c r="L9" s="44"/>
      <c r="M9" s="187"/>
      <c r="N9" s="145">
        <f t="shared" ref="N9:N15" si="2">D9-35</f>
        <v>265</v>
      </c>
      <c r="O9" s="146"/>
      <c r="P9" s="44">
        <v>2</v>
      </c>
      <c r="Q9" s="184"/>
      <c r="R9" s="186"/>
      <c r="S9" s="202"/>
      <c r="T9" s="44">
        <f t="shared" ref="T9:T15" si="3">+AK9*2</f>
        <v>4</v>
      </c>
      <c r="U9" s="184"/>
      <c r="V9" s="186"/>
      <c r="W9" s="180"/>
      <c r="X9" s="181"/>
      <c r="Y9" s="182"/>
      <c r="Z9" s="44">
        <f t="shared" ref="Z9:Z15" si="4">+AG9</f>
        <v>3</v>
      </c>
      <c r="AA9" s="49"/>
      <c r="AB9">
        <f t="shared" ref="AB9:AB15" si="5" xml:space="preserve"> C9+$AC$5*2</f>
        <v>500</v>
      </c>
      <c r="AC9">
        <f t="shared" ref="AC9:AC15" si="6" xml:space="preserve"> D9+$AC$5*2</f>
        <v>400</v>
      </c>
      <c r="AD9">
        <f t="shared" ref="AD9:AD15" si="7">(AB9+AC9)*2</f>
        <v>1800</v>
      </c>
      <c r="AE9">
        <f t="shared" ref="AE9:AE15" si="8">AD9/1000</f>
        <v>1.8</v>
      </c>
      <c r="AF9" s="102">
        <f t="shared" ref="AF9:AF15" si="9">AE9*(1+$AB$5/100)</f>
        <v>2.0699999999999998</v>
      </c>
      <c r="AG9" s="103">
        <f t="shared" ref="AG9:AG15" si="10">CEILING(AF9,1)</f>
        <v>3</v>
      </c>
      <c r="AH9">
        <f t="shared" ref="AH9:AH15" si="11">D9*2+AB9*2</f>
        <v>1600</v>
      </c>
      <c r="AI9">
        <f t="shared" ref="AI9:AI15" si="12">AH9/1000</f>
        <v>1.6</v>
      </c>
      <c r="AJ9" s="102">
        <f t="shared" ref="AJ9:AJ15" si="13">AI9*(1+$AB$5/100)</f>
        <v>1.8399999999999999</v>
      </c>
      <c r="AK9" s="106">
        <f t="shared" ref="AK9:AK15" si="14">CEILING(AJ9,1)</f>
        <v>2</v>
      </c>
    </row>
    <row r="10" spans="1:37">
      <c r="A10" s="40" t="str">
        <f>'1. 소켓인수검사'!A11</f>
        <v>03</v>
      </c>
      <c r="B10" s="52" t="s">
        <v>1</v>
      </c>
      <c r="C10" s="44">
        <f>'1. 소켓인수검사'!C11</f>
        <v>400</v>
      </c>
      <c r="D10" s="44">
        <f>'1. 소켓인수검사'!D11</f>
        <v>300</v>
      </c>
      <c r="E10" s="42"/>
      <c r="F10" s="187"/>
      <c r="G10" s="43">
        <f t="shared" si="0"/>
        <v>395</v>
      </c>
      <c r="H10" s="44">
        <f t="shared" si="1"/>
        <v>6</v>
      </c>
      <c r="I10" s="187"/>
      <c r="J10" s="145"/>
      <c r="K10" s="146"/>
      <c r="L10" s="44"/>
      <c r="M10" s="187"/>
      <c r="N10" s="145">
        <f t="shared" si="2"/>
        <v>265</v>
      </c>
      <c r="O10" s="146"/>
      <c r="P10" s="44">
        <v>2</v>
      </c>
      <c r="Q10" s="184"/>
      <c r="R10" s="186"/>
      <c r="S10" s="202"/>
      <c r="T10" s="44">
        <f t="shared" si="3"/>
        <v>4</v>
      </c>
      <c r="U10" s="184"/>
      <c r="V10" s="186"/>
      <c r="W10" s="180"/>
      <c r="X10" s="181"/>
      <c r="Y10" s="182"/>
      <c r="Z10" s="44">
        <f t="shared" si="4"/>
        <v>3</v>
      </c>
      <c r="AA10" s="49"/>
      <c r="AB10">
        <f t="shared" si="5"/>
        <v>500</v>
      </c>
      <c r="AC10">
        <f t="shared" si="6"/>
        <v>400</v>
      </c>
      <c r="AD10">
        <f t="shared" si="7"/>
        <v>1800</v>
      </c>
      <c r="AE10">
        <f t="shared" si="8"/>
        <v>1.8</v>
      </c>
      <c r="AF10" s="102">
        <f t="shared" si="9"/>
        <v>2.0699999999999998</v>
      </c>
      <c r="AG10" s="103">
        <f t="shared" si="10"/>
        <v>3</v>
      </c>
      <c r="AH10">
        <f t="shared" si="11"/>
        <v>1600</v>
      </c>
      <c r="AI10">
        <f t="shared" si="12"/>
        <v>1.6</v>
      </c>
      <c r="AJ10" s="102">
        <f t="shared" si="13"/>
        <v>1.8399999999999999</v>
      </c>
      <c r="AK10" s="106">
        <f t="shared" si="14"/>
        <v>2</v>
      </c>
    </row>
    <row r="11" spans="1:37">
      <c r="A11" s="40" t="str">
        <f>'1. 소켓인수검사'!A12</f>
        <v>04</v>
      </c>
      <c r="B11" s="52" t="s">
        <v>1</v>
      </c>
      <c r="C11" s="44">
        <f>'1. 소켓인수검사'!C12</f>
        <v>400</v>
      </c>
      <c r="D11" s="44">
        <f>'1. 소켓인수검사'!D12</f>
        <v>300</v>
      </c>
      <c r="E11" s="42"/>
      <c r="F11" s="187"/>
      <c r="G11" s="43">
        <f t="shared" si="0"/>
        <v>395</v>
      </c>
      <c r="H11" s="44">
        <f t="shared" si="1"/>
        <v>6</v>
      </c>
      <c r="I11" s="187"/>
      <c r="J11" s="145"/>
      <c r="K11" s="146"/>
      <c r="L11" s="44"/>
      <c r="M11" s="187"/>
      <c r="N11" s="145">
        <f t="shared" si="2"/>
        <v>265</v>
      </c>
      <c r="O11" s="146"/>
      <c r="P11" s="44">
        <v>2</v>
      </c>
      <c r="Q11" s="184"/>
      <c r="R11" s="186"/>
      <c r="S11" s="202"/>
      <c r="T11" s="44">
        <f t="shared" si="3"/>
        <v>4</v>
      </c>
      <c r="U11" s="184"/>
      <c r="V11" s="186"/>
      <c r="W11" s="180"/>
      <c r="X11" s="181"/>
      <c r="Y11" s="182"/>
      <c r="Z11" s="44">
        <f t="shared" si="4"/>
        <v>3</v>
      </c>
      <c r="AA11" s="49"/>
      <c r="AB11">
        <f t="shared" si="5"/>
        <v>500</v>
      </c>
      <c r="AC11">
        <f t="shared" si="6"/>
        <v>400</v>
      </c>
      <c r="AD11">
        <f t="shared" si="7"/>
        <v>1800</v>
      </c>
      <c r="AE11">
        <f t="shared" si="8"/>
        <v>1.8</v>
      </c>
      <c r="AF11" s="102">
        <f t="shared" si="9"/>
        <v>2.0699999999999998</v>
      </c>
      <c r="AG11" s="103">
        <f t="shared" si="10"/>
        <v>3</v>
      </c>
      <c r="AH11">
        <f t="shared" si="11"/>
        <v>1600</v>
      </c>
      <c r="AI11">
        <f t="shared" si="12"/>
        <v>1.6</v>
      </c>
      <c r="AJ11" s="102">
        <f t="shared" si="13"/>
        <v>1.8399999999999999</v>
      </c>
      <c r="AK11" s="106">
        <f t="shared" si="14"/>
        <v>2</v>
      </c>
    </row>
    <row r="12" spans="1:37">
      <c r="A12" s="40" t="str">
        <f>'1. 소켓인수검사'!A13</f>
        <v>05</v>
      </c>
      <c r="B12" s="52" t="s">
        <v>1</v>
      </c>
      <c r="C12" s="46">
        <f>'1. 소켓인수검사'!C13</f>
        <v>500</v>
      </c>
      <c r="D12" s="46">
        <f>'1. 소켓인수검사'!D13</f>
        <v>450</v>
      </c>
      <c r="E12" s="42"/>
      <c r="F12" s="187"/>
      <c r="G12" s="43">
        <f t="shared" si="0"/>
        <v>495</v>
      </c>
      <c r="H12" s="44">
        <f t="shared" si="1"/>
        <v>6</v>
      </c>
      <c r="I12" s="187"/>
      <c r="J12" s="145"/>
      <c r="K12" s="146"/>
      <c r="L12" s="44"/>
      <c r="M12" s="187"/>
      <c r="N12" s="145">
        <f t="shared" si="2"/>
        <v>415</v>
      </c>
      <c r="O12" s="146"/>
      <c r="P12" s="44">
        <v>2</v>
      </c>
      <c r="Q12" s="184"/>
      <c r="R12" s="186"/>
      <c r="S12" s="202"/>
      <c r="T12" s="44">
        <f t="shared" si="3"/>
        <v>6</v>
      </c>
      <c r="U12" s="184"/>
      <c r="V12" s="186"/>
      <c r="W12" s="180"/>
      <c r="X12" s="181"/>
      <c r="Y12" s="182"/>
      <c r="Z12" s="44">
        <f t="shared" si="4"/>
        <v>3</v>
      </c>
      <c r="AA12" s="49"/>
      <c r="AB12">
        <f t="shared" si="5"/>
        <v>600</v>
      </c>
      <c r="AC12">
        <f t="shared" si="6"/>
        <v>550</v>
      </c>
      <c r="AD12">
        <f t="shared" si="7"/>
        <v>2300</v>
      </c>
      <c r="AE12">
        <f t="shared" si="8"/>
        <v>2.2999999999999998</v>
      </c>
      <c r="AF12" s="102">
        <f t="shared" si="9"/>
        <v>2.6449999999999996</v>
      </c>
      <c r="AG12" s="103">
        <f t="shared" si="10"/>
        <v>3</v>
      </c>
      <c r="AH12">
        <f t="shared" si="11"/>
        <v>2100</v>
      </c>
      <c r="AI12">
        <f t="shared" si="12"/>
        <v>2.1</v>
      </c>
      <c r="AJ12" s="102">
        <f t="shared" si="13"/>
        <v>2.415</v>
      </c>
      <c r="AK12" s="106">
        <f t="shared" si="14"/>
        <v>3</v>
      </c>
    </row>
    <row r="13" spans="1:37">
      <c r="A13" s="40" t="str">
        <f>'1. 소켓인수검사'!A14</f>
        <v>06</v>
      </c>
      <c r="B13" s="52" t="s">
        <v>1</v>
      </c>
      <c r="C13" s="46">
        <f>'1. 소켓인수검사'!C14</f>
        <v>500</v>
      </c>
      <c r="D13" s="46">
        <f>'1. 소켓인수검사'!D14</f>
        <v>450</v>
      </c>
      <c r="E13" s="42"/>
      <c r="F13" s="187"/>
      <c r="G13" s="43">
        <f t="shared" si="0"/>
        <v>495</v>
      </c>
      <c r="H13" s="44">
        <f t="shared" si="1"/>
        <v>6</v>
      </c>
      <c r="I13" s="187"/>
      <c r="J13" s="145"/>
      <c r="K13" s="146"/>
      <c r="L13" s="44"/>
      <c r="M13" s="187"/>
      <c r="N13" s="145">
        <f t="shared" si="2"/>
        <v>415</v>
      </c>
      <c r="O13" s="146"/>
      <c r="P13" s="44">
        <v>2</v>
      </c>
      <c r="Q13" s="184"/>
      <c r="R13" s="186"/>
      <c r="S13" s="202"/>
      <c r="T13" s="44">
        <f t="shared" si="3"/>
        <v>6</v>
      </c>
      <c r="U13" s="184"/>
      <c r="V13" s="186"/>
      <c r="W13" s="180"/>
      <c r="X13" s="181"/>
      <c r="Y13" s="182"/>
      <c r="Z13" s="44">
        <f t="shared" si="4"/>
        <v>3</v>
      </c>
      <c r="AA13" s="49"/>
      <c r="AB13">
        <f t="shared" si="5"/>
        <v>600</v>
      </c>
      <c r="AC13">
        <f t="shared" si="6"/>
        <v>550</v>
      </c>
      <c r="AD13">
        <f t="shared" si="7"/>
        <v>2300</v>
      </c>
      <c r="AE13">
        <f t="shared" si="8"/>
        <v>2.2999999999999998</v>
      </c>
      <c r="AF13" s="102">
        <f t="shared" si="9"/>
        <v>2.6449999999999996</v>
      </c>
      <c r="AG13" s="103">
        <f t="shared" si="10"/>
        <v>3</v>
      </c>
      <c r="AH13">
        <f t="shared" si="11"/>
        <v>2100</v>
      </c>
      <c r="AI13">
        <f t="shared" si="12"/>
        <v>2.1</v>
      </c>
      <c r="AJ13" s="102">
        <f t="shared" si="13"/>
        <v>2.415</v>
      </c>
      <c r="AK13" s="106">
        <f t="shared" si="14"/>
        <v>3</v>
      </c>
    </row>
    <row r="14" spans="1:37">
      <c r="A14" s="40" t="str">
        <f>'1. 소켓인수검사'!A15</f>
        <v>07</v>
      </c>
      <c r="B14" s="52" t="s">
        <v>1</v>
      </c>
      <c r="C14" s="46">
        <f>'1. 소켓인수검사'!C15</f>
        <v>500</v>
      </c>
      <c r="D14" s="46">
        <f>'1. 소켓인수검사'!D15</f>
        <v>450</v>
      </c>
      <c r="E14" s="42"/>
      <c r="F14" s="187"/>
      <c r="G14" s="43">
        <f t="shared" si="0"/>
        <v>495</v>
      </c>
      <c r="H14" s="44">
        <f t="shared" si="1"/>
        <v>6</v>
      </c>
      <c r="I14" s="187"/>
      <c r="J14" s="145"/>
      <c r="K14" s="146"/>
      <c r="L14" s="44"/>
      <c r="M14" s="187"/>
      <c r="N14" s="145">
        <f t="shared" si="2"/>
        <v>415</v>
      </c>
      <c r="O14" s="146"/>
      <c r="P14" s="44">
        <v>2</v>
      </c>
      <c r="Q14" s="184"/>
      <c r="R14" s="186"/>
      <c r="S14" s="202"/>
      <c r="T14" s="44">
        <f t="shared" si="3"/>
        <v>6</v>
      </c>
      <c r="U14" s="184"/>
      <c r="V14" s="186"/>
      <c r="W14" s="180"/>
      <c r="X14" s="181"/>
      <c r="Y14" s="182"/>
      <c r="Z14" s="44">
        <f t="shared" si="4"/>
        <v>3</v>
      </c>
      <c r="AA14" s="49"/>
      <c r="AB14">
        <f t="shared" si="5"/>
        <v>600</v>
      </c>
      <c r="AC14">
        <f t="shared" si="6"/>
        <v>550</v>
      </c>
      <c r="AD14">
        <f t="shared" si="7"/>
        <v>2300</v>
      </c>
      <c r="AE14">
        <f t="shared" si="8"/>
        <v>2.2999999999999998</v>
      </c>
      <c r="AF14" s="102">
        <f t="shared" si="9"/>
        <v>2.6449999999999996</v>
      </c>
      <c r="AG14" s="103">
        <f t="shared" si="10"/>
        <v>3</v>
      </c>
      <c r="AH14">
        <f t="shared" si="11"/>
        <v>2100</v>
      </c>
      <c r="AI14">
        <f t="shared" si="12"/>
        <v>2.1</v>
      </c>
      <c r="AJ14" s="102">
        <f t="shared" si="13"/>
        <v>2.415</v>
      </c>
      <c r="AK14" s="106">
        <f t="shared" si="14"/>
        <v>3</v>
      </c>
    </row>
    <row r="15" spans="1:37">
      <c r="A15" s="40" t="str">
        <f>'1. 소켓인수검사'!A16</f>
        <v>08</v>
      </c>
      <c r="B15" s="52" t="s">
        <v>1</v>
      </c>
      <c r="C15" s="46">
        <f>'1. 소켓인수검사'!C16</f>
        <v>500</v>
      </c>
      <c r="D15" s="46">
        <f>'1. 소켓인수검사'!D16</f>
        <v>450</v>
      </c>
      <c r="E15" s="42"/>
      <c r="F15" s="187"/>
      <c r="G15" s="43">
        <f t="shared" si="0"/>
        <v>495</v>
      </c>
      <c r="H15" s="44">
        <f t="shared" si="1"/>
        <v>6</v>
      </c>
      <c r="I15" s="187"/>
      <c r="J15" s="145"/>
      <c r="K15" s="146"/>
      <c r="L15" s="44"/>
      <c r="M15" s="187"/>
      <c r="N15" s="145">
        <f t="shared" si="2"/>
        <v>415</v>
      </c>
      <c r="O15" s="146"/>
      <c r="P15" s="44">
        <v>2</v>
      </c>
      <c r="Q15" s="184"/>
      <c r="R15" s="186"/>
      <c r="S15" s="202"/>
      <c r="T15" s="44">
        <f t="shared" si="3"/>
        <v>6</v>
      </c>
      <c r="U15" s="184"/>
      <c r="V15" s="186"/>
      <c r="W15" s="180"/>
      <c r="X15" s="181"/>
      <c r="Y15" s="182"/>
      <c r="Z15" s="44">
        <f t="shared" si="4"/>
        <v>3</v>
      </c>
      <c r="AA15" s="49"/>
      <c r="AB15">
        <f t="shared" si="5"/>
        <v>600</v>
      </c>
      <c r="AC15">
        <f t="shared" si="6"/>
        <v>550</v>
      </c>
      <c r="AD15">
        <f t="shared" si="7"/>
        <v>2300</v>
      </c>
      <c r="AE15">
        <f t="shared" si="8"/>
        <v>2.2999999999999998</v>
      </c>
      <c r="AF15" s="102">
        <f t="shared" si="9"/>
        <v>2.6449999999999996</v>
      </c>
      <c r="AG15" s="103">
        <f t="shared" si="10"/>
        <v>3</v>
      </c>
      <c r="AH15">
        <f t="shared" si="11"/>
        <v>2100</v>
      </c>
      <c r="AI15">
        <f t="shared" si="12"/>
        <v>2.1</v>
      </c>
      <c r="AJ15" s="102">
        <f t="shared" si="13"/>
        <v>2.415</v>
      </c>
      <c r="AK15" s="106">
        <f t="shared" si="14"/>
        <v>3</v>
      </c>
    </row>
    <row r="16" spans="1:37">
      <c r="A16" s="198" t="s">
        <v>25</v>
      </c>
      <c r="B16" s="199"/>
      <c r="C16" s="199"/>
      <c r="D16" s="199"/>
      <c r="E16" s="199"/>
      <c r="F16" s="199"/>
      <c r="G16" s="199"/>
      <c r="H16" s="199"/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50">
        <f>SUM(T8:T15)</f>
        <v>40</v>
      </c>
      <c r="U16" s="80"/>
      <c r="V16" s="81"/>
      <c r="W16" s="200"/>
      <c r="X16" s="200"/>
      <c r="Y16" s="200"/>
      <c r="Z16" s="50">
        <f>SUM(Z8:Z15)</f>
        <v>24</v>
      </c>
      <c r="AA16" s="49"/>
    </row>
    <row r="17" spans="1:27" ht="8.1" customHeight="1">
      <c r="A17" s="153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5"/>
      <c r="N17" s="5"/>
      <c r="O17" s="5"/>
      <c r="P17" s="5"/>
      <c r="AA17" s="5"/>
    </row>
    <row r="18" spans="1:27">
      <c r="A18" s="188" t="s">
        <v>6</v>
      </c>
      <c r="B18" s="188"/>
      <c r="C18" s="188"/>
      <c r="D18" s="189" t="s">
        <v>61</v>
      </c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1"/>
    </row>
    <row r="19" spans="1:27">
      <c r="A19" s="188"/>
      <c r="B19" s="188"/>
      <c r="C19" s="188"/>
      <c r="D19" s="192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4"/>
    </row>
    <row r="20" spans="1:27">
      <c r="A20" s="188"/>
      <c r="B20" s="188"/>
      <c r="C20" s="188"/>
      <c r="D20" s="192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4"/>
    </row>
    <row r="21" spans="1:27">
      <c r="A21" s="188"/>
      <c r="B21" s="188"/>
      <c r="C21" s="188"/>
      <c r="D21" s="192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4"/>
    </row>
    <row r="22" spans="1:27">
      <c r="A22" s="188"/>
      <c r="B22" s="188"/>
      <c r="C22" s="188"/>
      <c r="D22" s="192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4"/>
    </row>
    <row r="23" spans="1:27">
      <c r="A23" s="188"/>
      <c r="B23" s="188"/>
      <c r="C23" s="188"/>
      <c r="D23" s="195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7"/>
    </row>
  </sheetData>
  <mergeCells count="51">
    <mergeCell ref="V8:V15"/>
    <mergeCell ref="I8:I15"/>
    <mergeCell ref="F8:F15"/>
    <mergeCell ref="N13:O13"/>
    <mergeCell ref="N14:O14"/>
    <mergeCell ref="N15:O15"/>
    <mergeCell ref="J11:K11"/>
    <mergeCell ref="J12:K12"/>
    <mergeCell ref="A17:L17"/>
    <mergeCell ref="A18:C23"/>
    <mergeCell ref="D18:AA23"/>
    <mergeCell ref="A16:S16"/>
    <mergeCell ref="W16:Y16"/>
    <mergeCell ref="C6:C7"/>
    <mergeCell ref="D6:D7"/>
    <mergeCell ref="F6:H6"/>
    <mergeCell ref="I6:L6"/>
    <mergeCell ref="Q6:T6"/>
    <mergeCell ref="J7:K7"/>
    <mergeCell ref="W7:Y7"/>
    <mergeCell ref="J15:K15"/>
    <mergeCell ref="J9:K9"/>
    <mergeCell ref="J10:K10"/>
    <mergeCell ref="W8:Y15"/>
    <mergeCell ref="Q8:Q15"/>
    <mergeCell ref="R8:R15"/>
    <mergeCell ref="M8:M15"/>
    <mergeCell ref="N8:O8"/>
    <mergeCell ref="N9:O9"/>
    <mergeCell ref="N10:O10"/>
    <mergeCell ref="N11:O11"/>
    <mergeCell ref="N12:O12"/>
    <mergeCell ref="J8:K8"/>
    <mergeCell ref="S8:S15"/>
    <mergeCell ref="U8:U15"/>
    <mergeCell ref="J13:K13"/>
    <mergeCell ref="J14:K14"/>
    <mergeCell ref="A1:D3"/>
    <mergeCell ref="A4:L4"/>
    <mergeCell ref="A5:A7"/>
    <mergeCell ref="B5:B7"/>
    <mergeCell ref="C5:D5"/>
    <mergeCell ref="E5:E7"/>
    <mergeCell ref="F2:I3"/>
    <mergeCell ref="J2:AA3"/>
    <mergeCell ref="F5:P5"/>
    <mergeCell ref="M6:P6"/>
    <mergeCell ref="N7:O7"/>
    <mergeCell ref="Q5:Z5"/>
    <mergeCell ref="AA5:AA7"/>
    <mergeCell ref="U6:Z6"/>
  </mergeCells>
  <phoneticPr fontId="33" type="noConversion"/>
  <pageMargins left="0.39361110329627991" right="0.19680555164813995" top="0.47236111760139465" bottom="0.31486111879348755" header="0.31486111879348755" footer="0.31486111879348755"/>
  <pageSetup paperSize="9" scale="8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Y16"/>
  <sheetViews>
    <sheetView view="pageBreakPreview" zoomScale="85" zoomScaleNormal="85" zoomScaleSheetLayoutView="85" workbookViewId="0">
      <pane ySplit="7" topLeftCell="A8" activePane="bottomLeft" state="frozen"/>
      <selection pane="bottomLeft" activeCell="A16" sqref="A16:XFD127"/>
    </sheetView>
  </sheetViews>
  <sheetFormatPr defaultColWidth="9" defaultRowHeight="16.5"/>
  <cols>
    <col min="1" max="1" width="3.125" style="6" customWidth="1"/>
    <col min="2" max="2" width="5.125" style="6" customWidth="1"/>
    <col min="3" max="4" width="4" style="6" customWidth="1"/>
    <col min="5" max="5" width="3.75" style="6" customWidth="1"/>
    <col min="6" max="6" width="19" style="6" hidden="1" customWidth="1"/>
    <col min="7" max="7" width="4.5" style="6" customWidth="1"/>
    <col min="8" max="8" width="4.625" style="6" customWidth="1"/>
    <col min="9" max="9" width="6.75" style="6" customWidth="1"/>
    <col min="10" max="10" width="5.375" style="6" customWidth="1"/>
    <col min="11" max="11" width="4.5" style="6" customWidth="1"/>
    <col min="12" max="12" width="5.125" style="6" customWidth="1"/>
    <col min="13" max="15" width="2.25" style="6" customWidth="1"/>
    <col min="16" max="16" width="5.375" style="6" customWidth="1"/>
    <col min="17" max="17" width="4.5" style="6" customWidth="1"/>
    <col min="18" max="18" width="4.125" style="6" customWidth="1"/>
    <col min="19" max="21" width="2.25" style="6" customWidth="1"/>
    <col min="22" max="22" width="5.375" style="6" customWidth="1"/>
    <col min="23" max="23" width="4.5" style="6" customWidth="1"/>
    <col min="24" max="24" width="4.125" style="6" customWidth="1"/>
    <col min="25" max="27" width="2.25" style="6" customWidth="1"/>
    <col min="28" max="28" width="5.375" style="6" customWidth="1"/>
    <col min="29" max="29" width="4.5" style="6" customWidth="1"/>
    <col min="30" max="30" width="5.125" style="6" customWidth="1"/>
    <col min="31" max="33" width="2.25" style="6" customWidth="1"/>
    <col min="34" max="34" width="5.375" style="6" customWidth="1"/>
    <col min="35" max="35" width="4.5" style="6" customWidth="1"/>
    <col min="36" max="36" width="5.625" style="6" customWidth="1"/>
    <col min="37" max="39" width="2.125" style="6" customWidth="1"/>
    <col min="40" max="40" width="5" style="6" customWidth="1"/>
    <col min="41" max="41" width="9.75" style="6" hidden="1" customWidth="1"/>
    <col min="42" max="42" width="5.125" style="6" customWidth="1"/>
    <col min="43" max="43" width="6.375" style="6" customWidth="1"/>
    <col min="44" max="44" width="6.125" style="6" customWidth="1"/>
    <col min="45" max="45" width="4.375" style="6" customWidth="1"/>
    <col min="46" max="46" width="5.25" style="6" customWidth="1"/>
    <col min="47" max="47" width="5.375" style="6" customWidth="1"/>
    <col min="48" max="50" width="2" style="6" customWidth="1"/>
    <col min="51" max="51" width="5.25" style="6" customWidth="1"/>
    <col min="52" max="16384" width="9" style="6"/>
  </cols>
  <sheetData>
    <row r="1" spans="1:51" ht="16.5" customHeight="1" thickTop="1">
      <c r="A1" s="211"/>
      <c r="B1" s="212"/>
      <c r="C1" s="212"/>
      <c r="D1" s="212"/>
      <c r="E1" s="212"/>
      <c r="F1" s="94"/>
      <c r="G1" s="219" t="s">
        <v>82</v>
      </c>
      <c r="H1" s="219"/>
      <c r="I1" s="219"/>
      <c r="J1" s="219"/>
      <c r="K1" s="219"/>
      <c r="L1" s="219"/>
      <c r="M1" s="222" t="str">
        <f>'1. 소켓인수검사'!R1</f>
        <v>26.06.23 이신이엔지_진성방재_포스코이앤씨_속초더샾프라임뷰</v>
      </c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  <c r="AX1" s="222"/>
      <c r="AY1" s="223"/>
    </row>
    <row r="2" spans="1:51" ht="41.25">
      <c r="A2" s="213"/>
      <c r="B2" s="214"/>
      <c r="C2" s="214"/>
      <c r="D2" s="214"/>
      <c r="E2" s="214"/>
      <c r="F2" s="34"/>
      <c r="G2" s="220"/>
      <c r="H2" s="220"/>
      <c r="I2" s="220"/>
      <c r="J2" s="220"/>
      <c r="K2" s="220"/>
      <c r="L2" s="220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4"/>
      <c r="AQ2" s="224"/>
      <c r="AR2" s="224"/>
      <c r="AS2" s="224"/>
      <c r="AT2" s="224"/>
      <c r="AU2" s="224"/>
      <c r="AV2" s="224"/>
      <c r="AW2" s="224"/>
      <c r="AX2" s="224"/>
      <c r="AY2" s="225"/>
    </row>
    <row r="3" spans="1:51" ht="42" thickBot="1">
      <c r="A3" s="215"/>
      <c r="B3" s="216"/>
      <c r="C3" s="216"/>
      <c r="D3" s="216"/>
      <c r="E3" s="216"/>
      <c r="F3" s="95"/>
      <c r="G3" s="221"/>
      <c r="H3" s="221"/>
      <c r="I3" s="221"/>
      <c r="J3" s="221"/>
      <c r="K3" s="221"/>
      <c r="L3" s="221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6"/>
      <c r="AP3" s="226"/>
      <c r="AQ3" s="226"/>
      <c r="AR3" s="226"/>
      <c r="AS3" s="226"/>
      <c r="AT3" s="226"/>
      <c r="AU3" s="226"/>
      <c r="AV3" s="226"/>
      <c r="AW3" s="226"/>
      <c r="AX3" s="226"/>
      <c r="AY3" s="227"/>
    </row>
    <row r="4" spans="1:51" ht="8.1" customHeight="1" thickTop="1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36"/>
      <c r="AQ4" s="36"/>
      <c r="AR4" s="36"/>
      <c r="AS4" s="36"/>
      <c r="AT4" s="36"/>
      <c r="AU4" s="36"/>
      <c r="AV4" s="36"/>
      <c r="AW4" s="36"/>
      <c r="AX4" s="36"/>
      <c r="AY4" s="36"/>
    </row>
    <row r="5" spans="1:51" ht="21" customHeight="1">
      <c r="A5" s="218" t="s">
        <v>27</v>
      </c>
      <c r="B5" s="108"/>
      <c r="C5" s="210" t="s">
        <v>26</v>
      </c>
      <c r="D5" s="210"/>
      <c r="E5" s="210" t="s">
        <v>39</v>
      </c>
      <c r="F5" s="210" t="s">
        <v>43</v>
      </c>
      <c r="G5" s="210" t="s">
        <v>46</v>
      </c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  <c r="AG5" s="210"/>
      <c r="AH5" s="210"/>
      <c r="AI5" s="210"/>
      <c r="AJ5" s="210"/>
      <c r="AK5" s="210"/>
      <c r="AL5" s="210"/>
      <c r="AM5" s="210"/>
      <c r="AN5" s="210"/>
      <c r="AO5" s="110" t="s">
        <v>12</v>
      </c>
      <c r="AP5" s="210" t="s">
        <v>46</v>
      </c>
      <c r="AQ5" s="210"/>
      <c r="AR5" s="210"/>
      <c r="AS5" s="210"/>
      <c r="AT5" s="210"/>
      <c r="AU5" s="210"/>
      <c r="AV5" s="210"/>
      <c r="AW5" s="210"/>
      <c r="AX5" s="210"/>
      <c r="AY5" s="210"/>
    </row>
    <row r="6" spans="1:51" ht="21" customHeight="1">
      <c r="A6" s="218"/>
      <c r="B6" s="210" t="s">
        <v>32</v>
      </c>
      <c r="C6" s="210" t="s">
        <v>28</v>
      </c>
      <c r="D6" s="210" t="s">
        <v>16</v>
      </c>
      <c r="E6" s="210"/>
      <c r="F6" s="210"/>
      <c r="G6" s="210" t="s">
        <v>11</v>
      </c>
      <c r="H6" s="210"/>
      <c r="I6" s="210"/>
      <c r="J6" s="210"/>
      <c r="K6" s="210" t="s">
        <v>14</v>
      </c>
      <c r="L6" s="210"/>
      <c r="M6" s="210"/>
      <c r="N6" s="210"/>
      <c r="O6" s="210"/>
      <c r="P6" s="210"/>
      <c r="Q6" s="210" t="s">
        <v>109</v>
      </c>
      <c r="R6" s="210"/>
      <c r="S6" s="210"/>
      <c r="T6" s="210"/>
      <c r="U6" s="210"/>
      <c r="V6" s="210"/>
      <c r="W6" s="210" t="s">
        <v>13</v>
      </c>
      <c r="X6" s="210"/>
      <c r="Y6" s="210"/>
      <c r="Z6" s="210"/>
      <c r="AA6" s="210"/>
      <c r="AB6" s="210"/>
      <c r="AC6" s="210" t="s">
        <v>67</v>
      </c>
      <c r="AD6" s="210"/>
      <c r="AE6" s="210"/>
      <c r="AF6" s="210"/>
      <c r="AG6" s="210"/>
      <c r="AH6" s="210"/>
      <c r="AI6" s="210" t="s">
        <v>73</v>
      </c>
      <c r="AJ6" s="210"/>
      <c r="AK6" s="210"/>
      <c r="AL6" s="210"/>
      <c r="AM6" s="210"/>
      <c r="AN6" s="210"/>
      <c r="AO6" s="110"/>
      <c r="AP6" s="210" t="s">
        <v>57</v>
      </c>
      <c r="AQ6" s="210"/>
      <c r="AR6" s="210"/>
      <c r="AS6" s="210"/>
      <c r="AT6" s="210" t="s">
        <v>59</v>
      </c>
      <c r="AU6" s="210"/>
      <c r="AV6" s="210"/>
      <c r="AW6" s="210"/>
      <c r="AX6" s="210"/>
      <c r="AY6" s="210"/>
    </row>
    <row r="7" spans="1:51" ht="24.75" customHeight="1">
      <c r="A7" s="218"/>
      <c r="B7" s="210"/>
      <c r="C7" s="210"/>
      <c r="D7" s="210"/>
      <c r="E7" s="210"/>
      <c r="F7" s="210"/>
      <c r="G7" s="109" t="s">
        <v>31</v>
      </c>
      <c r="H7" s="109" t="s">
        <v>20</v>
      </c>
      <c r="I7" s="109" t="s">
        <v>26</v>
      </c>
      <c r="J7" s="109" t="s">
        <v>39</v>
      </c>
      <c r="K7" s="109" t="s">
        <v>31</v>
      </c>
      <c r="L7" s="109" t="s">
        <v>20</v>
      </c>
      <c r="M7" s="210" t="s">
        <v>26</v>
      </c>
      <c r="N7" s="210"/>
      <c r="O7" s="210"/>
      <c r="P7" s="109" t="s">
        <v>36</v>
      </c>
      <c r="Q7" s="109" t="s">
        <v>31</v>
      </c>
      <c r="R7" s="109" t="s">
        <v>20</v>
      </c>
      <c r="S7" s="210" t="s">
        <v>26</v>
      </c>
      <c r="T7" s="210"/>
      <c r="U7" s="210"/>
      <c r="V7" s="109" t="s">
        <v>36</v>
      </c>
      <c r="W7" s="109" t="s">
        <v>31</v>
      </c>
      <c r="X7" s="109" t="s">
        <v>20</v>
      </c>
      <c r="Y7" s="210" t="s">
        <v>26</v>
      </c>
      <c r="Z7" s="210"/>
      <c r="AA7" s="210"/>
      <c r="AB7" s="109" t="s">
        <v>36</v>
      </c>
      <c r="AC7" s="109" t="s">
        <v>31</v>
      </c>
      <c r="AD7" s="109" t="s">
        <v>20</v>
      </c>
      <c r="AE7" s="210" t="s">
        <v>26</v>
      </c>
      <c r="AF7" s="210"/>
      <c r="AG7" s="210"/>
      <c r="AH7" s="109" t="s">
        <v>36</v>
      </c>
      <c r="AI7" s="109" t="s">
        <v>31</v>
      </c>
      <c r="AJ7" s="109" t="s">
        <v>20</v>
      </c>
      <c r="AK7" s="210" t="s">
        <v>26</v>
      </c>
      <c r="AL7" s="210"/>
      <c r="AM7" s="210"/>
      <c r="AN7" s="109" t="s">
        <v>36</v>
      </c>
      <c r="AO7" s="110"/>
      <c r="AP7" s="109" t="s">
        <v>31</v>
      </c>
      <c r="AQ7" s="109" t="s">
        <v>20</v>
      </c>
      <c r="AR7" s="109" t="s">
        <v>26</v>
      </c>
      <c r="AS7" s="109" t="s">
        <v>39</v>
      </c>
      <c r="AT7" s="109" t="s">
        <v>31</v>
      </c>
      <c r="AU7" s="109" t="s">
        <v>20</v>
      </c>
      <c r="AV7" s="210" t="s">
        <v>26</v>
      </c>
      <c r="AW7" s="210"/>
      <c r="AX7" s="210"/>
      <c r="AY7" s="109" t="s">
        <v>36</v>
      </c>
    </row>
    <row r="8" spans="1:51" ht="16.5" customHeight="1">
      <c r="A8" s="111" t="str">
        <f>'1. 소켓인수검사'!A9</f>
        <v>01</v>
      </c>
      <c r="B8" s="52" t="s">
        <v>1</v>
      </c>
      <c r="C8" s="44">
        <f>'1. 소켓인수검사'!C9</f>
        <v>400</v>
      </c>
      <c r="D8" s="44">
        <f>'1. 소켓인수검사'!D9</f>
        <v>300</v>
      </c>
      <c r="E8" s="41">
        <v>1</v>
      </c>
      <c r="F8" s="42"/>
      <c r="G8" s="204" t="s">
        <v>79</v>
      </c>
      <c r="H8" s="229">
        <v>60</v>
      </c>
      <c r="I8" s="41">
        <f>(C8)-5</f>
        <v>395</v>
      </c>
      <c r="J8" s="41">
        <v>2</v>
      </c>
      <c r="K8" s="204" t="s">
        <v>79</v>
      </c>
      <c r="L8" s="230">
        <v>274</v>
      </c>
      <c r="M8" s="209">
        <f>C8-5</f>
        <v>395</v>
      </c>
      <c r="N8" s="209" t="e">
        <f>(#REF!-20)/2-10</f>
        <v>#REF!</v>
      </c>
      <c r="O8" s="209" t="e">
        <f>(#REF!-20)/2-10</f>
        <v>#REF!</v>
      </c>
      <c r="P8" s="41">
        <v>2</v>
      </c>
      <c r="Q8" s="205" t="s">
        <v>69</v>
      </c>
      <c r="R8" s="208">
        <v>60</v>
      </c>
      <c r="S8" s="209">
        <f>D8-35</f>
        <v>265</v>
      </c>
      <c r="T8" s="209" t="e">
        <v>#REF!</v>
      </c>
      <c r="U8" s="209">
        <v>-19.5</v>
      </c>
      <c r="V8" s="41">
        <v>4</v>
      </c>
      <c r="W8" s="205" t="s">
        <v>69</v>
      </c>
      <c r="X8" s="208">
        <v>50</v>
      </c>
      <c r="Y8" s="209">
        <f>D8</f>
        <v>300</v>
      </c>
      <c r="Z8" s="209">
        <f>(F8-20)/2-10</f>
        <v>-20</v>
      </c>
      <c r="AA8" s="209" t="e">
        <f>(G8-20)/2-10</f>
        <v>#VALUE!</v>
      </c>
      <c r="AB8" s="41">
        <v>3</v>
      </c>
      <c r="AC8" s="204" t="s">
        <v>79</v>
      </c>
      <c r="AD8" s="206"/>
      <c r="AE8" s="206"/>
      <c r="AF8" s="206"/>
      <c r="AG8" s="206"/>
      <c r="AH8" s="206"/>
      <c r="AI8" s="204" t="s">
        <v>79</v>
      </c>
      <c r="AJ8" s="207"/>
      <c r="AK8" s="207"/>
      <c r="AL8" s="207"/>
      <c r="AM8" s="207"/>
      <c r="AN8" s="207"/>
      <c r="AO8" s="41"/>
      <c r="AP8" s="204" t="s">
        <v>68</v>
      </c>
      <c r="AQ8" s="112">
        <v>260</v>
      </c>
      <c r="AR8" s="113">
        <v>1000</v>
      </c>
      <c r="AS8" s="107">
        <f>'2.1 재단(1.69,064)'!T8/2</f>
        <v>2</v>
      </c>
      <c r="AT8" s="204" t="s">
        <v>68</v>
      </c>
      <c r="AU8" s="114">
        <v>310</v>
      </c>
      <c r="AV8" s="228">
        <v>1000</v>
      </c>
      <c r="AW8" s="228"/>
      <c r="AX8" s="228"/>
      <c r="AY8" s="107">
        <f>'2.1 재단(1.69,064)'!Z8</f>
        <v>3</v>
      </c>
    </row>
    <row r="9" spans="1:51" ht="16.5" customHeight="1">
      <c r="A9" s="111" t="str">
        <f>'1. 소켓인수검사'!A10</f>
        <v>02</v>
      </c>
      <c r="B9" s="52" t="s">
        <v>1</v>
      </c>
      <c r="C9" s="44">
        <f>'1. 소켓인수검사'!C10</f>
        <v>400</v>
      </c>
      <c r="D9" s="44">
        <f>'1. 소켓인수검사'!D10</f>
        <v>300</v>
      </c>
      <c r="E9" s="41">
        <v>1</v>
      </c>
      <c r="F9" s="42"/>
      <c r="G9" s="204"/>
      <c r="H9" s="229"/>
      <c r="I9" s="41">
        <f t="shared" ref="I9:I15" si="0">(C9)-5</f>
        <v>395</v>
      </c>
      <c r="J9" s="41">
        <v>2</v>
      </c>
      <c r="K9" s="204"/>
      <c r="L9" s="230"/>
      <c r="M9" s="209">
        <f t="shared" ref="M9:M15" si="1">C9-5</f>
        <v>395</v>
      </c>
      <c r="N9" s="209" t="e">
        <f>(#REF!-20)/2-10</f>
        <v>#REF!</v>
      </c>
      <c r="O9" s="209" t="e">
        <f>(#REF!-20)/2-10</f>
        <v>#REF!</v>
      </c>
      <c r="P9" s="41">
        <v>2</v>
      </c>
      <c r="Q9" s="205"/>
      <c r="R9" s="208"/>
      <c r="S9" s="209">
        <f t="shared" ref="S9:S15" si="2">D9-35</f>
        <v>265</v>
      </c>
      <c r="T9" s="209" t="e">
        <v>#REF!</v>
      </c>
      <c r="U9" s="209">
        <v>-19.5</v>
      </c>
      <c r="V9" s="41">
        <v>4</v>
      </c>
      <c r="W9" s="205"/>
      <c r="X9" s="208"/>
      <c r="Y9" s="209">
        <f t="shared" ref="Y9:Y15" si="3">D9</f>
        <v>300</v>
      </c>
      <c r="Z9" s="209">
        <f t="shared" ref="Z9:Z15" si="4">(F9-20)/2-10</f>
        <v>-20</v>
      </c>
      <c r="AA9" s="209">
        <f t="shared" ref="AA9:AA15" si="5">(G9-20)/2-10</f>
        <v>-20</v>
      </c>
      <c r="AB9" s="41">
        <v>3</v>
      </c>
      <c r="AC9" s="204"/>
      <c r="AD9" s="206"/>
      <c r="AE9" s="206"/>
      <c r="AF9" s="206"/>
      <c r="AG9" s="206"/>
      <c r="AH9" s="206"/>
      <c r="AI9" s="204"/>
      <c r="AJ9" s="207"/>
      <c r="AK9" s="207"/>
      <c r="AL9" s="207"/>
      <c r="AM9" s="207"/>
      <c r="AN9" s="207"/>
      <c r="AO9" s="41"/>
      <c r="AP9" s="204"/>
      <c r="AQ9" s="112">
        <v>260</v>
      </c>
      <c r="AR9" s="113">
        <v>1000</v>
      </c>
      <c r="AS9" s="107">
        <f>'2.1 재단(1.69,064)'!T9/2</f>
        <v>2</v>
      </c>
      <c r="AT9" s="204"/>
      <c r="AU9" s="114">
        <v>310</v>
      </c>
      <c r="AV9" s="228">
        <v>1000</v>
      </c>
      <c r="AW9" s="228"/>
      <c r="AX9" s="228"/>
      <c r="AY9" s="107">
        <f>'2.1 재단(1.69,064)'!Z9</f>
        <v>3</v>
      </c>
    </row>
    <row r="10" spans="1:51" ht="16.5" customHeight="1">
      <c r="A10" s="111" t="str">
        <f>'1. 소켓인수검사'!A11</f>
        <v>03</v>
      </c>
      <c r="B10" s="52" t="s">
        <v>1</v>
      </c>
      <c r="C10" s="44">
        <f>'1. 소켓인수검사'!C11</f>
        <v>400</v>
      </c>
      <c r="D10" s="44">
        <f>'1. 소켓인수검사'!D11</f>
        <v>300</v>
      </c>
      <c r="E10" s="41">
        <v>1</v>
      </c>
      <c r="F10" s="42"/>
      <c r="G10" s="204"/>
      <c r="H10" s="229"/>
      <c r="I10" s="41">
        <f t="shared" si="0"/>
        <v>395</v>
      </c>
      <c r="J10" s="41">
        <v>2</v>
      </c>
      <c r="K10" s="204"/>
      <c r="L10" s="230"/>
      <c r="M10" s="209">
        <f t="shared" si="1"/>
        <v>395</v>
      </c>
      <c r="N10" s="209" t="e">
        <f>(#REF!-20)/2-10</f>
        <v>#REF!</v>
      </c>
      <c r="O10" s="209" t="e">
        <f>(#REF!-20)/2-10</f>
        <v>#REF!</v>
      </c>
      <c r="P10" s="41">
        <v>2</v>
      </c>
      <c r="Q10" s="205"/>
      <c r="R10" s="208"/>
      <c r="S10" s="209">
        <f t="shared" si="2"/>
        <v>265</v>
      </c>
      <c r="T10" s="209" t="e">
        <v>#REF!</v>
      </c>
      <c r="U10" s="209">
        <v>-19.5</v>
      </c>
      <c r="V10" s="41">
        <v>4</v>
      </c>
      <c r="W10" s="205"/>
      <c r="X10" s="208"/>
      <c r="Y10" s="209">
        <f t="shared" si="3"/>
        <v>300</v>
      </c>
      <c r="Z10" s="209">
        <f t="shared" si="4"/>
        <v>-20</v>
      </c>
      <c r="AA10" s="209">
        <f t="shared" si="5"/>
        <v>-20</v>
      </c>
      <c r="AB10" s="41">
        <v>3</v>
      </c>
      <c r="AC10" s="204"/>
      <c r="AD10" s="206"/>
      <c r="AE10" s="206"/>
      <c r="AF10" s="206"/>
      <c r="AG10" s="206"/>
      <c r="AH10" s="206"/>
      <c r="AI10" s="204"/>
      <c r="AJ10" s="207"/>
      <c r="AK10" s="207"/>
      <c r="AL10" s="207"/>
      <c r="AM10" s="207"/>
      <c r="AN10" s="207"/>
      <c r="AO10" s="41"/>
      <c r="AP10" s="204"/>
      <c r="AQ10" s="112">
        <v>260</v>
      </c>
      <c r="AR10" s="113">
        <v>1000</v>
      </c>
      <c r="AS10" s="107">
        <f>'2.1 재단(1.69,064)'!T10/2</f>
        <v>2</v>
      </c>
      <c r="AT10" s="204"/>
      <c r="AU10" s="114">
        <v>310</v>
      </c>
      <c r="AV10" s="228">
        <v>1000</v>
      </c>
      <c r="AW10" s="228"/>
      <c r="AX10" s="228"/>
      <c r="AY10" s="107">
        <f>'2.1 재단(1.69,064)'!Z10</f>
        <v>3</v>
      </c>
    </row>
    <row r="11" spans="1:51" ht="16.5" customHeight="1">
      <c r="A11" s="111" t="str">
        <f>'1. 소켓인수검사'!A12</f>
        <v>04</v>
      </c>
      <c r="B11" s="52" t="s">
        <v>1</v>
      </c>
      <c r="C11" s="44">
        <f>'1. 소켓인수검사'!C12</f>
        <v>400</v>
      </c>
      <c r="D11" s="44">
        <f>'1. 소켓인수검사'!D12</f>
        <v>300</v>
      </c>
      <c r="E11" s="41">
        <v>1</v>
      </c>
      <c r="F11" s="42"/>
      <c r="G11" s="204"/>
      <c r="H11" s="229"/>
      <c r="I11" s="41">
        <f t="shared" si="0"/>
        <v>395</v>
      </c>
      <c r="J11" s="41">
        <v>2</v>
      </c>
      <c r="K11" s="204"/>
      <c r="L11" s="230"/>
      <c r="M11" s="209">
        <f t="shared" si="1"/>
        <v>395</v>
      </c>
      <c r="N11" s="209" t="e">
        <f>(#REF!-20)/2-10</f>
        <v>#REF!</v>
      </c>
      <c r="O11" s="209" t="e">
        <f>(#REF!-20)/2-10</f>
        <v>#REF!</v>
      </c>
      <c r="P11" s="41">
        <v>2</v>
      </c>
      <c r="Q11" s="205"/>
      <c r="R11" s="208"/>
      <c r="S11" s="209">
        <f t="shared" si="2"/>
        <v>265</v>
      </c>
      <c r="T11" s="209" t="e">
        <v>#REF!</v>
      </c>
      <c r="U11" s="209">
        <v>-19.5</v>
      </c>
      <c r="V11" s="41">
        <v>4</v>
      </c>
      <c r="W11" s="205"/>
      <c r="X11" s="208"/>
      <c r="Y11" s="209">
        <f t="shared" si="3"/>
        <v>300</v>
      </c>
      <c r="Z11" s="209">
        <f t="shared" si="4"/>
        <v>-20</v>
      </c>
      <c r="AA11" s="209">
        <f t="shared" si="5"/>
        <v>-20</v>
      </c>
      <c r="AB11" s="41">
        <v>3</v>
      </c>
      <c r="AC11" s="204"/>
      <c r="AD11" s="206"/>
      <c r="AE11" s="206"/>
      <c r="AF11" s="206"/>
      <c r="AG11" s="206"/>
      <c r="AH11" s="206"/>
      <c r="AI11" s="204"/>
      <c r="AJ11" s="207"/>
      <c r="AK11" s="207"/>
      <c r="AL11" s="207"/>
      <c r="AM11" s="207"/>
      <c r="AN11" s="207"/>
      <c r="AO11" s="41"/>
      <c r="AP11" s="204"/>
      <c r="AQ11" s="112">
        <v>260</v>
      </c>
      <c r="AR11" s="113">
        <v>1000</v>
      </c>
      <c r="AS11" s="107">
        <f>'2.1 재단(1.69,064)'!T11/2</f>
        <v>2</v>
      </c>
      <c r="AT11" s="204"/>
      <c r="AU11" s="114">
        <v>310</v>
      </c>
      <c r="AV11" s="228">
        <v>1000</v>
      </c>
      <c r="AW11" s="228"/>
      <c r="AX11" s="228"/>
      <c r="AY11" s="107">
        <f>'2.1 재단(1.69,064)'!Z11</f>
        <v>3</v>
      </c>
    </row>
    <row r="12" spans="1:51" ht="16.5" customHeight="1">
      <c r="A12" s="111" t="str">
        <f>'1. 소켓인수검사'!A13</f>
        <v>05</v>
      </c>
      <c r="B12" s="52" t="s">
        <v>1</v>
      </c>
      <c r="C12" s="46">
        <f>'1. 소켓인수검사'!C13</f>
        <v>500</v>
      </c>
      <c r="D12" s="46">
        <f>'1. 소켓인수검사'!D13</f>
        <v>450</v>
      </c>
      <c r="E12" s="41">
        <v>1</v>
      </c>
      <c r="F12" s="42"/>
      <c r="G12" s="204"/>
      <c r="H12" s="229"/>
      <c r="I12" s="41">
        <f t="shared" si="0"/>
        <v>495</v>
      </c>
      <c r="J12" s="41">
        <v>2</v>
      </c>
      <c r="K12" s="204"/>
      <c r="L12" s="230"/>
      <c r="M12" s="209">
        <f t="shared" si="1"/>
        <v>495</v>
      </c>
      <c r="N12" s="209" t="e">
        <f>(#REF!-20)/2-10</f>
        <v>#REF!</v>
      </c>
      <c r="O12" s="209" t="e">
        <f>(#REF!-20)/2-10</f>
        <v>#REF!</v>
      </c>
      <c r="P12" s="41">
        <v>2</v>
      </c>
      <c r="Q12" s="205"/>
      <c r="R12" s="208"/>
      <c r="S12" s="209">
        <f t="shared" si="2"/>
        <v>415</v>
      </c>
      <c r="T12" s="209" t="e">
        <v>#REF!</v>
      </c>
      <c r="U12" s="209">
        <v>-19.5</v>
      </c>
      <c r="V12" s="41">
        <v>4</v>
      </c>
      <c r="W12" s="205"/>
      <c r="X12" s="208"/>
      <c r="Y12" s="209">
        <f t="shared" si="3"/>
        <v>450</v>
      </c>
      <c r="Z12" s="209">
        <f t="shared" si="4"/>
        <v>-20</v>
      </c>
      <c r="AA12" s="209">
        <f t="shared" si="5"/>
        <v>-20</v>
      </c>
      <c r="AB12" s="41">
        <v>3</v>
      </c>
      <c r="AC12" s="204"/>
      <c r="AD12" s="206"/>
      <c r="AE12" s="206"/>
      <c r="AF12" s="206"/>
      <c r="AG12" s="206"/>
      <c r="AH12" s="206"/>
      <c r="AI12" s="204"/>
      <c r="AJ12" s="207"/>
      <c r="AK12" s="207"/>
      <c r="AL12" s="207"/>
      <c r="AM12" s="207"/>
      <c r="AN12" s="207"/>
      <c r="AO12" s="41"/>
      <c r="AP12" s="204"/>
      <c r="AQ12" s="112">
        <v>260</v>
      </c>
      <c r="AR12" s="113">
        <v>1000</v>
      </c>
      <c r="AS12" s="107">
        <f>'2.1 재단(1.69,064)'!T12/2</f>
        <v>3</v>
      </c>
      <c r="AT12" s="204"/>
      <c r="AU12" s="114">
        <v>310</v>
      </c>
      <c r="AV12" s="228">
        <v>1000</v>
      </c>
      <c r="AW12" s="228"/>
      <c r="AX12" s="228"/>
      <c r="AY12" s="107">
        <f>'2.1 재단(1.69,064)'!Z12</f>
        <v>3</v>
      </c>
    </row>
    <row r="13" spans="1:51" ht="16.5" customHeight="1">
      <c r="A13" s="111" t="str">
        <f>'1. 소켓인수검사'!A14</f>
        <v>06</v>
      </c>
      <c r="B13" s="52" t="s">
        <v>1</v>
      </c>
      <c r="C13" s="46">
        <f>'1. 소켓인수검사'!C14</f>
        <v>500</v>
      </c>
      <c r="D13" s="46">
        <f>'1. 소켓인수검사'!D14</f>
        <v>450</v>
      </c>
      <c r="E13" s="41">
        <v>1</v>
      </c>
      <c r="F13" s="42"/>
      <c r="G13" s="204"/>
      <c r="H13" s="229"/>
      <c r="I13" s="41">
        <f t="shared" si="0"/>
        <v>495</v>
      </c>
      <c r="J13" s="41">
        <v>2</v>
      </c>
      <c r="K13" s="204"/>
      <c r="L13" s="230"/>
      <c r="M13" s="209">
        <f t="shared" si="1"/>
        <v>495</v>
      </c>
      <c r="N13" s="209" t="e">
        <f>(#REF!-20)/2-10</f>
        <v>#REF!</v>
      </c>
      <c r="O13" s="209" t="e">
        <f>(#REF!-20)/2-10</f>
        <v>#REF!</v>
      </c>
      <c r="P13" s="41">
        <v>2</v>
      </c>
      <c r="Q13" s="205"/>
      <c r="R13" s="208"/>
      <c r="S13" s="209">
        <f t="shared" si="2"/>
        <v>415</v>
      </c>
      <c r="T13" s="209" t="e">
        <v>#REF!</v>
      </c>
      <c r="U13" s="209">
        <v>-19.5</v>
      </c>
      <c r="V13" s="41">
        <v>4</v>
      </c>
      <c r="W13" s="205"/>
      <c r="X13" s="208"/>
      <c r="Y13" s="209">
        <f t="shared" si="3"/>
        <v>450</v>
      </c>
      <c r="Z13" s="209">
        <f t="shared" si="4"/>
        <v>-20</v>
      </c>
      <c r="AA13" s="209">
        <f t="shared" si="5"/>
        <v>-20</v>
      </c>
      <c r="AB13" s="41">
        <v>3</v>
      </c>
      <c r="AC13" s="204"/>
      <c r="AD13" s="206"/>
      <c r="AE13" s="206"/>
      <c r="AF13" s="206"/>
      <c r="AG13" s="206"/>
      <c r="AH13" s="206"/>
      <c r="AI13" s="204"/>
      <c r="AJ13" s="207"/>
      <c r="AK13" s="207"/>
      <c r="AL13" s="207"/>
      <c r="AM13" s="207"/>
      <c r="AN13" s="207"/>
      <c r="AO13" s="41"/>
      <c r="AP13" s="204"/>
      <c r="AQ13" s="112">
        <v>260</v>
      </c>
      <c r="AR13" s="113">
        <v>1000</v>
      </c>
      <c r="AS13" s="107">
        <f>'2.1 재단(1.69,064)'!T13/2</f>
        <v>3</v>
      </c>
      <c r="AT13" s="204"/>
      <c r="AU13" s="114">
        <v>310</v>
      </c>
      <c r="AV13" s="228">
        <v>1000</v>
      </c>
      <c r="AW13" s="228"/>
      <c r="AX13" s="228"/>
      <c r="AY13" s="107">
        <f>'2.1 재단(1.69,064)'!Z13</f>
        <v>3</v>
      </c>
    </row>
    <row r="14" spans="1:51" ht="16.5" customHeight="1">
      <c r="A14" s="111" t="str">
        <f>'1. 소켓인수검사'!A15</f>
        <v>07</v>
      </c>
      <c r="B14" s="52" t="s">
        <v>1</v>
      </c>
      <c r="C14" s="46">
        <f>'1. 소켓인수검사'!C15</f>
        <v>500</v>
      </c>
      <c r="D14" s="46">
        <f>'1. 소켓인수검사'!D15</f>
        <v>450</v>
      </c>
      <c r="E14" s="41">
        <v>1</v>
      </c>
      <c r="F14" s="42"/>
      <c r="G14" s="204"/>
      <c r="H14" s="229"/>
      <c r="I14" s="41">
        <f t="shared" si="0"/>
        <v>495</v>
      </c>
      <c r="J14" s="41">
        <v>2</v>
      </c>
      <c r="K14" s="204"/>
      <c r="L14" s="230"/>
      <c r="M14" s="209">
        <f t="shared" si="1"/>
        <v>495</v>
      </c>
      <c r="N14" s="209" t="e">
        <f>(#REF!-20)/2-10</f>
        <v>#REF!</v>
      </c>
      <c r="O14" s="209" t="e">
        <f>(#REF!-20)/2-10</f>
        <v>#REF!</v>
      </c>
      <c r="P14" s="41">
        <v>2</v>
      </c>
      <c r="Q14" s="205"/>
      <c r="R14" s="208"/>
      <c r="S14" s="209">
        <f t="shared" si="2"/>
        <v>415</v>
      </c>
      <c r="T14" s="209" t="e">
        <v>#REF!</v>
      </c>
      <c r="U14" s="209">
        <v>-19.5</v>
      </c>
      <c r="V14" s="41">
        <v>4</v>
      </c>
      <c r="W14" s="205"/>
      <c r="X14" s="208"/>
      <c r="Y14" s="209">
        <f t="shared" si="3"/>
        <v>450</v>
      </c>
      <c r="Z14" s="209">
        <f t="shared" si="4"/>
        <v>-20</v>
      </c>
      <c r="AA14" s="209">
        <f t="shared" si="5"/>
        <v>-20</v>
      </c>
      <c r="AB14" s="41">
        <v>3</v>
      </c>
      <c r="AC14" s="204"/>
      <c r="AD14" s="206"/>
      <c r="AE14" s="206"/>
      <c r="AF14" s="206"/>
      <c r="AG14" s="206"/>
      <c r="AH14" s="206"/>
      <c r="AI14" s="204"/>
      <c r="AJ14" s="207"/>
      <c r="AK14" s="207"/>
      <c r="AL14" s="207"/>
      <c r="AM14" s="207"/>
      <c r="AN14" s="207"/>
      <c r="AO14" s="41"/>
      <c r="AP14" s="204"/>
      <c r="AQ14" s="112">
        <v>260</v>
      </c>
      <c r="AR14" s="113">
        <v>1000</v>
      </c>
      <c r="AS14" s="107">
        <f>'2.1 재단(1.69,064)'!T14/2</f>
        <v>3</v>
      </c>
      <c r="AT14" s="204"/>
      <c r="AU14" s="114">
        <v>310</v>
      </c>
      <c r="AV14" s="228">
        <v>1000</v>
      </c>
      <c r="AW14" s="228"/>
      <c r="AX14" s="228"/>
      <c r="AY14" s="107">
        <f>'2.1 재단(1.69,064)'!Z14</f>
        <v>3</v>
      </c>
    </row>
    <row r="15" spans="1:51" ht="16.5" customHeight="1">
      <c r="A15" s="111" t="str">
        <f>'1. 소켓인수검사'!A16</f>
        <v>08</v>
      </c>
      <c r="B15" s="52" t="s">
        <v>1</v>
      </c>
      <c r="C15" s="46">
        <f>'1. 소켓인수검사'!C16</f>
        <v>500</v>
      </c>
      <c r="D15" s="46">
        <f>'1. 소켓인수검사'!D16</f>
        <v>450</v>
      </c>
      <c r="E15" s="41">
        <v>1</v>
      </c>
      <c r="F15" s="42"/>
      <c r="G15" s="204"/>
      <c r="H15" s="229"/>
      <c r="I15" s="41">
        <f t="shared" si="0"/>
        <v>495</v>
      </c>
      <c r="J15" s="41">
        <v>2</v>
      </c>
      <c r="K15" s="204"/>
      <c r="L15" s="230"/>
      <c r="M15" s="209">
        <f t="shared" si="1"/>
        <v>495</v>
      </c>
      <c r="N15" s="209" t="e">
        <f>(#REF!-20)/2-10</f>
        <v>#REF!</v>
      </c>
      <c r="O15" s="209" t="e">
        <f>(#REF!-20)/2-10</f>
        <v>#REF!</v>
      </c>
      <c r="P15" s="41">
        <v>2</v>
      </c>
      <c r="Q15" s="205"/>
      <c r="R15" s="208"/>
      <c r="S15" s="209">
        <f t="shared" si="2"/>
        <v>415</v>
      </c>
      <c r="T15" s="209" t="e">
        <v>#REF!</v>
      </c>
      <c r="U15" s="209">
        <v>-19.5</v>
      </c>
      <c r="V15" s="41">
        <v>4</v>
      </c>
      <c r="W15" s="205"/>
      <c r="X15" s="208"/>
      <c r="Y15" s="209">
        <f t="shared" si="3"/>
        <v>450</v>
      </c>
      <c r="Z15" s="209">
        <f t="shared" si="4"/>
        <v>-20</v>
      </c>
      <c r="AA15" s="209">
        <f t="shared" si="5"/>
        <v>-20</v>
      </c>
      <c r="AB15" s="41">
        <v>3</v>
      </c>
      <c r="AC15" s="204"/>
      <c r="AD15" s="206"/>
      <c r="AE15" s="206"/>
      <c r="AF15" s="206"/>
      <c r="AG15" s="206"/>
      <c r="AH15" s="206"/>
      <c r="AI15" s="204"/>
      <c r="AJ15" s="207"/>
      <c r="AK15" s="207"/>
      <c r="AL15" s="207"/>
      <c r="AM15" s="207"/>
      <c r="AN15" s="207"/>
      <c r="AO15" s="41"/>
      <c r="AP15" s="204"/>
      <c r="AQ15" s="112">
        <v>260</v>
      </c>
      <c r="AR15" s="113">
        <v>1000</v>
      </c>
      <c r="AS15" s="107">
        <f>'2.1 재단(1.69,064)'!T15/2</f>
        <v>3</v>
      </c>
      <c r="AT15" s="204"/>
      <c r="AU15" s="114">
        <v>310</v>
      </c>
      <c r="AV15" s="228">
        <v>1000</v>
      </c>
      <c r="AW15" s="228"/>
      <c r="AX15" s="228"/>
      <c r="AY15" s="107">
        <f>'2.1 재단(1.69,064)'!Z15</f>
        <v>3</v>
      </c>
    </row>
    <row r="16" spans="1:51">
      <c r="A16" s="203" t="s">
        <v>18</v>
      </c>
      <c r="B16" s="203"/>
      <c r="C16" s="203"/>
      <c r="D16" s="41"/>
      <c r="E16" s="115"/>
      <c r="F16" s="112"/>
      <c r="G16" s="41"/>
      <c r="H16" s="41"/>
      <c r="I16" s="41"/>
      <c r="J16" s="41">
        <f>SUM(J8:J15)</f>
        <v>16</v>
      </c>
      <c r="K16" s="41"/>
      <c r="L16" s="41"/>
      <c r="M16" s="203"/>
      <c r="N16" s="203"/>
      <c r="O16" s="203"/>
      <c r="P16" s="41">
        <f>SUM(P8:P15)</f>
        <v>16</v>
      </c>
      <c r="Q16" s="41"/>
      <c r="R16" s="41"/>
      <c r="S16" s="203"/>
      <c r="T16" s="203"/>
      <c r="U16" s="203"/>
      <c r="V16" s="41">
        <f>SUM(V8:V15)</f>
        <v>32</v>
      </c>
      <c r="W16" s="41"/>
      <c r="X16" s="41"/>
      <c r="Y16" s="203"/>
      <c r="Z16" s="203"/>
      <c r="AA16" s="203"/>
      <c r="AB16" s="41">
        <f>SUM(AB8:AB15)</f>
        <v>24</v>
      </c>
      <c r="AC16" s="41"/>
      <c r="AD16" s="41"/>
      <c r="AE16" s="203"/>
      <c r="AF16" s="203"/>
      <c r="AG16" s="203"/>
      <c r="AH16" s="41">
        <f>SUM(AH8:AH15)</f>
        <v>0</v>
      </c>
      <c r="AI16" s="41"/>
      <c r="AJ16" s="41"/>
      <c r="AK16" s="203"/>
      <c r="AL16" s="203"/>
      <c r="AM16" s="203"/>
      <c r="AN16" s="41">
        <f>SUM(AN8:AN15)</f>
        <v>0</v>
      </c>
      <c r="AO16" s="41"/>
      <c r="AP16" s="204"/>
      <c r="AQ16" s="41"/>
      <c r="AR16" s="44"/>
      <c r="AS16" s="41">
        <f>SUM(AS8:AS15)</f>
        <v>20</v>
      </c>
      <c r="AT16" s="204"/>
      <c r="AU16" s="41"/>
      <c r="AV16" s="200"/>
      <c r="AW16" s="200"/>
      <c r="AX16" s="200"/>
      <c r="AY16" s="41">
        <f>SUM(AY8:AY15)</f>
        <v>24</v>
      </c>
    </row>
  </sheetData>
  <mergeCells count="80">
    <mergeCell ref="AV9:AX9"/>
    <mergeCell ref="AV10:AX10"/>
    <mergeCell ref="AV11:AX11"/>
    <mergeCell ref="AV12:AX12"/>
    <mergeCell ref="AV13:AX13"/>
    <mergeCell ref="G8:G15"/>
    <mergeCell ref="H8:H15"/>
    <mergeCell ref="L8:L15"/>
    <mergeCell ref="X8:X15"/>
    <mergeCell ref="AC8:AC15"/>
    <mergeCell ref="AV16:AX16"/>
    <mergeCell ref="A16:C16"/>
    <mergeCell ref="M16:O16"/>
    <mergeCell ref="Y16:AA16"/>
    <mergeCell ref="AE16:AG16"/>
    <mergeCell ref="AK16:AM16"/>
    <mergeCell ref="AP8:AP16"/>
    <mergeCell ref="AT8:AT16"/>
    <mergeCell ref="AV8:AX8"/>
    <mergeCell ref="M9:O9"/>
    <mergeCell ref="Y9:AA9"/>
    <mergeCell ref="M10:O10"/>
    <mergeCell ref="Y10:AA10"/>
    <mergeCell ref="M11:O11"/>
    <mergeCell ref="Y11:AA11"/>
    <mergeCell ref="M12:O12"/>
    <mergeCell ref="Y12:AA12"/>
    <mergeCell ref="M13:O13"/>
    <mergeCell ref="Y13:AA13"/>
    <mergeCell ref="M14:O14"/>
    <mergeCell ref="AV14:AX14"/>
    <mergeCell ref="AV15:AX15"/>
    <mergeCell ref="A1:E3"/>
    <mergeCell ref="A4:AO4"/>
    <mergeCell ref="A5:A7"/>
    <mergeCell ref="C5:D5"/>
    <mergeCell ref="E5:E7"/>
    <mergeCell ref="F5:F7"/>
    <mergeCell ref="G5:AN5"/>
    <mergeCell ref="G1:L3"/>
    <mergeCell ref="M1:AY3"/>
    <mergeCell ref="Q6:V6"/>
    <mergeCell ref="S7:U7"/>
    <mergeCell ref="AP5:AY5"/>
    <mergeCell ref="B6:B7"/>
    <mergeCell ref="C6:C7"/>
    <mergeCell ref="D6:D7"/>
    <mergeCell ref="G6:J6"/>
    <mergeCell ref="K6:P6"/>
    <mergeCell ref="W6:AB6"/>
    <mergeCell ref="AC6:AH6"/>
    <mergeCell ref="AI6:AN6"/>
    <mergeCell ref="AP6:AS6"/>
    <mergeCell ref="AT6:AY6"/>
    <mergeCell ref="M7:O7"/>
    <mergeCell ref="Y7:AA7"/>
    <mergeCell ref="AE7:AG7"/>
    <mergeCell ref="AK7:AM7"/>
    <mergeCell ref="AV7:AX7"/>
    <mergeCell ref="AJ8:AN15"/>
    <mergeCell ref="Q8:Q15"/>
    <mergeCell ref="R8:R15"/>
    <mergeCell ref="S8:U8"/>
    <mergeCell ref="S9:U9"/>
    <mergeCell ref="S10:U10"/>
    <mergeCell ref="S11:U11"/>
    <mergeCell ref="S12:U12"/>
    <mergeCell ref="S13:U13"/>
    <mergeCell ref="S14:U14"/>
    <mergeCell ref="S15:U15"/>
    <mergeCell ref="Y8:AA8"/>
    <mergeCell ref="Y14:AA14"/>
    <mergeCell ref="Y15:AA15"/>
    <mergeCell ref="S16:U16"/>
    <mergeCell ref="AI8:AI15"/>
    <mergeCell ref="W8:W15"/>
    <mergeCell ref="K8:K15"/>
    <mergeCell ref="AD8:AH15"/>
    <mergeCell ref="M8:O8"/>
    <mergeCell ref="M15:O15"/>
  </mergeCells>
  <phoneticPr fontId="33" type="noConversion"/>
  <pageMargins left="0.39370078740157483" right="0.19685039370078741" top="0.47244094488188981" bottom="0.31496062992125984" header="0.31496062992125984" footer="0.31496062992125984"/>
  <pageSetup paperSize="9" scale="6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C00000"/>
  </sheetPr>
  <dimension ref="A1:O26"/>
  <sheetViews>
    <sheetView zoomScale="85" zoomScaleNormal="75" zoomScaleSheetLayoutView="85" workbookViewId="0">
      <selection activeCell="J39" sqref="J39"/>
    </sheetView>
  </sheetViews>
  <sheetFormatPr defaultColWidth="9" defaultRowHeight="16.5"/>
  <cols>
    <col min="1" max="1" width="4.875" bestFit="1" customWidth="1"/>
    <col min="2" max="4" width="13" customWidth="1"/>
    <col min="5" max="5" width="13.875" hidden="1" customWidth="1"/>
    <col min="6" max="7" width="7.625" hidden="1" customWidth="1"/>
    <col min="8" max="8" width="15.125" customWidth="1"/>
    <col min="9" max="9" width="12.5" customWidth="1"/>
    <col min="10" max="10" width="15.125" customWidth="1"/>
    <col min="11" max="11" width="12.5" customWidth="1"/>
    <col min="12" max="14" width="6.625" customWidth="1"/>
    <col min="15" max="15" width="9.75" customWidth="1"/>
  </cols>
  <sheetData>
    <row r="1" spans="1:15" ht="16.5" customHeight="1">
      <c r="A1" s="150"/>
      <c r="B1" s="150"/>
      <c r="C1" s="150"/>
      <c r="D1" s="150"/>
      <c r="E1" s="237" t="s">
        <v>83</v>
      </c>
      <c r="F1" s="238"/>
      <c r="G1" s="238"/>
      <c r="H1" s="238"/>
      <c r="I1" s="238"/>
      <c r="J1" s="238"/>
      <c r="K1" s="238"/>
      <c r="L1" s="238"/>
      <c r="M1" s="238"/>
      <c r="N1" s="238"/>
      <c r="O1" s="239"/>
    </row>
    <row r="2" spans="1:15" ht="16.5" customHeight="1">
      <c r="A2" s="150"/>
      <c r="B2" s="150"/>
      <c r="C2" s="150"/>
      <c r="D2" s="150"/>
      <c r="E2" s="240"/>
      <c r="F2" s="241"/>
      <c r="G2" s="241"/>
      <c r="H2" s="241"/>
      <c r="I2" s="241"/>
      <c r="J2" s="241"/>
      <c r="K2" s="241"/>
      <c r="L2" s="241"/>
      <c r="M2" s="241"/>
      <c r="N2" s="241"/>
      <c r="O2" s="242"/>
    </row>
    <row r="3" spans="1:15" ht="16.5" customHeight="1">
      <c r="A3" s="150"/>
      <c r="B3" s="150"/>
      <c r="C3" s="150"/>
      <c r="D3" s="150"/>
      <c r="E3" s="240"/>
      <c r="F3" s="241"/>
      <c r="G3" s="241"/>
      <c r="H3" s="241"/>
      <c r="I3" s="241"/>
      <c r="J3" s="241"/>
      <c r="K3" s="241"/>
      <c r="L3" s="241"/>
      <c r="M3" s="241"/>
      <c r="N3" s="241"/>
      <c r="O3" s="242"/>
    </row>
    <row r="4" spans="1:15" ht="16.5" customHeight="1">
      <c r="A4" s="150" t="s">
        <v>47</v>
      </c>
      <c r="B4" s="150"/>
      <c r="C4" s="150"/>
      <c r="D4" s="1"/>
      <c r="E4" s="243"/>
      <c r="F4" s="244"/>
      <c r="G4" s="244"/>
      <c r="H4" s="244"/>
      <c r="I4" s="244"/>
      <c r="J4" s="244"/>
      <c r="K4" s="244"/>
      <c r="L4" s="244"/>
      <c r="M4" s="244"/>
      <c r="N4" s="244"/>
      <c r="O4" s="245"/>
    </row>
    <row r="5" spans="1:15" ht="16.5" customHeight="1">
      <c r="A5" s="150" t="s">
        <v>41</v>
      </c>
      <c r="B5" s="150"/>
      <c r="C5" s="150"/>
      <c r="D5" s="150"/>
      <c r="E5" s="2" t="s">
        <v>38</v>
      </c>
      <c r="F5" s="246"/>
      <c r="G5" s="247"/>
      <c r="H5" s="248" t="s">
        <v>23</v>
      </c>
      <c r="I5" s="250"/>
      <c r="J5" s="251"/>
      <c r="K5" s="250" t="s">
        <v>9</v>
      </c>
      <c r="L5" s="251"/>
      <c r="M5" s="254" t="str">
        <f>'1. 소켓인수검사'!R1</f>
        <v>26.06.23 이신이엔지_진성방재_포스코이앤씨_속초더샾프라임뷰</v>
      </c>
      <c r="N5" s="254"/>
      <c r="O5" s="254"/>
    </row>
    <row r="6" spans="1:15">
      <c r="A6" s="150"/>
      <c r="B6" s="150"/>
      <c r="C6" s="150"/>
      <c r="D6" s="150"/>
      <c r="E6" s="2" t="s">
        <v>35</v>
      </c>
      <c r="F6" s="246"/>
      <c r="G6" s="247"/>
      <c r="H6" s="249"/>
      <c r="I6" s="252"/>
      <c r="J6" s="253"/>
      <c r="K6" s="252"/>
      <c r="L6" s="253"/>
      <c r="M6" s="254"/>
      <c r="N6" s="254"/>
      <c r="O6" s="254"/>
    </row>
    <row r="7" spans="1:15" ht="8.1" customHeight="1">
      <c r="A7" s="258"/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</row>
    <row r="8" spans="1:15" ht="26.45" customHeight="1">
      <c r="A8" s="259" t="s">
        <v>27</v>
      </c>
      <c r="B8" s="260" t="s">
        <v>32</v>
      </c>
      <c r="C8" s="263" t="s">
        <v>26</v>
      </c>
      <c r="D8" s="263"/>
      <c r="E8" s="263" t="s">
        <v>43</v>
      </c>
      <c r="F8" s="263" t="s">
        <v>31</v>
      </c>
      <c r="G8" s="263" t="s">
        <v>20</v>
      </c>
      <c r="H8" s="264" t="s">
        <v>64</v>
      </c>
      <c r="I8" s="264"/>
      <c r="J8" s="264"/>
      <c r="K8" s="264"/>
      <c r="L8" s="264"/>
      <c r="M8" s="264"/>
      <c r="N8" s="264"/>
      <c r="O8" s="263" t="s">
        <v>5</v>
      </c>
    </row>
    <row r="9" spans="1:15" ht="16.5" customHeight="1">
      <c r="A9" s="259"/>
      <c r="B9" s="261"/>
      <c r="C9" s="263" t="s">
        <v>28</v>
      </c>
      <c r="D9" s="263" t="s">
        <v>16</v>
      </c>
      <c r="E9" s="263"/>
      <c r="F9" s="263"/>
      <c r="G9" s="263"/>
      <c r="H9" s="263" t="s">
        <v>19</v>
      </c>
      <c r="I9" s="263"/>
      <c r="J9" s="263" t="s">
        <v>24</v>
      </c>
      <c r="K9" s="263"/>
      <c r="L9" s="231" t="s">
        <v>70</v>
      </c>
      <c r="M9" s="232"/>
      <c r="N9" s="233"/>
      <c r="O9" s="263"/>
    </row>
    <row r="10" spans="1:15">
      <c r="A10" s="259"/>
      <c r="B10" s="262"/>
      <c r="C10" s="263"/>
      <c r="D10" s="263"/>
      <c r="E10" s="263"/>
      <c r="F10" s="33">
        <v>25</v>
      </c>
      <c r="G10" s="33">
        <v>300</v>
      </c>
      <c r="H10" s="33" t="s">
        <v>26</v>
      </c>
      <c r="I10" s="33" t="s">
        <v>2</v>
      </c>
      <c r="J10" s="33" t="s">
        <v>26</v>
      </c>
      <c r="K10" s="33" t="s">
        <v>2</v>
      </c>
      <c r="L10" s="234"/>
      <c r="M10" s="235"/>
      <c r="N10" s="236"/>
      <c r="O10" s="263"/>
    </row>
    <row r="11" spans="1:15">
      <c r="A11" s="38" t="str">
        <f>'1. 소켓인수검사'!A9</f>
        <v>01</v>
      </c>
      <c r="B11" s="51" t="str">
        <f>'1. 소켓인수검사'!B9</f>
        <v>HTG-064</v>
      </c>
      <c r="C11" s="39">
        <f>'1. 소켓인수검사'!C9</f>
        <v>400</v>
      </c>
      <c r="D11" s="39">
        <f>'1. 소켓인수검사'!D9</f>
        <v>300</v>
      </c>
      <c r="E11" s="25"/>
      <c r="F11" s="27"/>
      <c r="G11" s="27"/>
      <c r="H11" s="28">
        <f>(C11+60)</f>
        <v>460</v>
      </c>
      <c r="I11" s="28">
        <v>2</v>
      </c>
      <c r="J11" s="28">
        <f>D11</f>
        <v>300</v>
      </c>
      <c r="K11" s="28">
        <v>2</v>
      </c>
      <c r="L11" s="265"/>
      <c r="M11" s="266"/>
      <c r="N11" s="267"/>
      <c r="O11" s="32"/>
    </row>
    <row r="12" spans="1:15">
      <c r="A12" s="40" t="str">
        <f>'1. 소켓인수검사'!A10</f>
        <v>02</v>
      </c>
      <c r="B12" s="52" t="str">
        <f>'1. 소켓인수검사'!B10</f>
        <v>HTG-064</v>
      </c>
      <c r="C12" s="44">
        <f>'1. 소켓인수검사'!C10</f>
        <v>400</v>
      </c>
      <c r="D12" s="44">
        <f>'1. 소켓인수검사'!D10</f>
        <v>300</v>
      </c>
      <c r="E12" s="25"/>
      <c r="F12" s="29"/>
      <c r="G12" s="29"/>
      <c r="H12" s="28">
        <f t="shared" ref="H12:H18" si="0">(C12+60)</f>
        <v>460</v>
      </c>
      <c r="I12" s="28">
        <v>2</v>
      </c>
      <c r="J12" s="28">
        <f t="shared" ref="J12:J18" si="1">D12</f>
        <v>300</v>
      </c>
      <c r="K12" s="28">
        <v>2</v>
      </c>
      <c r="L12" s="255"/>
      <c r="M12" s="256"/>
      <c r="N12" s="257"/>
      <c r="O12" s="26"/>
    </row>
    <row r="13" spans="1:15">
      <c r="A13" s="40" t="str">
        <f>'1. 소켓인수검사'!A11</f>
        <v>03</v>
      </c>
      <c r="B13" s="52" t="str">
        <f>'1. 소켓인수검사'!B11</f>
        <v>HTG-064</v>
      </c>
      <c r="C13" s="44">
        <f>'1. 소켓인수검사'!C11</f>
        <v>400</v>
      </c>
      <c r="D13" s="44">
        <f>'1. 소켓인수검사'!D11</f>
        <v>300</v>
      </c>
      <c r="E13" s="25"/>
      <c r="F13" s="29"/>
      <c r="G13" s="29"/>
      <c r="H13" s="28">
        <f t="shared" si="0"/>
        <v>460</v>
      </c>
      <c r="I13" s="28">
        <v>2</v>
      </c>
      <c r="J13" s="28">
        <f t="shared" si="1"/>
        <v>300</v>
      </c>
      <c r="K13" s="28">
        <v>2</v>
      </c>
      <c r="L13" s="255"/>
      <c r="M13" s="256"/>
      <c r="N13" s="257"/>
      <c r="O13" s="26"/>
    </row>
    <row r="14" spans="1:15">
      <c r="A14" s="40" t="str">
        <f>'1. 소켓인수검사'!A12</f>
        <v>04</v>
      </c>
      <c r="B14" s="52" t="str">
        <f>'1. 소켓인수검사'!B12</f>
        <v>HTG-064</v>
      </c>
      <c r="C14" s="44">
        <f>'1. 소켓인수검사'!C12</f>
        <v>400</v>
      </c>
      <c r="D14" s="44">
        <f>'1. 소켓인수검사'!D12</f>
        <v>300</v>
      </c>
      <c r="E14" s="25"/>
      <c r="F14" s="29"/>
      <c r="G14" s="29"/>
      <c r="H14" s="28">
        <f t="shared" si="0"/>
        <v>460</v>
      </c>
      <c r="I14" s="28">
        <v>2</v>
      </c>
      <c r="J14" s="28">
        <f t="shared" si="1"/>
        <v>300</v>
      </c>
      <c r="K14" s="28">
        <v>2</v>
      </c>
      <c r="L14" s="255"/>
      <c r="M14" s="256"/>
      <c r="N14" s="257"/>
      <c r="O14" s="26"/>
    </row>
    <row r="15" spans="1:15">
      <c r="A15" s="40" t="str">
        <f>'1. 소켓인수검사'!A13</f>
        <v>05</v>
      </c>
      <c r="B15" s="52" t="str">
        <f>'1. 소켓인수검사'!B13</f>
        <v>HTG-064</v>
      </c>
      <c r="C15" s="46">
        <f>'1. 소켓인수검사'!C13</f>
        <v>500</v>
      </c>
      <c r="D15" s="46">
        <f>'1. 소켓인수검사'!D13</f>
        <v>450</v>
      </c>
      <c r="E15" s="25"/>
      <c r="F15" s="29"/>
      <c r="G15" s="29"/>
      <c r="H15" s="28">
        <f t="shared" si="0"/>
        <v>560</v>
      </c>
      <c r="I15" s="28">
        <v>2</v>
      </c>
      <c r="J15" s="28">
        <f t="shared" si="1"/>
        <v>450</v>
      </c>
      <c r="K15" s="28">
        <v>2</v>
      </c>
      <c r="L15" s="255"/>
      <c r="M15" s="256"/>
      <c r="N15" s="257"/>
      <c r="O15" s="26"/>
    </row>
    <row r="16" spans="1:15">
      <c r="A16" s="40" t="str">
        <f>'1. 소켓인수검사'!A14</f>
        <v>06</v>
      </c>
      <c r="B16" s="52" t="str">
        <f>'1. 소켓인수검사'!B14</f>
        <v>HTG-064</v>
      </c>
      <c r="C16" s="46">
        <f>'1. 소켓인수검사'!C14</f>
        <v>500</v>
      </c>
      <c r="D16" s="46">
        <f>'1. 소켓인수검사'!D14</f>
        <v>450</v>
      </c>
      <c r="E16" s="25"/>
      <c r="F16" s="29"/>
      <c r="G16" s="29"/>
      <c r="H16" s="28">
        <f t="shared" si="0"/>
        <v>560</v>
      </c>
      <c r="I16" s="28">
        <v>2</v>
      </c>
      <c r="J16" s="28">
        <f t="shared" si="1"/>
        <v>450</v>
      </c>
      <c r="K16" s="28">
        <v>2</v>
      </c>
      <c r="L16" s="255"/>
      <c r="M16" s="256"/>
      <c r="N16" s="257"/>
      <c r="O16" s="26"/>
    </row>
    <row r="17" spans="1:15">
      <c r="A17" s="40" t="str">
        <f>'1. 소켓인수검사'!A15</f>
        <v>07</v>
      </c>
      <c r="B17" s="52" t="str">
        <f>'1. 소켓인수검사'!B15</f>
        <v>HTG-064</v>
      </c>
      <c r="C17" s="46">
        <f>'1. 소켓인수검사'!C15</f>
        <v>500</v>
      </c>
      <c r="D17" s="46">
        <f>'1. 소켓인수검사'!D15</f>
        <v>450</v>
      </c>
      <c r="E17" s="25"/>
      <c r="F17" s="29"/>
      <c r="G17" s="29"/>
      <c r="H17" s="28">
        <f t="shared" si="0"/>
        <v>560</v>
      </c>
      <c r="I17" s="28">
        <v>2</v>
      </c>
      <c r="J17" s="28">
        <f t="shared" si="1"/>
        <v>450</v>
      </c>
      <c r="K17" s="28">
        <v>2</v>
      </c>
      <c r="L17" s="255"/>
      <c r="M17" s="256"/>
      <c r="N17" s="257"/>
      <c r="O17" s="26"/>
    </row>
    <row r="18" spans="1:15">
      <c r="A18" s="40" t="str">
        <f>'1. 소켓인수검사'!A16</f>
        <v>08</v>
      </c>
      <c r="B18" s="52" t="str">
        <f>'1. 소켓인수검사'!B16</f>
        <v>HTG-064</v>
      </c>
      <c r="C18" s="46">
        <f>'1. 소켓인수검사'!C16</f>
        <v>500</v>
      </c>
      <c r="D18" s="46">
        <f>'1. 소켓인수검사'!D16</f>
        <v>450</v>
      </c>
      <c r="E18" s="25"/>
      <c r="F18" s="29"/>
      <c r="G18" s="29"/>
      <c r="H18" s="28">
        <f t="shared" si="0"/>
        <v>560</v>
      </c>
      <c r="I18" s="28">
        <v>2</v>
      </c>
      <c r="J18" s="28">
        <f t="shared" si="1"/>
        <v>450</v>
      </c>
      <c r="K18" s="28">
        <v>2</v>
      </c>
      <c r="L18" s="255"/>
      <c r="M18" s="256"/>
      <c r="N18" s="257"/>
      <c r="O18" s="26"/>
    </row>
    <row r="19" spans="1:15">
      <c r="A19" s="268" t="s">
        <v>18</v>
      </c>
      <c r="B19" s="268"/>
      <c r="C19" s="268"/>
      <c r="D19" s="3"/>
      <c r="E19" s="4"/>
      <c r="F19" s="4"/>
      <c r="G19" s="4"/>
      <c r="H19" s="3"/>
      <c r="I19" s="3">
        <f>SUM(I11:I18)</f>
        <v>16</v>
      </c>
      <c r="J19" s="3"/>
      <c r="K19" s="3">
        <f>SUM(K11:K18)</f>
        <v>16</v>
      </c>
      <c r="L19" s="246"/>
      <c r="M19" s="269"/>
      <c r="N19" s="247"/>
      <c r="O19" s="3"/>
    </row>
    <row r="20" spans="1:15" ht="8.1" customHeight="1">
      <c r="A20" s="270"/>
      <c r="B20" s="270"/>
      <c r="C20" s="270"/>
      <c r="D20" s="270"/>
      <c r="E20" s="270"/>
      <c r="F20" s="270"/>
      <c r="G20" s="270"/>
      <c r="H20" s="270"/>
      <c r="I20" s="270"/>
      <c r="J20" s="270"/>
      <c r="K20" s="270"/>
      <c r="L20" s="270"/>
      <c r="M20" s="270"/>
      <c r="N20" s="270"/>
      <c r="O20" s="270"/>
    </row>
    <row r="21" spans="1:15">
      <c r="A21" s="188" t="s">
        <v>7</v>
      </c>
      <c r="B21" s="188"/>
      <c r="C21" s="188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</row>
    <row r="22" spans="1:15">
      <c r="A22" s="188"/>
      <c r="B22" s="188"/>
      <c r="C22" s="188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</row>
    <row r="23" spans="1:15">
      <c r="A23" s="188"/>
      <c r="B23" s="188"/>
      <c r="C23" s="188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</row>
    <row r="24" spans="1:15">
      <c r="A24" s="188"/>
      <c r="B24" s="188"/>
      <c r="C24" s="188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</row>
    <row r="25" spans="1:15">
      <c r="A25" s="188"/>
      <c r="B25" s="188"/>
      <c r="C25" s="188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</row>
    <row r="26" spans="1:15">
      <c r="A26" s="188"/>
      <c r="B26" s="188"/>
      <c r="C26" s="188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</row>
  </sheetData>
  <mergeCells count="38">
    <mergeCell ref="A21:C26"/>
    <mergeCell ref="D21:O26"/>
    <mergeCell ref="A19:C19"/>
    <mergeCell ref="L19:N19"/>
    <mergeCell ref="A20:O20"/>
    <mergeCell ref="L11:N11"/>
    <mergeCell ref="L12:N12"/>
    <mergeCell ref="L13:N13"/>
    <mergeCell ref="L14:N14"/>
    <mergeCell ref="L15:N15"/>
    <mergeCell ref="L16:N16"/>
    <mergeCell ref="L17:N17"/>
    <mergeCell ref="L18:N18"/>
    <mergeCell ref="A7:O7"/>
    <mergeCell ref="A8:A10"/>
    <mergeCell ref="B8:B10"/>
    <mergeCell ref="C8:D8"/>
    <mergeCell ref="E8:E10"/>
    <mergeCell ref="F8:F9"/>
    <mergeCell ref="G8:G9"/>
    <mergeCell ref="H8:N8"/>
    <mergeCell ref="O8:O10"/>
    <mergeCell ref="C9:C10"/>
    <mergeCell ref="D9:D10"/>
    <mergeCell ref="H9:I9"/>
    <mergeCell ref="J9:K9"/>
    <mergeCell ref="L9:N10"/>
    <mergeCell ref="A1:D3"/>
    <mergeCell ref="E1:O4"/>
    <mergeCell ref="A4:C4"/>
    <mergeCell ref="A5:C6"/>
    <mergeCell ref="D5:D6"/>
    <mergeCell ref="F5:G5"/>
    <mergeCell ref="H5:H6"/>
    <mergeCell ref="I5:J6"/>
    <mergeCell ref="K5:L6"/>
    <mergeCell ref="M5:O6"/>
    <mergeCell ref="F6:G6"/>
  </mergeCells>
  <phoneticPr fontId="33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C00000"/>
  </sheetPr>
  <dimension ref="A1:U26"/>
  <sheetViews>
    <sheetView view="pageBreakPreview" zoomScale="85" zoomScaleNormal="85" zoomScaleSheetLayoutView="85" workbookViewId="0">
      <pane ySplit="9" topLeftCell="A10" activePane="bottomLeft" state="frozen"/>
      <selection pane="bottomLeft" activeCell="M34" sqref="M34"/>
    </sheetView>
  </sheetViews>
  <sheetFormatPr defaultColWidth="9" defaultRowHeight="16.5"/>
  <cols>
    <col min="1" max="1" width="4.875" bestFit="1" customWidth="1"/>
    <col min="2" max="3" width="8.75" customWidth="1"/>
    <col min="4" max="4" width="13.875" customWidth="1"/>
    <col min="5" max="6" width="7.5" customWidth="1"/>
    <col min="7" max="7" width="10.375" customWidth="1"/>
    <col min="8" max="9" width="5" customWidth="1"/>
    <col min="10" max="10" width="8" customWidth="1"/>
    <col min="11" max="12" width="4.5" customWidth="1"/>
    <col min="13" max="13" width="10" customWidth="1"/>
    <col min="14" max="14" width="8.875" customWidth="1"/>
    <col min="15" max="15" width="2.75" hidden="1" customWidth="1"/>
    <col min="16" max="16" width="11.75" customWidth="1"/>
    <col min="17" max="18" width="6.25" customWidth="1"/>
    <col min="19" max="19" width="10" customWidth="1"/>
    <col min="20" max="20" width="5" bestFit="1" customWidth="1"/>
    <col min="21" max="21" width="6.625" bestFit="1" customWidth="1"/>
  </cols>
  <sheetData>
    <row r="1" spans="1:21" ht="16.5" customHeight="1">
      <c r="A1" s="150"/>
      <c r="B1" s="150"/>
      <c r="C1" s="150"/>
      <c r="D1" s="237" t="s">
        <v>8</v>
      </c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9"/>
    </row>
    <row r="2" spans="1:21" ht="16.5" customHeight="1">
      <c r="A2" s="150"/>
      <c r="B2" s="150"/>
      <c r="C2" s="150"/>
      <c r="D2" s="240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2"/>
    </row>
    <row r="3" spans="1:21" ht="24" customHeight="1">
      <c r="A3" s="150"/>
      <c r="B3" s="150"/>
      <c r="C3" s="150"/>
      <c r="D3" s="240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2"/>
    </row>
    <row r="4" spans="1:21" ht="16.5" customHeight="1">
      <c r="A4" s="150" t="s">
        <v>47</v>
      </c>
      <c r="B4" s="150"/>
      <c r="C4" s="1"/>
      <c r="D4" s="240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2"/>
    </row>
    <row r="5" spans="1:21" ht="16.5" customHeight="1">
      <c r="A5" s="150" t="s">
        <v>41</v>
      </c>
      <c r="B5" s="150"/>
      <c r="C5" s="150"/>
      <c r="D5" s="2" t="s">
        <v>38</v>
      </c>
      <c r="E5" s="246"/>
      <c r="F5" s="247"/>
      <c r="G5" s="248" t="s">
        <v>23</v>
      </c>
      <c r="H5" s="74"/>
      <c r="I5" s="74"/>
      <c r="J5" s="248" t="s">
        <v>23</v>
      </c>
      <c r="K5" s="78"/>
      <c r="L5" s="250"/>
      <c r="M5" s="270"/>
      <c r="N5" s="251"/>
      <c r="O5" s="248" t="s">
        <v>34</v>
      </c>
      <c r="P5" s="271" t="str">
        <f>'1. 소켓인수검사'!R1</f>
        <v>26.06.23 이신이엔지_진성방재_포스코이앤씨_속초더샾프라임뷰</v>
      </c>
      <c r="Q5" s="272"/>
      <c r="R5" s="272"/>
      <c r="S5" s="272"/>
      <c r="T5" s="272"/>
      <c r="U5" s="273"/>
    </row>
    <row r="6" spans="1:21">
      <c r="A6" s="150"/>
      <c r="B6" s="150"/>
      <c r="C6" s="150"/>
      <c r="D6" s="2" t="s">
        <v>35</v>
      </c>
      <c r="E6" s="246"/>
      <c r="F6" s="247"/>
      <c r="G6" s="249"/>
      <c r="H6" s="76"/>
      <c r="I6" s="76"/>
      <c r="J6" s="249"/>
      <c r="K6" s="75"/>
      <c r="L6" s="252"/>
      <c r="M6" s="258"/>
      <c r="N6" s="253"/>
      <c r="O6" s="249"/>
      <c r="P6" s="274"/>
      <c r="Q6" s="275"/>
      <c r="R6" s="275"/>
      <c r="S6" s="275"/>
      <c r="T6" s="275"/>
      <c r="U6" s="276"/>
    </row>
    <row r="7" spans="1:21" ht="8.1" customHeight="1">
      <c r="A7" s="153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5"/>
      <c r="T7" s="5"/>
      <c r="U7" s="5"/>
    </row>
    <row r="8" spans="1:21" ht="29.25" customHeight="1">
      <c r="A8" s="282" t="s">
        <v>27</v>
      </c>
      <c r="B8" s="284" t="s">
        <v>28</v>
      </c>
      <c r="C8" s="284" t="s">
        <v>16</v>
      </c>
      <c r="D8" s="284" t="s">
        <v>32</v>
      </c>
      <c r="E8" s="284" t="s">
        <v>29</v>
      </c>
      <c r="F8" s="284" t="s">
        <v>21</v>
      </c>
      <c r="G8" s="284" t="s">
        <v>76</v>
      </c>
      <c r="H8" s="284"/>
      <c r="I8" s="284"/>
      <c r="J8" s="284"/>
      <c r="K8" s="284"/>
      <c r="L8" s="284"/>
      <c r="M8" s="284" t="s">
        <v>54</v>
      </c>
      <c r="N8" s="284"/>
      <c r="O8" s="284"/>
      <c r="P8" s="284" t="s">
        <v>63</v>
      </c>
      <c r="Q8" s="284"/>
      <c r="R8" s="284"/>
      <c r="S8" s="284"/>
      <c r="T8" s="286"/>
      <c r="U8" s="287"/>
    </row>
    <row r="9" spans="1:21" ht="26.45" customHeight="1">
      <c r="A9" s="283"/>
      <c r="B9" s="285"/>
      <c r="C9" s="285"/>
      <c r="D9" s="285"/>
      <c r="E9" s="285"/>
      <c r="F9" s="285"/>
      <c r="G9" s="77" t="s">
        <v>33</v>
      </c>
      <c r="H9" s="77" t="s">
        <v>2</v>
      </c>
      <c r="I9" s="77" t="s">
        <v>86</v>
      </c>
      <c r="J9" s="53" t="s">
        <v>66</v>
      </c>
      <c r="K9" s="77" t="s">
        <v>2</v>
      </c>
      <c r="L9" s="77" t="s">
        <v>86</v>
      </c>
      <c r="M9" s="77" t="s">
        <v>65</v>
      </c>
      <c r="N9" s="77" t="s">
        <v>2</v>
      </c>
      <c r="O9" s="77" t="s">
        <v>56</v>
      </c>
      <c r="P9" s="77" t="s">
        <v>77</v>
      </c>
      <c r="Q9" s="77" t="s">
        <v>2</v>
      </c>
      <c r="R9" s="77" t="s">
        <v>86</v>
      </c>
      <c r="S9" s="77" t="s">
        <v>42</v>
      </c>
      <c r="T9" s="54" t="s">
        <v>2</v>
      </c>
      <c r="U9" s="54" t="s">
        <v>86</v>
      </c>
    </row>
    <row r="10" spans="1:21" ht="16.5" customHeight="1">
      <c r="A10" s="40" t="str">
        <f>+'1. 소켓인수검사'!A9</f>
        <v>01</v>
      </c>
      <c r="B10" s="44">
        <f>+'1. 소켓인수검사'!C9</f>
        <v>400</v>
      </c>
      <c r="C10" s="44">
        <f>+'1. 소켓인수검사'!D9</f>
        <v>300</v>
      </c>
      <c r="D10" s="73" t="str">
        <f>+'1. 소켓인수검사'!B9</f>
        <v>HTG-064</v>
      </c>
      <c r="E10" s="55">
        <f>B10*C10/1000000</f>
        <v>0.12</v>
      </c>
      <c r="F10" s="55">
        <f>(B10+C10)*2/1000</f>
        <v>1.4</v>
      </c>
      <c r="G10" s="56">
        <f t="shared" ref="G10:G17" si="0">F10+0.4</f>
        <v>1.7999999999999998</v>
      </c>
      <c r="H10" s="57">
        <v>1</v>
      </c>
      <c r="I10" s="57">
        <f>H10*G10</f>
        <v>1.7999999999999998</v>
      </c>
      <c r="J10" s="277"/>
      <c r="K10" s="277"/>
      <c r="L10" s="277"/>
      <c r="M10" s="56">
        <v>1</v>
      </c>
      <c r="N10" s="116">
        <f>'2.1 재단(1.69,064)'!T8/2</f>
        <v>2</v>
      </c>
      <c r="O10" s="45"/>
      <c r="P10" s="82"/>
      <c r="Q10" s="82"/>
      <c r="R10" s="82"/>
      <c r="S10" s="56">
        <f>F10+0.5</f>
        <v>1.9</v>
      </c>
      <c r="T10" s="58">
        <v>1</v>
      </c>
      <c r="U10" s="58">
        <f>T10*S10</f>
        <v>1.9</v>
      </c>
    </row>
    <row r="11" spans="1:21" ht="16.5" customHeight="1">
      <c r="A11" s="40" t="str">
        <f>+'1. 소켓인수검사'!A10</f>
        <v>02</v>
      </c>
      <c r="B11" s="41">
        <f>+'1. 소켓인수검사'!C10</f>
        <v>400</v>
      </c>
      <c r="C11" s="41">
        <f>+'1. 소켓인수검사'!D10</f>
        <v>300</v>
      </c>
      <c r="D11" s="73" t="str">
        <f>+'1. 소켓인수검사'!B10</f>
        <v>HTG-064</v>
      </c>
      <c r="E11" s="55">
        <f t="shared" ref="E11:E12" si="1">B11*C11/1000000</f>
        <v>0.12</v>
      </c>
      <c r="F11" s="55">
        <f t="shared" ref="F11:F12" si="2">(B11+C11)*2/1000</f>
        <v>1.4</v>
      </c>
      <c r="G11" s="56">
        <f t="shared" si="0"/>
        <v>1.7999999999999998</v>
      </c>
      <c r="H11" s="57">
        <v>1</v>
      </c>
      <c r="I11" s="57">
        <f t="shared" ref="I11:I17" si="3">H11*G11</f>
        <v>1.7999999999999998</v>
      </c>
      <c r="J11" s="277"/>
      <c r="K11" s="277"/>
      <c r="L11" s="277"/>
      <c r="M11" s="56">
        <v>1</v>
      </c>
      <c r="N11" s="116">
        <f>'2.1 재단(1.69,064)'!T9/2</f>
        <v>2</v>
      </c>
      <c r="O11" s="45"/>
      <c r="P11" s="82"/>
      <c r="Q11" s="82"/>
      <c r="R11" s="82"/>
      <c r="S11" s="56">
        <f t="shared" ref="S11:S17" si="4">F11+0.5</f>
        <v>1.9</v>
      </c>
      <c r="T11" s="58">
        <v>1</v>
      </c>
      <c r="U11" s="58">
        <f t="shared" ref="U11:U17" si="5">T11*S11</f>
        <v>1.9</v>
      </c>
    </row>
    <row r="12" spans="1:21" ht="16.5" customHeight="1">
      <c r="A12" s="40" t="str">
        <f>+'1. 소켓인수검사'!A11</f>
        <v>03</v>
      </c>
      <c r="B12" s="41">
        <f>+'1. 소켓인수검사'!C11</f>
        <v>400</v>
      </c>
      <c r="C12" s="44">
        <f>+'1. 소켓인수검사'!D11</f>
        <v>300</v>
      </c>
      <c r="D12" s="73" t="str">
        <f>+'1. 소켓인수검사'!B11</f>
        <v>HTG-064</v>
      </c>
      <c r="E12" s="55">
        <f t="shared" si="1"/>
        <v>0.12</v>
      </c>
      <c r="F12" s="55">
        <f t="shared" si="2"/>
        <v>1.4</v>
      </c>
      <c r="G12" s="56">
        <f t="shared" si="0"/>
        <v>1.7999999999999998</v>
      </c>
      <c r="H12" s="57">
        <v>1</v>
      </c>
      <c r="I12" s="57">
        <f t="shared" si="3"/>
        <v>1.7999999999999998</v>
      </c>
      <c r="J12" s="277"/>
      <c r="K12" s="277"/>
      <c r="L12" s="277"/>
      <c r="M12" s="56">
        <v>1</v>
      </c>
      <c r="N12" s="116">
        <f>'2.1 재단(1.69,064)'!T10/2</f>
        <v>2</v>
      </c>
      <c r="O12" s="45"/>
      <c r="P12" s="82"/>
      <c r="Q12" s="82"/>
      <c r="R12" s="82"/>
      <c r="S12" s="56">
        <f t="shared" si="4"/>
        <v>1.9</v>
      </c>
      <c r="T12" s="58">
        <v>1</v>
      </c>
      <c r="U12" s="58">
        <f t="shared" si="5"/>
        <v>1.9</v>
      </c>
    </row>
    <row r="13" spans="1:21" ht="16.5" customHeight="1">
      <c r="A13" s="40" t="str">
        <f>+'1. 소켓인수검사'!A12</f>
        <v>04</v>
      </c>
      <c r="B13" s="41">
        <f>+'1. 소켓인수검사'!C12</f>
        <v>400</v>
      </c>
      <c r="C13" s="41">
        <f>+'1. 소켓인수검사'!D12</f>
        <v>300</v>
      </c>
      <c r="D13" s="73" t="str">
        <f>+'1. 소켓인수검사'!B12</f>
        <v>HTG-064</v>
      </c>
      <c r="E13" s="55">
        <f t="shared" ref="E13:E17" si="6">B13*C13/1000000</f>
        <v>0.12</v>
      </c>
      <c r="F13" s="55">
        <f t="shared" ref="F13:F17" si="7">(B13+C13)*2/1000</f>
        <v>1.4</v>
      </c>
      <c r="G13" s="56">
        <f t="shared" si="0"/>
        <v>1.7999999999999998</v>
      </c>
      <c r="H13" s="57">
        <v>1</v>
      </c>
      <c r="I13" s="57">
        <f t="shared" si="3"/>
        <v>1.7999999999999998</v>
      </c>
      <c r="J13" s="277"/>
      <c r="K13" s="277"/>
      <c r="L13" s="277"/>
      <c r="M13" s="56">
        <v>1</v>
      </c>
      <c r="N13" s="116">
        <f>'2.1 재단(1.69,064)'!T11/2</f>
        <v>2</v>
      </c>
      <c r="O13" s="45"/>
      <c r="P13" s="82"/>
      <c r="Q13" s="82"/>
      <c r="R13" s="82"/>
      <c r="S13" s="56">
        <f t="shared" si="4"/>
        <v>1.9</v>
      </c>
      <c r="T13" s="58">
        <v>1</v>
      </c>
      <c r="U13" s="58">
        <f t="shared" si="5"/>
        <v>1.9</v>
      </c>
    </row>
    <row r="14" spans="1:21" ht="16.5" customHeight="1">
      <c r="A14" s="40" t="str">
        <f>+'1. 소켓인수검사'!A13</f>
        <v>05</v>
      </c>
      <c r="B14" s="41">
        <f>+'1. 소켓인수검사'!C13</f>
        <v>500</v>
      </c>
      <c r="C14" s="41">
        <f>+'1. 소켓인수검사'!D13</f>
        <v>450</v>
      </c>
      <c r="D14" s="73" t="str">
        <f>+'1. 소켓인수검사'!B13</f>
        <v>HTG-064</v>
      </c>
      <c r="E14" s="55">
        <f t="shared" si="6"/>
        <v>0.22500000000000001</v>
      </c>
      <c r="F14" s="55">
        <f t="shared" si="7"/>
        <v>1.9</v>
      </c>
      <c r="G14" s="56">
        <f t="shared" si="0"/>
        <v>2.2999999999999998</v>
      </c>
      <c r="H14" s="57">
        <v>1</v>
      </c>
      <c r="I14" s="57">
        <f t="shared" si="3"/>
        <v>2.2999999999999998</v>
      </c>
      <c r="J14" s="277"/>
      <c r="K14" s="277"/>
      <c r="L14" s="277"/>
      <c r="M14" s="56">
        <v>1</v>
      </c>
      <c r="N14" s="116">
        <f>'2.1 재단(1.69,064)'!T12/2</f>
        <v>3</v>
      </c>
      <c r="O14" s="45"/>
      <c r="P14" s="82"/>
      <c r="Q14" s="82"/>
      <c r="R14" s="82"/>
      <c r="S14" s="56">
        <f t="shared" si="4"/>
        <v>2.4</v>
      </c>
      <c r="T14" s="58">
        <v>1</v>
      </c>
      <c r="U14" s="58">
        <f t="shared" si="5"/>
        <v>2.4</v>
      </c>
    </row>
    <row r="15" spans="1:21" ht="16.5" customHeight="1">
      <c r="A15" s="40" t="str">
        <f>+'1. 소켓인수검사'!A14</f>
        <v>06</v>
      </c>
      <c r="B15" s="41">
        <f>+'1. 소켓인수검사'!C14</f>
        <v>500</v>
      </c>
      <c r="C15" s="41">
        <f>+'1. 소켓인수검사'!D14</f>
        <v>450</v>
      </c>
      <c r="D15" s="73" t="str">
        <f>+'1. 소켓인수검사'!B14</f>
        <v>HTG-064</v>
      </c>
      <c r="E15" s="55">
        <f t="shared" si="6"/>
        <v>0.22500000000000001</v>
      </c>
      <c r="F15" s="55">
        <f t="shared" si="7"/>
        <v>1.9</v>
      </c>
      <c r="G15" s="56">
        <f t="shared" si="0"/>
        <v>2.2999999999999998</v>
      </c>
      <c r="H15" s="57">
        <v>1</v>
      </c>
      <c r="I15" s="57">
        <f t="shared" si="3"/>
        <v>2.2999999999999998</v>
      </c>
      <c r="J15" s="277"/>
      <c r="K15" s="277"/>
      <c r="L15" s="277"/>
      <c r="M15" s="56">
        <v>1</v>
      </c>
      <c r="N15" s="116">
        <f>'2.1 재단(1.69,064)'!T13/2</f>
        <v>3</v>
      </c>
      <c r="O15" s="45"/>
      <c r="P15" s="82"/>
      <c r="Q15" s="82"/>
      <c r="R15" s="82"/>
      <c r="S15" s="56">
        <f t="shared" si="4"/>
        <v>2.4</v>
      </c>
      <c r="T15" s="58">
        <v>1</v>
      </c>
      <c r="U15" s="58">
        <f t="shared" si="5"/>
        <v>2.4</v>
      </c>
    </row>
    <row r="16" spans="1:21" ht="16.5" customHeight="1">
      <c r="A16" s="40" t="str">
        <f>+'1. 소켓인수검사'!A15</f>
        <v>07</v>
      </c>
      <c r="B16" s="41">
        <f>+'1. 소켓인수검사'!C15</f>
        <v>500</v>
      </c>
      <c r="C16" s="41">
        <f>+'1. 소켓인수검사'!D15</f>
        <v>450</v>
      </c>
      <c r="D16" s="73" t="str">
        <f>+'1. 소켓인수검사'!B15</f>
        <v>HTG-064</v>
      </c>
      <c r="E16" s="55">
        <f t="shared" si="6"/>
        <v>0.22500000000000001</v>
      </c>
      <c r="F16" s="55">
        <f t="shared" si="7"/>
        <v>1.9</v>
      </c>
      <c r="G16" s="56">
        <f t="shared" si="0"/>
        <v>2.2999999999999998</v>
      </c>
      <c r="H16" s="57">
        <v>1</v>
      </c>
      <c r="I16" s="57">
        <f t="shared" si="3"/>
        <v>2.2999999999999998</v>
      </c>
      <c r="J16" s="277"/>
      <c r="K16" s="277"/>
      <c r="L16" s="277"/>
      <c r="M16" s="56">
        <v>1</v>
      </c>
      <c r="N16" s="116">
        <f>'2.1 재단(1.69,064)'!T14/2</f>
        <v>3</v>
      </c>
      <c r="O16" s="45"/>
      <c r="P16" s="82"/>
      <c r="Q16" s="82"/>
      <c r="R16" s="82"/>
      <c r="S16" s="56">
        <f t="shared" si="4"/>
        <v>2.4</v>
      </c>
      <c r="T16" s="58">
        <v>1</v>
      </c>
      <c r="U16" s="58">
        <f t="shared" si="5"/>
        <v>2.4</v>
      </c>
    </row>
    <row r="17" spans="1:21" ht="16.5" customHeight="1">
      <c r="A17" s="40" t="str">
        <f>+'1. 소켓인수검사'!A16</f>
        <v>08</v>
      </c>
      <c r="B17" s="41">
        <f>+'1. 소켓인수검사'!C16</f>
        <v>500</v>
      </c>
      <c r="C17" s="41">
        <f>+'1. 소켓인수검사'!D16</f>
        <v>450</v>
      </c>
      <c r="D17" s="73" t="str">
        <f>+'1. 소켓인수검사'!B16</f>
        <v>HTG-064</v>
      </c>
      <c r="E17" s="55">
        <f t="shared" si="6"/>
        <v>0.22500000000000001</v>
      </c>
      <c r="F17" s="55">
        <f t="shared" si="7"/>
        <v>1.9</v>
      </c>
      <c r="G17" s="56">
        <f t="shared" si="0"/>
        <v>2.2999999999999998</v>
      </c>
      <c r="H17" s="57">
        <v>1</v>
      </c>
      <c r="I17" s="57">
        <f t="shared" si="3"/>
        <v>2.2999999999999998</v>
      </c>
      <c r="J17" s="277"/>
      <c r="K17" s="277"/>
      <c r="L17" s="277"/>
      <c r="M17" s="56">
        <v>1</v>
      </c>
      <c r="N17" s="116">
        <f>'2.1 재단(1.69,064)'!T15/2</f>
        <v>3</v>
      </c>
      <c r="O17" s="45"/>
      <c r="P17" s="82"/>
      <c r="Q17" s="82"/>
      <c r="R17" s="82"/>
      <c r="S17" s="56">
        <f t="shared" si="4"/>
        <v>2.4</v>
      </c>
      <c r="T17" s="58">
        <v>1</v>
      </c>
      <c r="U17" s="58">
        <f t="shared" si="5"/>
        <v>2.4</v>
      </c>
    </row>
    <row r="18" spans="1:21" ht="20.25">
      <c r="A18" s="278" t="s">
        <v>25</v>
      </c>
      <c r="B18" s="279"/>
      <c r="C18" s="279"/>
      <c r="D18" s="279"/>
      <c r="E18" s="279"/>
      <c r="F18" s="279"/>
      <c r="G18" s="83"/>
      <c r="H18" s="83"/>
      <c r="I18" s="84">
        <f>SUM(I10:I17)</f>
        <v>16.400000000000002</v>
      </c>
      <c r="J18" s="83"/>
      <c r="K18" s="83"/>
      <c r="L18" s="84">
        <f>SUM(L10:L17)</f>
        <v>0</v>
      </c>
      <c r="M18" s="83"/>
      <c r="N18" s="85">
        <f>SUM(N10:N17)</f>
        <v>20</v>
      </c>
      <c r="O18" s="86"/>
      <c r="P18" s="83"/>
      <c r="Q18" s="83"/>
      <c r="R18" s="84">
        <f>SUM(R10:R17)</f>
        <v>0</v>
      </c>
      <c r="S18" s="87"/>
      <c r="T18" s="83"/>
      <c r="U18" s="84">
        <f>SUM(U10:U17)</f>
        <v>17.2</v>
      </c>
    </row>
    <row r="19" spans="1:21" ht="17.25" customHeight="1">
      <c r="A19" s="280" t="s">
        <v>53</v>
      </c>
      <c r="B19" s="280"/>
      <c r="C19" s="280"/>
      <c r="D19" s="280"/>
      <c r="E19" s="280"/>
      <c r="F19" s="280"/>
      <c r="G19" s="281">
        <f>I18/20</f>
        <v>0.82000000000000006</v>
      </c>
      <c r="H19" s="281"/>
      <c r="I19" s="281"/>
      <c r="J19" s="281"/>
      <c r="K19" s="281"/>
      <c r="L19" s="281"/>
      <c r="M19" s="281"/>
      <c r="N19" s="281"/>
      <c r="O19" s="281"/>
      <c r="P19" s="281"/>
      <c r="Q19" s="281"/>
      <c r="R19" s="281"/>
      <c r="S19" s="281"/>
      <c r="T19" s="281"/>
      <c r="U19" s="281"/>
    </row>
    <row r="20" spans="1:21" ht="17.25" customHeight="1">
      <c r="A20" s="280" t="s">
        <v>52</v>
      </c>
      <c r="B20" s="280"/>
      <c r="C20" s="280"/>
      <c r="D20" s="280"/>
      <c r="E20" s="280"/>
      <c r="F20" s="280"/>
      <c r="G20" s="281">
        <f>L18/20</f>
        <v>0</v>
      </c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</row>
    <row r="21" spans="1:21" ht="17.25" customHeight="1">
      <c r="A21" s="280" t="s">
        <v>51</v>
      </c>
      <c r="B21" s="280"/>
      <c r="C21" s="280"/>
      <c r="D21" s="280"/>
      <c r="E21" s="280"/>
      <c r="F21" s="280"/>
      <c r="G21" s="281">
        <f>R18/4.8</f>
        <v>0</v>
      </c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  <c r="S21" s="281"/>
      <c r="T21" s="281"/>
      <c r="U21" s="281"/>
    </row>
    <row r="22" spans="1:21" ht="17.25" customHeight="1">
      <c r="A22" s="280" t="s">
        <v>50</v>
      </c>
      <c r="B22" s="280"/>
      <c r="C22" s="280"/>
      <c r="D22" s="280"/>
      <c r="E22" s="280"/>
      <c r="F22" s="280"/>
      <c r="G22" s="281">
        <f>U18/3.6</f>
        <v>4.7777777777777777</v>
      </c>
      <c r="H22" s="281"/>
      <c r="I22" s="281"/>
      <c r="J22" s="281"/>
      <c r="K22" s="281"/>
      <c r="L22" s="281"/>
      <c r="M22" s="281"/>
      <c r="N22" s="281"/>
      <c r="O22" s="281"/>
      <c r="P22" s="281"/>
      <c r="Q22" s="281"/>
      <c r="R22" s="281"/>
      <c r="S22" s="281"/>
      <c r="T22" s="281"/>
      <c r="U22" s="281"/>
    </row>
    <row r="23" spans="1:21" ht="20.25" customHeight="1">
      <c r="A23" s="188" t="s">
        <v>7</v>
      </c>
      <c r="B23" s="188"/>
      <c r="C23" s="288"/>
      <c r="D23" s="288"/>
      <c r="E23" s="288"/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</row>
    <row r="24" spans="1:21" ht="20.25" customHeight="1">
      <c r="A24" s="188"/>
      <c r="B24" s="188"/>
      <c r="C24" s="288"/>
      <c r="D24" s="288"/>
      <c r="E24" s="288"/>
      <c r="F24" s="288"/>
      <c r="G24" s="288"/>
      <c r="H24" s="288"/>
      <c r="I24" s="288"/>
      <c r="J24" s="288"/>
      <c r="K24" s="288"/>
      <c r="L24" s="288"/>
      <c r="M24" s="288"/>
      <c r="N24" s="288"/>
      <c r="O24" s="288"/>
      <c r="P24" s="288"/>
      <c r="Q24" s="288"/>
      <c r="R24" s="288"/>
      <c r="S24" s="288"/>
      <c r="T24" s="288"/>
      <c r="U24" s="288"/>
    </row>
    <row r="25" spans="1:21" ht="20.25" customHeight="1">
      <c r="A25" s="188"/>
      <c r="B25" s="188"/>
      <c r="C25" s="288"/>
      <c r="D25" s="288"/>
      <c r="E25" s="288"/>
      <c r="F25" s="288"/>
      <c r="G25" s="288"/>
      <c r="H25" s="288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8"/>
      <c r="T25" s="288"/>
      <c r="U25" s="288"/>
    </row>
    <row r="26" spans="1:21" ht="20.25" customHeight="1">
      <c r="A26" s="188"/>
      <c r="B26" s="188"/>
      <c r="C26" s="288"/>
      <c r="D26" s="288"/>
      <c r="E26" s="288"/>
      <c r="F26" s="288"/>
      <c r="G26" s="288"/>
      <c r="H26" s="288"/>
      <c r="I26" s="288"/>
      <c r="J26" s="288"/>
      <c r="K26" s="288"/>
      <c r="L26" s="288"/>
      <c r="M26" s="288"/>
      <c r="N26" s="288"/>
      <c r="O26" s="288"/>
      <c r="P26" s="288"/>
      <c r="Q26" s="288"/>
      <c r="R26" s="288"/>
      <c r="S26" s="288"/>
      <c r="T26" s="288"/>
      <c r="U26" s="288"/>
    </row>
  </sheetData>
  <mergeCells count="34">
    <mergeCell ref="A23:B26"/>
    <mergeCell ref="C23:U26"/>
    <mergeCell ref="A20:F20"/>
    <mergeCell ref="G20:U20"/>
    <mergeCell ref="A21:F21"/>
    <mergeCell ref="G21:U21"/>
    <mergeCell ref="A22:F22"/>
    <mergeCell ref="G22:U22"/>
    <mergeCell ref="J10:L17"/>
    <mergeCell ref="A18:F18"/>
    <mergeCell ref="A19:F19"/>
    <mergeCell ref="G19:U19"/>
    <mergeCell ref="A7:R7"/>
    <mergeCell ref="A8:A9"/>
    <mergeCell ref="B8:B9"/>
    <mergeCell ref="C8:C9"/>
    <mergeCell ref="D8:D9"/>
    <mergeCell ref="E8:E9"/>
    <mergeCell ref="F8:F9"/>
    <mergeCell ref="G8:L8"/>
    <mergeCell ref="M8:O8"/>
    <mergeCell ref="P8:U8"/>
    <mergeCell ref="A1:C3"/>
    <mergeCell ref="D1:U4"/>
    <mergeCell ref="A4:B4"/>
    <mergeCell ref="A5:B6"/>
    <mergeCell ref="C5:C6"/>
    <mergeCell ref="E5:F5"/>
    <mergeCell ref="G5:G6"/>
    <mergeCell ref="J5:J6"/>
    <mergeCell ref="L5:N6"/>
    <mergeCell ref="O5:O6"/>
    <mergeCell ref="P5:U6"/>
    <mergeCell ref="E6:F6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A22"/>
  <sheetViews>
    <sheetView zoomScaleNormal="75" zoomScaleSheetLayoutView="100" workbookViewId="0">
      <pane xSplit="4" ySplit="6" topLeftCell="E7" activePane="bottomRight" state="frozen"/>
      <selection pane="topRight"/>
      <selection pane="bottomLeft"/>
      <selection pane="bottomRight" activeCell="Z33" sqref="Z33"/>
    </sheetView>
  </sheetViews>
  <sheetFormatPr defaultColWidth="9" defaultRowHeight="16.5"/>
  <cols>
    <col min="1" max="1" width="3.625" style="6" customWidth="1"/>
    <col min="2" max="2" width="6.5" style="6" customWidth="1"/>
    <col min="3" max="4" width="7.25" style="6" customWidth="1"/>
    <col min="5" max="5" width="13.875" style="6" hidden="1" customWidth="1"/>
    <col min="6" max="6" width="6.125" style="6" customWidth="1"/>
    <col min="7" max="7" width="6" style="6" customWidth="1"/>
    <col min="8" max="8" width="5" style="6" customWidth="1"/>
    <col min="9" max="9" width="4.875" style="6" customWidth="1"/>
    <col min="10" max="10" width="5.25" style="6" customWidth="1"/>
    <col min="11" max="11" width="4.875" style="6" customWidth="1"/>
    <col min="12" max="12" width="5.25" style="6" customWidth="1"/>
    <col min="13" max="13" width="4.875" style="6" customWidth="1"/>
    <col min="14" max="14" width="5.25" style="6" customWidth="1"/>
    <col min="15" max="15" width="4.875" style="6" customWidth="1"/>
    <col min="16" max="16" width="5.25" style="6" customWidth="1"/>
    <col min="17" max="17" width="6" style="6" customWidth="1"/>
    <col min="18" max="18" width="5.25" style="6" customWidth="1"/>
    <col min="19" max="20" width="6.875" style="6" customWidth="1"/>
    <col min="21" max="22" width="6" style="6" customWidth="1"/>
    <col min="23" max="24" width="5.75" style="6" customWidth="1"/>
    <col min="25" max="25" width="16.5" style="6" customWidth="1"/>
    <col min="26" max="26" width="19.25" style="6" customWidth="1"/>
    <col min="27" max="27" width="13.25" style="6" customWidth="1"/>
    <col min="28" max="16384" width="9" style="6"/>
  </cols>
  <sheetData>
    <row r="1" spans="1:27" ht="16.5" customHeight="1">
      <c r="A1" s="303"/>
      <c r="B1" s="304"/>
      <c r="C1" s="304"/>
      <c r="D1" s="304"/>
      <c r="E1" s="97" t="s">
        <v>84</v>
      </c>
      <c r="F1" s="297" t="s">
        <v>85</v>
      </c>
      <c r="G1" s="297"/>
      <c r="H1" s="297"/>
      <c r="I1" s="297"/>
      <c r="J1" s="297" t="str">
        <f>'1. 소켓인수검사'!R1</f>
        <v>26.06.23 이신이엔지_진성방재_포스코이앤씨_속초더샾프라임뷰</v>
      </c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300"/>
    </row>
    <row r="2" spans="1:27" ht="16.5" customHeight="1">
      <c r="A2" s="305"/>
      <c r="B2" s="214"/>
      <c r="C2" s="214"/>
      <c r="D2" s="214"/>
      <c r="E2" s="96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301"/>
    </row>
    <row r="3" spans="1:27" ht="24" customHeight="1" thickBot="1">
      <c r="A3" s="306"/>
      <c r="B3" s="307"/>
      <c r="C3" s="307"/>
      <c r="D3" s="307"/>
      <c r="E3" s="98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302"/>
    </row>
    <row r="4" spans="1:27" ht="8.1" customHeight="1">
      <c r="A4" s="295"/>
      <c r="B4" s="296"/>
      <c r="C4" s="296"/>
      <c r="D4" s="296"/>
      <c r="E4" s="296"/>
      <c r="F4" s="296"/>
      <c r="G4" s="296"/>
      <c r="H4" s="295"/>
      <c r="I4" s="296"/>
      <c r="J4" s="296"/>
      <c r="K4" s="296"/>
      <c r="L4" s="296"/>
      <c r="M4" s="296"/>
      <c r="N4" s="296"/>
      <c r="O4" s="35"/>
      <c r="P4" s="35"/>
      <c r="Q4" s="35"/>
      <c r="S4" s="35"/>
      <c r="U4" s="35"/>
      <c r="W4" s="35"/>
      <c r="Y4" s="35"/>
      <c r="Z4" s="35"/>
      <c r="AA4" s="35"/>
    </row>
    <row r="5" spans="1:27" ht="16.5" customHeight="1">
      <c r="A5" s="308" t="s">
        <v>27</v>
      </c>
      <c r="B5" s="289" t="s">
        <v>32</v>
      </c>
      <c r="C5" s="289" t="s">
        <v>28</v>
      </c>
      <c r="D5" s="289" t="s">
        <v>16</v>
      </c>
      <c r="E5" s="289" t="s">
        <v>43</v>
      </c>
      <c r="F5" s="289" t="s">
        <v>29</v>
      </c>
      <c r="G5" s="289" t="s">
        <v>21</v>
      </c>
      <c r="H5" s="311" t="s">
        <v>37</v>
      </c>
      <c r="I5" s="289" t="s">
        <v>76</v>
      </c>
      <c r="J5" s="289"/>
      <c r="K5" s="289" t="s">
        <v>76</v>
      </c>
      <c r="L5" s="289"/>
      <c r="M5" s="289" t="s">
        <v>3</v>
      </c>
      <c r="N5" s="289"/>
      <c r="O5" s="289" t="s">
        <v>3</v>
      </c>
      <c r="P5" s="289"/>
      <c r="Q5" s="317" t="s">
        <v>75</v>
      </c>
      <c r="R5" s="317"/>
      <c r="S5" s="317" t="s">
        <v>58</v>
      </c>
      <c r="T5" s="317"/>
      <c r="U5" s="317" t="s">
        <v>57</v>
      </c>
      <c r="V5" s="317"/>
      <c r="W5" s="317" t="s">
        <v>74</v>
      </c>
      <c r="X5" s="317"/>
      <c r="Y5" s="315" t="s">
        <v>40</v>
      </c>
      <c r="Z5" s="315" t="s">
        <v>22</v>
      </c>
      <c r="AA5" s="313" t="s">
        <v>44</v>
      </c>
    </row>
    <row r="6" spans="1:27" ht="26.45" customHeight="1">
      <c r="A6" s="309"/>
      <c r="B6" s="310"/>
      <c r="C6" s="310"/>
      <c r="D6" s="310"/>
      <c r="E6" s="310"/>
      <c r="F6" s="310"/>
      <c r="G6" s="310"/>
      <c r="H6" s="312"/>
      <c r="I6" s="59" t="s">
        <v>15</v>
      </c>
      <c r="J6" s="60" t="s">
        <v>2</v>
      </c>
      <c r="K6" s="59" t="s">
        <v>60</v>
      </c>
      <c r="L6" s="60" t="s">
        <v>2</v>
      </c>
      <c r="M6" s="59" t="s">
        <v>78</v>
      </c>
      <c r="N6" s="60" t="s">
        <v>2</v>
      </c>
      <c r="O6" s="59" t="s">
        <v>49</v>
      </c>
      <c r="P6" s="60" t="s">
        <v>2</v>
      </c>
      <c r="Q6" s="59" t="s">
        <v>17</v>
      </c>
      <c r="R6" s="60" t="s">
        <v>30</v>
      </c>
      <c r="S6" s="59" t="s">
        <v>17</v>
      </c>
      <c r="T6" s="60" t="s">
        <v>30</v>
      </c>
      <c r="U6" s="59" t="s">
        <v>17</v>
      </c>
      <c r="V6" s="60" t="s">
        <v>30</v>
      </c>
      <c r="W6" s="59" t="s">
        <v>17</v>
      </c>
      <c r="X6" s="60" t="s">
        <v>30</v>
      </c>
      <c r="Y6" s="316"/>
      <c r="Z6" s="316"/>
      <c r="AA6" s="314"/>
    </row>
    <row r="7" spans="1:27">
      <c r="A7" s="61" t="str">
        <f>'1. 소켓인수검사'!A9</f>
        <v>01</v>
      </c>
      <c r="B7" s="62" t="str">
        <f>'1. 소켓인수검사'!B9</f>
        <v>HTG-064</v>
      </c>
      <c r="C7" s="45">
        <f>'1. 소켓인수검사'!C9</f>
        <v>400</v>
      </c>
      <c r="D7" s="45">
        <f>'1. 소켓인수검사'!D9</f>
        <v>300</v>
      </c>
      <c r="E7" s="48"/>
      <c r="F7" s="63">
        <f>C7*D7/1000000</f>
        <v>0.12</v>
      </c>
      <c r="G7" s="63">
        <f>(C7+D7)*2/1000</f>
        <v>1.4</v>
      </c>
      <c r="H7" s="64">
        <v>2</v>
      </c>
      <c r="I7" s="59">
        <f>(G7+0.4)</f>
        <v>1.7999999999999998</v>
      </c>
      <c r="J7" s="60">
        <v>2</v>
      </c>
      <c r="K7" s="65"/>
      <c r="L7" s="65"/>
      <c r="M7" s="65"/>
      <c r="N7" s="65"/>
      <c r="O7" s="59">
        <f>G7+0.5</f>
        <v>1.9</v>
      </c>
      <c r="P7" s="60">
        <v>2</v>
      </c>
      <c r="Q7" s="117">
        <f>'2.1 재단(1.69,064)'!Z8</f>
        <v>3</v>
      </c>
      <c r="R7" s="60">
        <f>Q7*2</f>
        <v>6</v>
      </c>
      <c r="S7" s="117">
        <f>'2.1 재단(1.69,064)'!Z8</f>
        <v>3</v>
      </c>
      <c r="T7" s="60">
        <f>S7*2</f>
        <v>6</v>
      </c>
      <c r="U7" s="117">
        <f>'2.1 재단(1.69,064)'!T8/2</f>
        <v>2</v>
      </c>
      <c r="V7" s="60">
        <f>U7*2</f>
        <v>4</v>
      </c>
      <c r="W7" s="117">
        <f>'2.1 재단(1.69,064)'!T8/2</f>
        <v>2</v>
      </c>
      <c r="X7" s="60">
        <f>W7*2</f>
        <v>4</v>
      </c>
      <c r="Y7" s="66" t="s">
        <v>62</v>
      </c>
      <c r="Z7" s="67" t="s">
        <v>87</v>
      </c>
      <c r="AA7" s="68">
        <f>'1. 소켓인수검사'!G9</f>
        <v>0</v>
      </c>
    </row>
    <row r="8" spans="1:27">
      <c r="A8" s="61" t="str">
        <f>'1. 소켓인수검사'!A10</f>
        <v>02</v>
      </c>
      <c r="B8" s="62" t="str">
        <f>'1. 소켓인수검사'!B10</f>
        <v>HTG-064</v>
      </c>
      <c r="C8" s="45">
        <f>'1. 소켓인수검사'!C10</f>
        <v>400</v>
      </c>
      <c r="D8" s="45">
        <f>'1. 소켓인수검사'!D10</f>
        <v>300</v>
      </c>
      <c r="E8" s="48"/>
      <c r="F8" s="63">
        <f t="shared" ref="F8:F14" si="0">C8*D8/1000000</f>
        <v>0.12</v>
      </c>
      <c r="G8" s="63">
        <f t="shared" ref="G8:G14" si="1">(C8+D8)*2/1000</f>
        <v>1.4</v>
      </c>
      <c r="H8" s="64">
        <v>2</v>
      </c>
      <c r="I8" s="59">
        <f>(G8+0.4)</f>
        <v>1.7999999999999998</v>
      </c>
      <c r="J8" s="60">
        <v>2</v>
      </c>
      <c r="K8" s="65"/>
      <c r="L8" s="65"/>
      <c r="M8" s="65"/>
      <c r="N8" s="65"/>
      <c r="O8" s="59">
        <f t="shared" ref="O8:O14" si="2">I8+0.5</f>
        <v>2.2999999999999998</v>
      </c>
      <c r="P8" s="60">
        <v>2</v>
      </c>
      <c r="Q8" s="117">
        <f>'2.1 재단(1.69,064)'!Z9</f>
        <v>3</v>
      </c>
      <c r="R8" s="60">
        <f>Q8*2</f>
        <v>6</v>
      </c>
      <c r="S8" s="117">
        <f>'2.1 재단(1.69,064)'!Z9</f>
        <v>3</v>
      </c>
      <c r="T8" s="60">
        <f>S8*2</f>
        <v>6</v>
      </c>
      <c r="U8" s="117">
        <f>'2.1 재단(1.69,064)'!T9/2</f>
        <v>2</v>
      </c>
      <c r="V8" s="60">
        <f>U8*2</f>
        <v>4</v>
      </c>
      <c r="W8" s="117">
        <f>'2.1 재단(1.69,064)'!T9/2</f>
        <v>2</v>
      </c>
      <c r="X8" s="60">
        <f>W8*2</f>
        <v>4</v>
      </c>
      <c r="Y8" s="66" t="s">
        <v>62</v>
      </c>
      <c r="Z8" s="67" t="s">
        <v>87</v>
      </c>
      <c r="AA8" s="68">
        <f>'1. 소켓인수검사'!G10</f>
        <v>0</v>
      </c>
    </row>
    <row r="9" spans="1:27">
      <c r="A9" s="61" t="str">
        <f>'1. 소켓인수검사'!A11</f>
        <v>03</v>
      </c>
      <c r="B9" s="62" t="str">
        <f>'1. 소켓인수검사'!B11</f>
        <v>HTG-064</v>
      </c>
      <c r="C9" s="45">
        <f>'1. 소켓인수검사'!C11</f>
        <v>400</v>
      </c>
      <c r="D9" s="45">
        <f>'1. 소켓인수검사'!D11</f>
        <v>300</v>
      </c>
      <c r="E9" s="48"/>
      <c r="F9" s="63">
        <f t="shared" si="0"/>
        <v>0.12</v>
      </c>
      <c r="G9" s="63">
        <f t="shared" si="1"/>
        <v>1.4</v>
      </c>
      <c r="H9" s="64">
        <v>2</v>
      </c>
      <c r="I9" s="59">
        <f>(G9+0.4)</f>
        <v>1.7999999999999998</v>
      </c>
      <c r="J9" s="60">
        <v>2</v>
      </c>
      <c r="K9" s="65"/>
      <c r="L9" s="65"/>
      <c r="M9" s="65"/>
      <c r="N9" s="65"/>
      <c r="O9" s="59">
        <f t="shared" si="2"/>
        <v>2.2999999999999998</v>
      </c>
      <c r="P9" s="60">
        <v>2</v>
      </c>
      <c r="Q9" s="117">
        <f>'2.1 재단(1.69,064)'!Z10</f>
        <v>3</v>
      </c>
      <c r="R9" s="60">
        <f t="shared" ref="R9:R14" si="3">Q9*2</f>
        <v>6</v>
      </c>
      <c r="S9" s="117">
        <f>'2.1 재단(1.69,064)'!Z10</f>
        <v>3</v>
      </c>
      <c r="T9" s="60">
        <f t="shared" ref="T9:T14" si="4">S9*2</f>
        <v>6</v>
      </c>
      <c r="U9" s="117">
        <f>'2.1 재단(1.69,064)'!T10/2</f>
        <v>2</v>
      </c>
      <c r="V9" s="60">
        <f t="shared" ref="V9:V14" si="5">U9*2</f>
        <v>4</v>
      </c>
      <c r="W9" s="117">
        <f>'2.1 재단(1.69,064)'!T10/2</f>
        <v>2</v>
      </c>
      <c r="X9" s="60">
        <f t="shared" ref="X9:X14" si="6">W9*2</f>
        <v>4</v>
      </c>
      <c r="Y9" s="66" t="s">
        <v>62</v>
      </c>
      <c r="Z9" s="67" t="s">
        <v>87</v>
      </c>
      <c r="AA9" s="68">
        <f>'1. 소켓인수검사'!G11</f>
        <v>0</v>
      </c>
    </row>
    <row r="10" spans="1:27">
      <c r="A10" s="61" t="str">
        <f>'1. 소켓인수검사'!A12</f>
        <v>04</v>
      </c>
      <c r="B10" s="62" t="str">
        <f>'1. 소켓인수검사'!B12</f>
        <v>HTG-064</v>
      </c>
      <c r="C10" s="45">
        <f>'1. 소켓인수검사'!C12</f>
        <v>400</v>
      </c>
      <c r="D10" s="45">
        <f>'1. 소켓인수검사'!D12</f>
        <v>300</v>
      </c>
      <c r="E10" s="48"/>
      <c r="F10" s="63">
        <f t="shared" si="0"/>
        <v>0.12</v>
      </c>
      <c r="G10" s="63">
        <f t="shared" si="1"/>
        <v>1.4</v>
      </c>
      <c r="H10" s="64">
        <v>2</v>
      </c>
      <c r="I10" s="59">
        <f t="shared" ref="I10:I14" si="7">(G10+0.4)</f>
        <v>1.7999999999999998</v>
      </c>
      <c r="J10" s="60">
        <v>2</v>
      </c>
      <c r="K10" s="65"/>
      <c r="L10" s="65"/>
      <c r="M10" s="65"/>
      <c r="N10" s="65"/>
      <c r="O10" s="59">
        <f t="shared" si="2"/>
        <v>2.2999999999999998</v>
      </c>
      <c r="P10" s="60">
        <v>2</v>
      </c>
      <c r="Q10" s="117">
        <f>'2.1 재단(1.69,064)'!Z11</f>
        <v>3</v>
      </c>
      <c r="R10" s="60">
        <f t="shared" si="3"/>
        <v>6</v>
      </c>
      <c r="S10" s="117">
        <f>'2.1 재단(1.69,064)'!Z11</f>
        <v>3</v>
      </c>
      <c r="T10" s="60">
        <f t="shared" si="4"/>
        <v>6</v>
      </c>
      <c r="U10" s="117">
        <f>'2.1 재단(1.69,064)'!T11/2</f>
        <v>2</v>
      </c>
      <c r="V10" s="60">
        <f t="shared" si="5"/>
        <v>4</v>
      </c>
      <c r="W10" s="117">
        <f>'2.1 재단(1.69,064)'!T11/2</f>
        <v>2</v>
      </c>
      <c r="X10" s="60">
        <f t="shared" si="6"/>
        <v>4</v>
      </c>
      <c r="Y10" s="66" t="s">
        <v>62</v>
      </c>
      <c r="Z10" s="67" t="s">
        <v>87</v>
      </c>
      <c r="AA10" s="68">
        <f>'1. 소켓인수검사'!G12</f>
        <v>0</v>
      </c>
    </row>
    <row r="11" spans="1:27">
      <c r="A11" s="61" t="str">
        <f>'1. 소켓인수검사'!A13</f>
        <v>05</v>
      </c>
      <c r="B11" s="62" t="str">
        <f>'1. 소켓인수검사'!B13</f>
        <v>HTG-064</v>
      </c>
      <c r="C11" s="45">
        <f>'1. 소켓인수검사'!C13</f>
        <v>500</v>
      </c>
      <c r="D11" s="45">
        <f>'1. 소켓인수검사'!D13</f>
        <v>450</v>
      </c>
      <c r="E11" s="48"/>
      <c r="F11" s="63">
        <f t="shared" si="0"/>
        <v>0.22500000000000001</v>
      </c>
      <c r="G11" s="63">
        <f t="shared" si="1"/>
        <v>1.9</v>
      </c>
      <c r="H11" s="64">
        <v>2</v>
      </c>
      <c r="I11" s="59">
        <f t="shared" si="7"/>
        <v>2.2999999999999998</v>
      </c>
      <c r="J11" s="60">
        <v>2</v>
      </c>
      <c r="K11" s="65"/>
      <c r="L11" s="65"/>
      <c r="M11" s="65"/>
      <c r="N11" s="65"/>
      <c r="O11" s="59">
        <f t="shared" si="2"/>
        <v>2.8</v>
      </c>
      <c r="P11" s="60">
        <v>2</v>
      </c>
      <c r="Q11" s="117">
        <f>'2.1 재단(1.69,064)'!Z12</f>
        <v>3</v>
      </c>
      <c r="R11" s="60">
        <f t="shared" si="3"/>
        <v>6</v>
      </c>
      <c r="S11" s="117">
        <f>'2.1 재단(1.69,064)'!Z12</f>
        <v>3</v>
      </c>
      <c r="T11" s="60">
        <f t="shared" si="4"/>
        <v>6</v>
      </c>
      <c r="U11" s="117">
        <f>'2.1 재단(1.69,064)'!T12/2</f>
        <v>3</v>
      </c>
      <c r="V11" s="60">
        <f t="shared" si="5"/>
        <v>6</v>
      </c>
      <c r="W11" s="117">
        <f>'2.1 재단(1.69,064)'!T12/2</f>
        <v>3</v>
      </c>
      <c r="X11" s="60">
        <f t="shared" si="6"/>
        <v>6</v>
      </c>
      <c r="Y11" s="66" t="s">
        <v>62</v>
      </c>
      <c r="Z11" s="67" t="s">
        <v>87</v>
      </c>
      <c r="AA11" s="68">
        <f>'1. 소켓인수검사'!G13</f>
        <v>0</v>
      </c>
    </row>
    <row r="12" spans="1:27">
      <c r="A12" s="61" t="str">
        <f>'1. 소켓인수검사'!A14</f>
        <v>06</v>
      </c>
      <c r="B12" s="62" t="str">
        <f>'1. 소켓인수검사'!B14</f>
        <v>HTG-064</v>
      </c>
      <c r="C12" s="45">
        <f>'1. 소켓인수검사'!C14</f>
        <v>500</v>
      </c>
      <c r="D12" s="45">
        <f>'1. 소켓인수검사'!D14</f>
        <v>450</v>
      </c>
      <c r="E12" s="48"/>
      <c r="F12" s="63">
        <f t="shared" si="0"/>
        <v>0.22500000000000001</v>
      </c>
      <c r="G12" s="63">
        <f t="shared" si="1"/>
        <v>1.9</v>
      </c>
      <c r="H12" s="64">
        <v>2</v>
      </c>
      <c r="I12" s="59">
        <f t="shared" si="7"/>
        <v>2.2999999999999998</v>
      </c>
      <c r="J12" s="60">
        <v>2</v>
      </c>
      <c r="K12" s="65"/>
      <c r="L12" s="65"/>
      <c r="M12" s="65"/>
      <c r="N12" s="65"/>
      <c r="O12" s="59">
        <f t="shared" si="2"/>
        <v>2.8</v>
      </c>
      <c r="P12" s="60">
        <v>2</v>
      </c>
      <c r="Q12" s="117">
        <f>'2.1 재단(1.69,064)'!Z13</f>
        <v>3</v>
      </c>
      <c r="R12" s="60">
        <f t="shared" si="3"/>
        <v>6</v>
      </c>
      <c r="S12" s="117">
        <f>'2.1 재단(1.69,064)'!Z13</f>
        <v>3</v>
      </c>
      <c r="T12" s="60">
        <f t="shared" si="4"/>
        <v>6</v>
      </c>
      <c r="U12" s="117">
        <f>'2.1 재단(1.69,064)'!T13/2</f>
        <v>3</v>
      </c>
      <c r="V12" s="60">
        <f t="shared" si="5"/>
        <v>6</v>
      </c>
      <c r="W12" s="117">
        <f>'2.1 재단(1.69,064)'!T13/2</f>
        <v>3</v>
      </c>
      <c r="X12" s="60">
        <f t="shared" si="6"/>
        <v>6</v>
      </c>
      <c r="Y12" s="66" t="s">
        <v>62</v>
      </c>
      <c r="Z12" s="67" t="s">
        <v>87</v>
      </c>
      <c r="AA12" s="68">
        <f>'1. 소켓인수검사'!G14</f>
        <v>0</v>
      </c>
    </row>
    <row r="13" spans="1:27">
      <c r="A13" s="61" t="str">
        <f>'1. 소켓인수검사'!A15</f>
        <v>07</v>
      </c>
      <c r="B13" s="62" t="str">
        <f>'1. 소켓인수검사'!B15</f>
        <v>HTG-064</v>
      </c>
      <c r="C13" s="45">
        <f>'1. 소켓인수검사'!C15</f>
        <v>500</v>
      </c>
      <c r="D13" s="45">
        <f>'1. 소켓인수검사'!D15</f>
        <v>450</v>
      </c>
      <c r="E13" s="48"/>
      <c r="F13" s="63">
        <f t="shared" si="0"/>
        <v>0.22500000000000001</v>
      </c>
      <c r="G13" s="63">
        <f t="shared" si="1"/>
        <v>1.9</v>
      </c>
      <c r="H13" s="64">
        <v>2</v>
      </c>
      <c r="I13" s="59">
        <f t="shared" si="7"/>
        <v>2.2999999999999998</v>
      </c>
      <c r="J13" s="60">
        <v>2</v>
      </c>
      <c r="K13" s="65"/>
      <c r="L13" s="65"/>
      <c r="M13" s="65"/>
      <c r="N13" s="65"/>
      <c r="O13" s="59">
        <f t="shared" si="2"/>
        <v>2.8</v>
      </c>
      <c r="P13" s="60">
        <v>2</v>
      </c>
      <c r="Q13" s="117">
        <f>'2.1 재단(1.69,064)'!Z14</f>
        <v>3</v>
      </c>
      <c r="R13" s="60">
        <f t="shared" si="3"/>
        <v>6</v>
      </c>
      <c r="S13" s="117">
        <f>'2.1 재단(1.69,064)'!Z14</f>
        <v>3</v>
      </c>
      <c r="T13" s="60">
        <f t="shared" si="4"/>
        <v>6</v>
      </c>
      <c r="U13" s="117">
        <f>'2.1 재단(1.69,064)'!T14/2</f>
        <v>3</v>
      </c>
      <c r="V13" s="60">
        <f t="shared" si="5"/>
        <v>6</v>
      </c>
      <c r="W13" s="117">
        <f>'2.1 재단(1.69,064)'!T14/2</f>
        <v>3</v>
      </c>
      <c r="X13" s="60">
        <f t="shared" si="6"/>
        <v>6</v>
      </c>
      <c r="Y13" s="66" t="s">
        <v>62</v>
      </c>
      <c r="Z13" s="67" t="s">
        <v>87</v>
      </c>
      <c r="AA13" s="68">
        <f>'1. 소켓인수검사'!G15</f>
        <v>0</v>
      </c>
    </row>
    <row r="14" spans="1:27">
      <c r="A14" s="61" t="str">
        <f>'1. 소켓인수검사'!A16</f>
        <v>08</v>
      </c>
      <c r="B14" s="62" t="str">
        <f>'1. 소켓인수검사'!B16</f>
        <v>HTG-064</v>
      </c>
      <c r="C14" s="45">
        <f>'1. 소켓인수검사'!C16</f>
        <v>500</v>
      </c>
      <c r="D14" s="45">
        <f>'1. 소켓인수검사'!D16</f>
        <v>450</v>
      </c>
      <c r="E14" s="48"/>
      <c r="F14" s="63">
        <f t="shared" si="0"/>
        <v>0.22500000000000001</v>
      </c>
      <c r="G14" s="63">
        <f t="shared" si="1"/>
        <v>1.9</v>
      </c>
      <c r="H14" s="64">
        <v>2</v>
      </c>
      <c r="I14" s="59">
        <f t="shared" si="7"/>
        <v>2.2999999999999998</v>
      </c>
      <c r="J14" s="60">
        <v>2</v>
      </c>
      <c r="K14" s="65"/>
      <c r="L14" s="65"/>
      <c r="M14" s="65"/>
      <c r="N14" s="65"/>
      <c r="O14" s="59">
        <f t="shared" si="2"/>
        <v>2.8</v>
      </c>
      <c r="P14" s="60">
        <v>2</v>
      </c>
      <c r="Q14" s="117">
        <f>'2.1 재단(1.69,064)'!Z15</f>
        <v>3</v>
      </c>
      <c r="R14" s="60">
        <f t="shared" si="3"/>
        <v>6</v>
      </c>
      <c r="S14" s="117">
        <f>'2.1 재단(1.69,064)'!Z15</f>
        <v>3</v>
      </c>
      <c r="T14" s="60">
        <f t="shared" si="4"/>
        <v>6</v>
      </c>
      <c r="U14" s="117">
        <f>'2.1 재단(1.69,064)'!T15/2</f>
        <v>3</v>
      </c>
      <c r="V14" s="60">
        <f t="shared" si="5"/>
        <v>6</v>
      </c>
      <c r="W14" s="117">
        <f>'2.1 재단(1.69,064)'!T15/2</f>
        <v>3</v>
      </c>
      <c r="X14" s="60">
        <f t="shared" si="6"/>
        <v>6</v>
      </c>
      <c r="Y14" s="66" t="s">
        <v>62</v>
      </c>
      <c r="Z14" s="67" t="s">
        <v>87</v>
      </c>
      <c r="AA14" s="68">
        <f>'1. 소켓인수검사'!G16</f>
        <v>0</v>
      </c>
    </row>
    <row r="15" spans="1:27">
      <c r="A15" s="290" t="s">
        <v>18</v>
      </c>
      <c r="B15" s="291"/>
      <c r="C15" s="291"/>
      <c r="D15" s="69"/>
      <c r="E15" s="70"/>
      <c r="F15" s="70"/>
      <c r="G15" s="70"/>
      <c r="H15" s="100">
        <f>SUM(H7:H14)</f>
        <v>16</v>
      </c>
      <c r="I15" s="69"/>
      <c r="J15" s="100">
        <f>SUM(J7:J14)</f>
        <v>16</v>
      </c>
      <c r="K15" s="69"/>
      <c r="L15" s="100">
        <f>SUM(L7:L14)</f>
        <v>0</v>
      </c>
      <c r="M15" s="71"/>
      <c r="N15" s="100">
        <f>SUM(N7:N14)</f>
        <v>0</v>
      </c>
      <c r="O15" s="71"/>
      <c r="P15" s="100">
        <f>SUM(P7:P14)</f>
        <v>16</v>
      </c>
      <c r="Q15" s="71"/>
      <c r="R15" s="100">
        <f>SUM(R7:R14)</f>
        <v>48</v>
      </c>
      <c r="S15" s="71"/>
      <c r="T15" s="100">
        <f>SUM(T7:T14)</f>
        <v>48</v>
      </c>
      <c r="U15" s="71"/>
      <c r="V15" s="100">
        <f>SUM(V7:V14)</f>
        <v>40</v>
      </c>
      <c r="W15" s="71"/>
      <c r="X15" s="100">
        <f>SUM(X7:X14)</f>
        <v>40</v>
      </c>
      <c r="Y15" s="47"/>
      <c r="Z15" s="47"/>
      <c r="AA15" s="72"/>
    </row>
    <row r="16" spans="1:27" ht="8.1" customHeight="1">
      <c r="A16" s="217"/>
      <c r="B16" s="217"/>
      <c r="C16" s="217"/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36"/>
      <c r="P16" s="36"/>
      <c r="Q16" s="36"/>
      <c r="S16" s="36"/>
      <c r="U16" s="36"/>
      <c r="W16" s="36"/>
    </row>
    <row r="17" spans="1:24" ht="16.5" hidden="1" customHeight="1">
      <c r="A17" s="254" t="s">
        <v>7</v>
      </c>
      <c r="B17" s="254"/>
      <c r="C17" s="254"/>
      <c r="D17" s="292"/>
      <c r="E17" s="293"/>
      <c r="F17" s="293"/>
      <c r="G17" s="293"/>
      <c r="H17" s="293"/>
      <c r="I17" s="293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</row>
    <row r="18" spans="1:24" ht="16.5" hidden="1" customHeight="1">
      <c r="A18" s="254"/>
      <c r="B18" s="254"/>
      <c r="C18" s="254"/>
      <c r="D18" s="294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</row>
    <row r="19" spans="1:24" ht="16.5" hidden="1" customHeight="1">
      <c r="A19" s="254"/>
      <c r="B19" s="254"/>
      <c r="C19" s="254"/>
      <c r="D19" s="294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</row>
    <row r="20" spans="1:24" ht="16.5" hidden="1" customHeight="1">
      <c r="A20" s="254"/>
      <c r="B20" s="254"/>
      <c r="C20" s="254"/>
      <c r="D20" s="294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</row>
    <row r="21" spans="1:24" ht="16.5" hidden="1" customHeight="1">
      <c r="A21" s="254"/>
      <c r="B21" s="254"/>
      <c r="C21" s="254"/>
      <c r="D21" s="294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</row>
    <row r="22" spans="1:24" ht="16.5" hidden="1" customHeight="1">
      <c r="A22" s="254"/>
      <c r="B22" s="254"/>
      <c r="C22" s="254"/>
      <c r="D22" s="295"/>
      <c r="E22" s="296"/>
      <c r="F22" s="296"/>
      <c r="G22" s="296"/>
      <c r="H22" s="296"/>
      <c r="I22" s="296"/>
      <c r="J22" s="296"/>
      <c r="K22" s="296"/>
      <c r="L22" s="296"/>
      <c r="M22" s="296"/>
      <c r="N22" s="296"/>
      <c r="O22" s="296"/>
      <c r="P22" s="296"/>
      <c r="Q22" s="296"/>
      <c r="R22" s="296"/>
      <c r="S22" s="296"/>
      <c r="T22" s="296"/>
      <c r="U22" s="296"/>
      <c r="V22" s="296"/>
      <c r="W22" s="296"/>
      <c r="X22" s="296"/>
    </row>
  </sheetData>
  <mergeCells count="27">
    <mergeCell ref="Y5:Y6"/>
    <mergeCell ref="Z5:Z6"/>
    <mergeCell ref="Q5:R5"/>
    <mergeCell ref="S5:T5"/>
    <mergeCell ref="U5:V5"/>
    <mergeCell ref="W5:X5"/>
    <mergeCell ref="A16:N16"/>
    <mergeCell ref="A17:C22"/>
    <mergeCell ref="D17:X22"/>
    <mergeCell ref="F1:I3"/>
    <mergeCell ref="J1:AA3"/>
    <mergeCell ref="A1:D3"/>
    <mergeCell ref="A4:N4"/>
    <mergeCell ref="A5:A6"/>
    <mergeCell ref="B5:B6"/>
    <mergeCell ref="C5:C6"/>
    <mergeCell ref="D5:D6"/>
    <mergeCell ref="E5:E6"/>
    <mergeCell ref="F5:F6"/>
    <mergeCell ref="G5:G6"/>
    <mergeCell ref="H5:H6"/>
    <mergeCell ref="AA5:AA6"/>
    <mergeCell ref="I5:J5"/>
    <mergeCell ref="K5:L5"/>
    <mergeCell ref="M5:N5"/>
    <mergeCell ref="O5:P5"/>
    <mergeCell ref="A15:C15"/>
  </mergeCells>
  <phoneticPr fontId="33" type="noConversion"/>
  <pageMargins left="0.2361111044883728" right="0.2361111044883728" top="0.74791663885116577" bottom="0.74791663885116577" header="0.31486111879348755" footer="0.31486111879348755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A62E-313F-4F27-A22B-0E722101DA4F}">
  <dimension ref="A1"/>
  <sheetViews>
    <sheetView workbookViewId="0"/>
  </sheetViews>
  <sheetFormatPr defaultRowHeight="16.5"/>
  <sheetData/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303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8</vt:i4>
      </vt:variant>
    </vt:vector>
  </HeadingPairs>
  <TitlesOfParts>
    <vt:vector size="15" baseType="lpstr">
      <vt:lpstr>1. 소켓인수검사</vt:lpstr>
      <vt:lpstr>2.1 재단(1.69,064)</vt:lpstr>
      <vt:lpstr>3.1 절곡(HTG1.69)(브라켓,보강대,받침대)</vt:lpstr>
      <vt:lpstr>4. 차열재 소켓용 (수정)</vt:lpstr>
      <vt:lpstr>5. 차열재 출하용</vt:lpstr>
      <vt:lpstr>라벨소요량</vt:lpstr>
      <vt:lpstr>발주서정리</vt:lpstr>
      <vt:lpstr>'1. 소켓인수검사'!Print_Area</vt:lpstr>
      <vt:lpstr>'3.1 절곡(HTG1.69)(브라켓,보강대,받침대)'!Print_Area</vt:lpstr>
      <vt:lpstr>'1. 소켓인수검사'!Print_Titles</vt:lpstr>
      <vt:lpstr>'2.1 재단(1.69,064)'!Print_Titles</vt:lpstr>
      <vt:lpstr>'3.1 절곡(HTG1.69)(브라켓,보강대,받침대)'!Print_Titles</vt:lpstr>
      <vt:lpstr>'4. 차열재 소켓용 (수정)'!Print_Titles</vt:lpstr>
      <vt:lpstr>'5. 차열재 출하용'!Print_Titles</vt:lpstr>
      <vt:lpstr>라벨소요량!Print_Titles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35</cp:revision>
  <cp:lastPrinted>2026-06-24T03:09:26Z</cp:lastPrinted>
  <dcterms:created xsi:type="dcterms:W3CDTF">2025-03-13T00:09:10Z</dcterms:created>
  <dcterms:modified xsi:type="dcterms:W3CDTF">2026-06-24T03:09:32Z</dcterms:modified>
  <cp:version>1200.0100.01</cp:version>
</cp:coreProperties>
</file>