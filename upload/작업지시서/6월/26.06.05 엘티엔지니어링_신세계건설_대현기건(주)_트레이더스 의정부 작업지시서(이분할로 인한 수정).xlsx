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장인섭\02. 작업지시서\2026년\6월\"/>
    </mc:Choice>
  </mc:AlternateContent>
  <xr:revisionPtr revIDLastSave="0" documentId="13_ncr:1_{4A70240D-FC18-4084-A03C-EBE85E63CDB9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1. 소켓인수검사" sheetId="1" r:id="rId1"/>
    <sheet name="2.1 재단작업(VT)" sheetId="3" r:id="rId2"/>
    <sheet name="차열재 재단(VM,VT)" sheetId="2" r:id="rId3"/>
    <sheet name="3.2 절곡(VT)" sheetId="6" r:id="rId4"/>
    <sheet name="3.3 절곡(VT-보강대)" sheetId="7" r:id="rId5"/>
    <sheet name="5. 차열재 출하용(VM,VT,VAG)" sheetId="9" r:id="rId6"/>
    <sheet name="6. 라벨소요량" sheetId="10" r:id="rId7"/>
    <sheet name="발주서정리" sheetId="11" r:id="rId8"/>
  </sheets>
  <definedNames>
    <definedName name="_xlnm.Print_Area" localSheetId="0">'1. 소켓인수검사'!$A$1:$P$43</definedName>
    <definedName name="_xlnm.Print_Titles" localSheetId="0">'1. 소켓인수검사'!$6:$8</definedName>
    <definedName name="_xlnm.Print_Titles" localSheetId="1">'2.1 재단작업(VT)'!$5:$7</definedName>
    <definedName name="_xlnm.Print_Titles" localSheetId="3">'3.2 절곡(VT)'!$1:$6</definedName>
    <definedName name="_xlnm.Print_Titles" localSheetId="4">'3.3 절곡(VT-보강대)'!$1:$6</definedName>
    <definedName name="_xlnm.Print_Titles" localSheetId="5">'5. 차열재 출하용(VM,VT,VAG)'!$8:$9</definedName>
    <definedName name="_xlnm.Print_Titles" localSheetId="6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" i="2" l="1"/>
  <c r="D42" i="2"/>
  <c r="I42" i="2" s="1"/>
  <c r="G42" i="2"/>
  <c r="D41" i="2"/>
  <c r="I41" i="2" s="1"/>
  <c r="G41" i="2"/>
  <c r="D40" i="2"/>
  <c r="I40" i="2" s="1"/>
  <c r="G40" i="2"/>
  <c r="D39" i="2"/>
  <c r="D38" i="2"/>
  <c r="I38" i="2" s="1"/>
  <c r="G38" i="2"/>
  <c r="D37" i="2"/>
  <c r="C37" i="2"/>
  <c r="G37" i="2" s="1"/>
  <c r="D36" i="2"/>
  <c r="I36" i="2" s="1"/>
  <c r="C36" i="2"/>
  <c r="G36" i="2" s="1"/>
  <c r="D35" i="2"/>
  <c r="I35" i="2" s="1"/>
  <c r="C35" i="2"/>
  <c r="D34" i="2"/>
  <c r="I34" i="2" s="1"/>
  <c r="C34" i="2"/>
  <c r="G34" i="2" s="1"/>
  <c r="D33" i="2"/>
  <c r="I33" i="2" s="1"/>
  <c r="C33" i="2"/>
  <c r="G33" i="2" s="1"/>
  <c r="D32" i="2"/>
  <c r="I32" i="2" s="1"/>
  <c r="C32" i="2"/>
  <c r="G32" i="2" s="1"/>
  <c r="D31" i="2"/>
  <c r="I31" i="2" s="1"/>
  <c r="C31" i="2"/>
  <c r="G31" i="2" s="1"/>
  <c r="D30" i="2"/>
  <c r="I30" i="2" s="1"/>
  <c r="C30" i="2"/>
  <c r="G30" i="2" s="1"/>
  <c r="D29" i="2"/>
  <c r="I29" i="2" s="1"/>
  <c r="C29" i="2"/>
  <c r="D28" i="2"/>
  <c r="I28" i="2" s="1"/>
  <c r="C28" i="2"/>
  <c r="G28" i="2" s="1"/>
  <c r="D27" i="2"/>
  <c r="I27" i="2" s="1"/>
  <c r="C27" i="2"/>
  <c r="G27" i="2" s="1"/>
  <c r="D26" i="2"/>
  <c r="I26" i="2" s="1"/>
  <c r="C26" i="2"/>
  <c r="G26" i="2" s="1"/>
  <c r="D25" i="2"/>
  <c r="C25" i="2"/>
  <c r="G25" i="2" s="1"/>
  <c r="D24" i="2"/>
  <c r="I24" i="2" s="1"/>
  <c r="C24" i="2"/>
  <c r="G24" i="2" s="1"/>
  <c r="D23" i="2"/>
  <c r="I23" i="2" s="1"/>
  <c r="C23" i="2"/>
  <c r="G23" i="2" s="1"/>
  <c r="D22" i="2"/>
  <c r="I22" i="2" s="1"/>
  <c r="C22" i="2"/>
  <c r="G22" i="2" s="1"/>
  <c r="D21" i="2"/>
  <c r="I21" i="2" s="1"/>
  <c r="C21" i="2"/>
  <c r="G21" i="2" s="1"/>
  <c r="D20" i="2"/>
  <c r="I20" i="2" s="1"/>
  <c r="C20" i="2"/>
  <c r="G20" i="2" s="1"/>
  <c r="D19" i="2"/>
  <c r="I19" i="2" s="1"/>
  <c r="C19" i="2"/>
  <c r="D18" i="2"/>
  <c r="I18" i="2" s="1"/>
  <c r="C18" i="2"/>
  <c r="G18" i="2" s="1"/>
  <c r="D17" i="2"/>
  <c r="I17" i="2" s="1"/>
  <c r="C17" i="2"/>
  <c r="G17" i="2" s="1"/>
  <c r="D16" i="2"/>
  <c r="I16" i="2" s="1"/>
  <c r="C16" i="2"/>
  <c r="G16" i="2" s="1"/>
  <c r="D15" i="2"/>
  <c r="C15" i="2"/>
  <c r="D14" i="2"/>
  <c r="I14" i="2" s="1"/>
  <c r="C14" i="2"/>
  <c r="G14" i="2" s="1"/>
  <c r="D13" i="2"/>
  <c r="C13" i="2"/>
  <c r="G13" i="2" s="1"/>
  <c r="D12" i="2"/>
  <c r="I12" i="2" s="1"/>
  <c r="C12" i="2"/>
  <c r="G12" i="2" s="1"/>
  <c r="D11" i="2"/>
  <c r="I11" i="2" s="1"/>
  <c r="C11" i="2"/>
  <c r="D10" i="2"/>
  <c r="I10" i="2" s="1"/>
  <c r="C10" i="2"/>
  <c r="G10" i="2" s="1"/>
  <c r="D9" i="2"/>
  <c r="C9" i="2"/>
  <c r="D8" i="2"/>
  <c r="I8" i="2" s="1"/>
  <c r="C8" i="2"/>
  <c r="G8" i="2" s="1"/>
  <c r="A42" i="2"/>
  <c r="A41" i="2"/>
  <c r="A40" i="2"/>
  <c r="I39" i="2"/>
  <c r="G39" i="2"/>
  <c r="A39" i="2"/>
  <c r="A38" i="2"/>
  <c r="I37" i="2"/>
  <c r="A37" i="2"/>
  <c r="A36" i="2"/>
  <c r="G35" i="2"/>
  <c r="A35" i="2"/>
  <c r="A34" i="2"/>
  <c r="A33" i="2"/>
  <c r="A32" i="2"/>
  <c r="A31" i="2"/>
  <c r="A30" i="2"/>
  <c r="G29" i="2"/>
  <c r="A29" i="2"/>
  <c r="A28" i="2"/>
  <c r="A27" i="2"/>
  <c r="A26" i="2"/>
  <c r="I25" i="2"/>
  <c r="A25" i="2"/>
  <c r="A24" i="2"/>
  <c r="A23" i="2"/>
  <c r="A22" i="2"/>
  <c r="A21" i="2"/>
  <c r="A20" i="2"/>
  <c r="G19" i="2"/>
  <c r="A19" i="2"/>
  <c r="A18" i="2"/>
  <c r="A17" i="2"/>
  <c r="A16" i="2"/>
  <c r="I15" i="2"/>
  <c r="G15" i="2"/>
  <c r="A15" i="2"/>
  <c r="A14" i="2"/>
  <c r="I13" i="2"/>
  <c r="A13" i="2"/>
  <c r="A12" i="2"/>
  <c r="G11" i="2"/>
  <c r="A11" i="2"/>
  <c r="A10" i="2"/>
  <c r="G9" i="2"/>
  <c r="I9" i="2"/>
  <c r="A9" i="2"/>
  <c r="A8" i="2"/>
  <c r="C8" i="3"/>
  <c r="G8" i="3" s="1"/>
  <c r="K1" i="10"/>
  <c r="P5" i="9"/>
  <c r="O5" i="7"/>
  <c r="N5" i="6"/>
  <c r="H1" i="3"/>
  <c r="D1" i="1"/>
  <c r="P42" i="10"/>
  <c r="H42" i="10"/>
  <c r="U41" i="10"/>
  <c r="D41" i="10"/>
  <c r="A41" i="10"/>
  <c r="U40" i="10"/>
  <c r="D40" i="10"/>
  <c r="A40" i="10"/>
  <c r="U39" i="10"/>
  <c r="D39" i="10"/>
  <c r="A39" i="10"/>
  <c r="U38" i="10"/>
  <c r="D38" i="10"/>
  <c r="A38" i="10"/>
  <c r="U37" i="10"/>
  <c r="D37" i="10"/>
  <c r="A37" i="10"/>
  <c r="U36" i="10"/>
  <c r="D36" i="10"/>
  <c r="C36" i="10"/>
  <c r="A36" i="10"/>
  <c r="U35" i="10"/>
  <c r="D35" i="10"/>
  <c r="C35" i="10"/>
  <c r="A35" i="10"/>
  <c r="U34" i="10"/>
  <c r="D34" i="10"/>
  <c r="C34" i="10"/>
  <c r="A34" i="10"/>
  <c r="U33" i="10"/>
  <c r="D33" i="10"/>
  <c r="C33" i="10"/>
  <c r="A33" i="10"/>
  <c r="U32" i="10"/>
  <c r="D32" i="10"/>
  <c r="C32" i="10"/>
  <c r="A32" i="10"/>
  <c r="U31" i="10"/>
  <c r="D31" i="10"/>
  <c r="C31" i="10"/>
  <c r="A31" i="10"/>
  <c r="U30" i="10"/>
  <c r="D30" i="10"/>
  <c r="C30" i="10"/>
  <c r="A30" i="10"/>
  <c r="U29" i="10"/>
  <c r="D29" i="10"/>
  <c r="C29" i="10"/>
  <c r="A29" i="10"/>
  <c r="U28" i="10"/>
  <c r="D28" i="10"/>
  <c r="C28" i="10"/>
  <c r="A28" i="10"/>
  <c r="U27" i="10"/>
  <c r="D27" i="10"/>
  <c r="C27" i="10"/>
  <c r="A27" i="10"/>
  <c r="U26" i="10"/>
  <c r="D26" i="10"/>
  <c r="C26" i="10"/>
  <c r="A26" i="10"/>
  <c r="U25" i="10"/>
  <c r="D25" i="10"/>
  <c r="C25" i="10"/>
  <c r="A25" i="10"/>
  <c r="U24" i="10"/>
  <c r="D24" i="10"/>
  <c r="C24" i="10"/>
  <c r="A24" i="10"/>
  <c r="U23" i="10"/>
  <c r="D23" i="10"/>
  <c r="C23" i="10"/>
  <c r="A23" i="10"/>
  <c r="U22" i="10"/>
  <c r="D22" i="10"/>
  <c r="C22" i="10"/>
  <c r="A22" i="10"/>
  <c r="U21" i="10"/>
  <c r="D21" i="10"/>
  <c r="C21" i="10"/>
  <c r="A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Q13" i="10" s="1"/>
  <c r="R13" i="10" s="1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44" i="9"/>
  <c r="A44" i="9"/>
  <c r="C43" i="9"/>
  <c r="A43" i="9"/>
  <c r="C42" i="9"/>
  <c r="A42" i="9"/>
  <c r="C41" i="9"/>
  <c r="A41" i="9"/>
  <c r="C40" i="9"/>
  <c r="A40" i="9"/>
  <c r="C39" i="9"/>
  <c r="B39" i="9"/>
  <c r="A39" i="9"/>
  <c r="C38" i="9"/>
  <c r="B38" i="9"/>
  <c r="A38" i="9"/>
  <c r="C37" i="9"/>
  <c r="B37" i="9"/>
  <c r="A37" i="9"/>
  <c r="C36" i="9"/>
  <c r="B36" i="9"/>
  <c r="A36" i="9"/>
  <c r="C35" i="9"/>
  <c r="B35" i="9"/>
  <c r="A35" i="9"/>
  <c r="C34" i="9"/>
  <c r="B34" i="9"/>
  <c r="A34" i="9"/>
  <c r="C33" i="9"/>
  <c r="B33" i="9"/>
  <c r="A33" i="9"/>
  <c r="C32" i="9"/>
  <c r="B32" i="9"/>
  <c r="A32" i="9"/>
  <c r="C31" i="9"/>
  <c r="B31" i="9"/>
  <c r="A31" i="9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I45" i="7"/>
  <c r="G45" i="7"/>
  <c r="C45" i="7"/>
  <c r="H45" i="7"/>
  <c r="A45" i="7"/>
  <c r="I44" i="7"/>
  <c r="G44" i="7"/>
  <c r="C44" i="7"/>
  <c r="H44" i="7"/>
  <c r="A44" i="7"/>
  <c r="I43" i="7"/>
  <c r="G43" i="7"/>
  <c r="C43" i="7"/>
  <c r="H43" i="7"/>
  <c r="A43" i="7"/>
  <c r="I42" i="7"/>
  <c r="G42" i="7"/>
  <c r="C42" i="7"/>
  <c r="H42" i="7"/>
  <c r="A42" i="7"/>
  <c r="I41" i="7"/>
  <c r="G41" i="7"/>
  <c r="C41" i="7"/>
  <c r="H41" i="7"/>
  <c r="A41" i="7"/>
  <c r="O40" i="7"/>
  <c r="K40" i="7"/>
  <c r="I40" i="7"/>
  <c r="G40" i="7"/>
  <c r="C40" i="7"/>
  <c r="L40" i="7" s="1"/>
  <c r="B40" i="7"/>
  <c r="H40" i="7" s="1"/>
  <c r="A40" i="7"/>
  <c r="O39" i="7"/>
  <c r="K39" i="7"/>
  <c r="I39" i="7"/>
  <c r="G39" i="7"/>
  <c r="C39" i="7"/>
  <c r="L39" i="7" s="1"/>
  <c r="B39" i="7"/>
  <c r="H39" i="7" s="1"/>
  <c r="A39" i="7"/>
  <c r="O38" i="7"/>
  <c r="K38" i="7"/>
  <c r="I38" i="7"/>
  <c r="G38" i="7"/>
  <c r="C38" i="7"/>
  <c r="L38" i="7" s="1"/>
  <c r="B38" i="7"/>
  <c r="H38" i="7" s="1"/>
  <c r="A38" i="7"/>
  <c r="O37" i="7"/>
  <c r="K37" i="7"/>
  <c r="I37" i="7"/>
  <c r="G37" i="7"/>
  <c r="C37" i="7"/>
  <c r="L37" i="7" s="1"/>
  <c r="B37" i="7"/>
  <c r="H37" i="7" s="1"/>
  <c r="A37" i="7"/>
  <c r="O36" i="7"/>
  <c r="K36" i="7"/>
  <c r="I36" i="7"/>
  <c r="G36" i="7"/>
  <c r="C36" i="7"/>
  <c r="L36" i="7" s="1"/>
  <c r="B36" i="7"/>
  <c r="H36" i="7" s="1"/>
  <c r="A36" i="7"/>
  <c r="O35" i="7"/>
  <c r="K35" i="7"/>
  <c r="I35" i="7"/>
  <c r="G35" i="7"/>
  <c r="C35" i="7"/>
  <c r="L35" i="7" s="1"/>
  <c r="B35" i="7"/>
  <c r="H35" i="7" s="1"/>
  <c r="A35" i="7"/>
  <c r="O34" i="7"/>
  <c r="K34" i="7"/>
  <c r="I34" i="7"/>
  <c r="G34" i="7"/>
  <c r="C34" i="7"/>
  <c r="L34" i="7" s="1"/>
  <c r="B34" i="7"/>
  <c r="H34" i="7" s="1"/>
  <c r="A34" i="7"/>
  <c r="O33" i="7"/>
  <c r="K33" i="7"/>
  <c r="I33" i="7"/>
  <c r="G33" i="7"/>
  <c r="C33" i="7"/>
  <c r="L33" i="7" s="1"/>
  <c r="B33" i="7"/>
  <c r="H33" i="7" s="1"/>
  <c r="A33" i="7"/>
  <c r="O32" i="7"/>
  <c r="K32" i="7"/>
  <c r="I32" i="7"/>
  <c r="G32" i="7"/>
  <c r="C32" i="7"/>
  <c r="L32" i="7" s="1"/>
  <c r="B32" i="7"/>
  <c r="H32" i="7" s="1"/>
  <c r="A32" i="7"/>
  <c r="O31" i="7"/>
  <c r="K31" i="7"/>
  <c r="I31" i="7"/>
  <c r="G31" i="7"/>
  <c r="C31" i="7"/>
  <c r="L31" i="7" s="1"/>
  <c r="B31" i="7"/>
  <c r="H31" i="7" s="1"/>
  <c r="A31" i="7"/>
  <c r="O30" i="7"/>
  <c r="K30" i="7"/>
  <c r="I30" i="7"/>
  <c r="G30" i="7"/>
  <c r="C30" i="7"/>
  <c r="L30" i="7" s="1"/>
  <c r="B30" i="7"/>
  <c r="H30" i="7" s="1"/>
  <c r="A30" i="7"/>
  <c r="O29" i="7"/>
  <c r="K29" i="7"/>
  <c r="I29" i="7"/>
  <c r="G29" i="7"/>
  <c r="C29" i="7"/>
  <c r="L29" i="7" s="1"/>
  <c r="B29" i="7"/>
  <c r="H29" i="7" s="1"/>
  <c r="A29" i="7"/>
  <c r="O28" i="7"/>
  <c r="K28" i="7"/>
  <c r="I28" i="7"/>
  <c r="G28" i="7"/>
  <c r="C28" i="7"/>
  <c r="L28" i="7" s="1"/>
  <c r="B28" i="7"/>
  <c r="H28" i="7" s="1"/>
  <c r="A28" i="7"/>
  <c r="O27" i="7"/>
  <c r="K27" i="7"/>
  <c r="I27" i="7"/>
  <c r="G27" i="7"/>
  <c r="C27" i="7"/>
  <c r="L27" i="7" s="1"/>
  <c r="B27" i="7"/>
  <c r="H27" i="7" s="1"/>
  <c r="A27" i="7"/>
  <c r="O26" i="7"/>
  <c r="K26" i="7"/>
  <c r="I26" i="7"/>
  <c r="G26" i="7"/>
  <c r="C26" i="7"/>
  <c r="L26" i="7" s="1"/>
  <c r="B26" i="7"/>
  <c r="H26" i="7" s="1"/>
  <c r="A26" i="7"/>
  <c r="O25" i="7"/>
  <c r="K25" i="7"/>
  <c r="I25" i="7"/>
  <c r="G25" i="7"/>
  <c r="C25" i="7"/>
  <c r="L25" i="7" s="1"/>
  <c r="B25" i="7"/>
  <c r="H25" i="7" s="1"/>
  <c r="A25" i="7"/>
  <c r="O24" i="7"/>
  <c r="K24" i="7"/>
  <c r="I24" i="7"/>
  <c r="G24" i="7"/>
  <c r="C24" i="7"/>
  <c r="L24" i="7" s="1"/>
  <c r="B24" i="7"/>
  <c r="H24" i="7" s="1"/>
  <c r="A24" i="7"/>
  <c r="O23" i="7"/>
  <c r="K23" i="7"/>
  <c r="I23" i="7"/>
  <c r="G23" i="7"/>
  <c r="C23" i="7"/>
  <c r="L23" i="7" s="1"/>
  <c r="B23" i="7"/>
  <c r="H23" i="7" s="1"/>
  <c r="A23" i="7"/>
  <c r="O22" i="7"/>
  <c r="K22" i="7"/>
  <c r="I22" i="7"/>
  <c r="G22" i="7"/>
  <c r="C22" i="7"/>
  <c r="L22" i="7" s="1"/>
  <c r="B22" i="7"/>
  <c r="H22" i="7" s="1"/>
  <c r="A22" i="7"/>
  <c r="O21" i="7"/>
  <c r="K21" i="7"/>
  <c r="I21" i="7"/>
  <c r="G21" i="7"/>
  <c r="C21" i="7"/>
  <c r="L21" i="7" s="1"/>
  <c r="B21" i="7"/>
  <c r="H21" i="7" s="1"/>
  <c r="A21" i="7"/>
  <c r="O20" i="7"/>
  <c r="K20" i="7"/>
  <c r="I20" i="7"/>
  <c r="G20" i="7"/>
  <c r="C20" i="7"/>
  <c r="L20" i="7" s="1"/>
  <c r="B20" i="7"/>
  <c r="H20" i="7" s="1"/>
  <c r="A20" i="7"/>
  <c r="O19" i="7"/>
  <c r="K19" i="7"/>
  <c r="I19" i="7"/>
  <c r="G19" i="7"/>
  <c r="C19" i="7"/>
  <c r="L19" i="7" s="1"/>
  <c r="B19" i="7"/>
  <c r="H19" i="7" s="1"/>
  <c r="A19" i="7"/>
  <c r="O18" i="7"/>
  <c r="K18" i="7"/>
  <c r="I18" i="7"/>
  <c r="G18" i="7"/>
  <c r="C18" i="7"/>
  <c r="L18" i="7" s="1"/>
  <c r="B18" i="7"/>
  <c r="H18" i="7" s="1"/>
  <c r="A18" i="7"/>
  <c r="O17" i="7"/>
  <c r="K17" i="7"/>
  <c r="I17" i="7"/>
  <c r="G17" i="7"/>
  <c r="C17" i="7"/>
  <c r="L17" i="7" s="1"/>
  <c r="B17" i="7"/>
  <c r="H17" i="7" s="1"/>
  <c r="A17" i="7"/>
  <c r="O16" i="7"/>
  <c r="K16" i="7"/>
  <c r="I16" i="7"/>
  <c r="G16" i="7"/>
  <c r="C16" i="7"/>
  <c r="L16" i="7" s="1"/>
  <c r="B16" i="7"/>
  <c r="H16" i="7" s="1"/>
  <c r="A16" i="7"/>
  <c r="O15" i="7"/>
  <c r="K15" i="7"/>
  <c r="I15" i="7"/>
  <c r="G15" i="7"/>
  <c r="C15" i="7"/>
  <c r="L15" i="7" s="1"/>
  <c r="B15" i="7"/>
  <c r="H15" i="7" s="1"/>
  <c r="A15" i="7"/>
  <c r="O14" i="7"/>
  <c r="K14" i="7"/>
  <c r="I14" i="7"/>
  <c r="G14" i="7"/>
  <c r="C14" i="7"/>
  <c r="L14" i="7" s="1"/>
  <c r="B14" i="7"/>
  <c r="H14" i="7" s="1"/>
  <c r="A14" i="7"/>
  <c r="O13" i="7"/>
  <c r="K13" i="7"/>
  <c r="I13" i="7"/>
  <c r="G13" i="7"/>
  <c r="C13" i="7"/>
  <c r="L13" i="7" s="1"/>
  <c r="B13" i="7"/>
  <c r="H13" i="7" s="1"/>
  <c r="A13" i="7"/>
  <c r="O12" i="7"/>
  <c r="K12" i="7"/>
  <c r="I12" i="7"/>
  <c r="G12" i="7"/>
  <c r="C12" i="7"/>
  <c r="L12" i="7" s="1"/>
  <c r="B12" i="7"/>
  <c r="H12" i="7" s="1"/>
  <c r="A12" i="7"/>
  <c r="O11" i="7"/>
  <c r="K11" i="7"/>
  <c r="I11" i="7"/>
  <c r="G11" i="7"/>
  <c r="C11" i="7"/>
  <c r="L11" i="7" s="1"/>
  <c r="B11" i="7"/>
  <c r="H11" i="7" s="1"/>
  <c r="A11" i="7"/>
  <c r="N45" i="6"/>
  <c r="I45" i="6"/>
  <c r="C45" i="6"/>
  <c r="K45" i="6" s="1"/>
  <c r="H45" i="6"/>
  <c r="A45" i="6"/>
  <c r="N44" i="6"/>
  <c r="I44" i="6"/>
  <c r="C44" i="6"/>
  <c r="K44" i="6" s="1"/>
  <c r="H44" i="6"/>
  <c r="A44" i="6"/>
  <c r="N43" i="6"/>
  <c r="I43" i="6"/>
  <c r="C43" i="6"/>
  <c r="K43" i="6" s="1"/>
  <c r="H43" i="6"/>
  <c r="A43" i="6"/>
  <c r="N42" i="6"/>
  <c r="I42" i="6"/>
  <c r="C42" i="6"/>
  <c r="K42" i="6" s="1"/>
  <c r="H42" i="6"/>
  <c r="A42" i="6"/>
  <c r="N41" i="6"/>
  <c r="I41" i="6"/>
  <c r="C41" i="6"/>
  <c r="K41" i="6" s="1"/>
  <c r="H41" i="6"/>
  <c r="A41" i="6"/>
  <c r="N40" i="6"/>
  <c r="I40" i="6"/>
  <c r="C40" i="6"/>
  <c r="K40" i="6" s="1"/>
  <c r="B40" i="6"/>
  <c r="H40" i="6" s="1"/>
  <c r="A40" i="6"/>
  <c r="N39" i="6"/>
  <c r="I39" i="6"/>
  <c r="C39" i="6"/>
  <c r="K39" i="6" s="1"/>
  <c r="B39" i="6"/>
  <c r="H39" i="6" s="1"/>
  <c r="A39" i="6"/>
  <c r="N38" i="6"/>
  <c r="I38" i="6"/>
  <c r="C38" i="6"/>
  <c r="K38" i="6" s="1"/>
  <c r="B38" i="6"/>
  <c r="H38" i="6" s="1"/>
  <c r="A38" i="6"/>
  <c r="N37" i="6"/>
  <c r="I37" i="6"/>
  <c r="C37" i="6"/>
  <c r="K37" i="6" s="1"/>
  <c r="B37" i="6"/>
  <c r="H37" i="6" s="1"/>
  <c r="A37" i="6"/>
  <c r="N36" i="6"/>
  <c r="I36" i="6"/>
  <c r="C36" i="6"/>
  <c r="K36" i="6" s="1"/>
  <c r="B36" i="6"/>
  <c r="H36" i="6" s="1"/>
  <c r="A36" i="6"/>
  <c r="N35" i="6"/>
  <c r="I35" i="6"/>
  <c r="C35" i="6"/>
  <c r="K35" i="6" s="1"/>
  <c r="B35" i="6"/>
  <c r="H35" i="6" s="1"/>
  <c r="A35" i="6"/>
  <c r="N34" i="6"/>
  <c r="I34" i="6"/>
  <c r="C34" i="6"/>
  <c r="K34" i="6" s="1"/>
  <c r="B34" i="6"/>
  <c r="H34" i="6" s="1"/>
  <c r="A34" i="6"/>
  <c r="N33" i="6"/>
  <c r="I33" i="6"/>
  <c r="C33" i="6"/>
  <c r="K33" i="6" s="1"/>
  <c r="B33" i="6"/>
  <c r="H33" i="6" s="1"/>
  <c r="A33" i="6"/>
  <c r="N32" i="6"/>
  <c r="I32" i="6"/>
  <c r="C32" i="6"/>
  <c r="K32" i="6" s="1"/>
  <c r="B32" i="6"/>
  <c r="H32" i="6" s="1"/>
  <c r="A32" i="6"/>
  <c r="N31" i="6"/>
  <c r="I31" i="6"/>
  <c r="C31" i="6"/>
  <c r="K31" i="6" s="1"/>
  <c r="B31" i="6"/>
  <c r="H31" i="6" s="1"/>
  <c r="A31" i="6"/>
  <c r="N30" i="6"/>
  <c r="I30" i="6"/>
  <c r="H30" i="6"/>
  <c r="C30" i="6"/>
  <c r="K30" i="6" s="1"/>
  <c r="B30" i="6"/>
  <c r="A30" i="6"/>
  <c r="N29" i="6"/>
  <c r="I29" i="6"/>
  <c r="C29" i="6"/>
  <c r="K29" i="6" s="1"/>
  <c r="B29" i="6"/>
  <c r="H29" i="6" s="1"/>
  <c r="A29" i="6"/>
  <c r="N28" i="6"/>
  <c r="I28" i="6"/>
  <c r="C28" i="6"/>
  <c r="K28" i="6" s="1"/>
  <c r="B28" i="6"/>
  <c r="H28" i="6" s="1"/>
  <c r="A28" i="6"/>
  <c r="N27" i="6"/>
  <c r="I27" i="6"/>
  <c r="C27" i="6"/>
  <c r="K27" i="6" s="1"/>
  <c r="B27" i="6"/>
  <c r="H27" i="6" s="1"/>
  <c r="A27" i="6"/>
  <c r="N26" i="6"/>
  <c r="I26" i="6"/>
  <c r="C26" i="6"/>
  <c r="K26" i="6" s="1"/>
  <c r="B26" i="6"/>
  <c r="H26" i="6" s="1"/>
  <c r="A26" i="6"/>
  <c r="N25" i="6"/>
  <c r="I25" i="6"/>
  <c r="C25" i="6"/>
  <c r="K25" i="6" s="1"/>
  <c r="B25" i="6"/>
  <c r="H25" i="6" s="1"/>
  <c r="A25" i="6"/>
  <c r="N24" i="6"/>
  <c r="I24" i="6"/>
  <c r="C24" i="6"/>
  <c r="K24" i="6" s="1"/>
  <c r="B24" i="6"/>
  <c r="H24" i="6" s="1"/>
  <c r="A24" i="6"/>
  <c r="N23" i="6"/>
  <c r="I23" i="6"/>
  <c r="C23" i="6"/>
  <c r="K23" i="6" s="1"/>
  <c r="B23" i="6"/>
  <c r="H23" i="6" s="1"/>
  <c r="A23" i="6"/>
  <c r="N22" i="6"/>
  <c r="I22" i="6"/>
  <c r="C22" i="6"/>
  <c r="K22" i="6" s="1"/>
  <c r="B22" i="6"/>
  <c r="H22" i="6" s="1"/>
  <c r="A22" i="6"/>
  <c r="N21" i="6"/>
  <c r="I21" i="6"/>
  <c r="C21" i="6"/>
  <c r="K21" i="6" s="1"/>
  <c r="B21" i="6"/>
  <c r="H21" i="6" s="1"/>
  <c r="A21" i="6"/>
  <c r="N20" i="6"/>
  <c r="I20" i="6"/>
  <c r="C20" i="6"/>
  <c r="K20" i="6" s="1"/>
  <c r="B20" i="6"/>
  <c r="H20" i="6" s="1"/>
  <c r="A20" i="6"/>
  <c r="N19" i="6"/>
  <c r="I19" i="6"/>
  <c r="C19" i="6"/>
  <c r="K19" i="6" s="1"/>
  <c r="B19" i="6"/>
  <c r="H19" i="6" s="1"/>
  <c r="A19" i="6"/>
  <c r="N18" i="6"/>
  <c r="I18" i="6"/>
  <c r="C18" i="6"/>
  <c r="K18" i="6" s="1"/>
  <c r="B18" i="6"/>
  <c r="H18" i="6" s="1"/>
  <c r="A18" i="6"/>
  <c r="N17" i="6"/>
  <c r="I17" i="6"/>
  <c r="C17" i="6"/>
  <c r="K17" i="6" s="1"/>
  <c r="B17" i="6"/>
  <c r="H17" i="6" s="1"/>
  <c r="A17" i="6"/>
  <c r="N16" i="6"/>
  <c r="I16" i="6"/>
  <c r="C16" i="6"/>
  <c r="K16" i="6" s="1"/>
  <c r="B16" i="6"/>
  <c r="H16" i="6" s="1"/>
  <c r="A16" i="6"/>
  <c r="N15" i="6"/>
  <c r="I15" i="6"/>
  <c r="C15" i="6"/>
  <c r="K15" i="6" s="1"/>
  <c r="B15" i="6"/>
  <c r="H15" i="6" s="1"/>
  <c r="A15" i="6"/>
  <c r="N14" i="6"/>
  <c r="I14" i="6"/>
  <c r="C14" i="6"/>
  <c r="K14" i="6" s="1"/>
  <c r="B14" i="6"/>
  <c r="H14" i="6" s="1"/>
  <c r="A14" i="6"/>
  <c r="N13" i="6"/>
  <c r="I13" i="6"/>
  <c r="C13" i="6"/>
  <c r="K13" i="6" s="1"/>
  <c r="B13" i="6"/>
  <c r="H13" i="6" s="1"/>
  <c r="A13" i="6"/>
  <c r="N12" i="6"/>
  <c r="I12" i="6"/>
  <c r="C12" i="6"/>
  <c r="K12" i="6" s="1"/>
  <c r="B12" i="6"/>
  <c r="H12" i="6" s="1"/>
  <c r="A12" i="6"/>
  <c r="N11" i="6"/>
  <c r="I11" i="6"/>
  <c r="C11" i="6"/>
  <c r="K11" i="6" s="1"/>
  <c r="B11" i="6"/>
  <c r="H11" i="6" s="1"/>
  <c r="A11" i="6"/>
  <c r="N43" i="3"/>
  <c r="L43" i="3"/>
  <c r="J42" i="3"/>
  <c r="H42" i="3"/>
  <c r="D42" i="3"/>
  <c r="G42" i="3"/>
  <c r="A42" i="3"/>
  <c r="J41" i="3"/>
  <c r="H41" i="3"/>
  <c r="D41" i="3"/>
  <c r="M41" i="3" s="1"/>
  <c r="A41" i="3"/>
  <c r="J40" i="3"/>
  <c r="H40" i="3"/>
  <c r="D40" i="3"/>
  <c r="A40" i="3"/>
  <c r="J39" i="3"/>
  <c r="H39" i="3"/>
  <c r="D39" i="3"/>
  <c r="M39" i="3" s="1"/>
  <c r="G39" i="3"/>
  <c r="A39" i="3"/>
  <c r="J38" i="3"/>
  <c r="H38" i="3"/>
  <c r="D38" i="3"/>
  <c r="A38" i="3"/>
  <c r="J37" i="3"/>
  <c r="H37" i="3"/>
  <c r="D37" i="3"/>
  <c r="M37" i="3" s="1"/>
  <c r="C37" i="3"/>
  <c r="A37" i="3"/>
  <c r="J36" i="3"/>
  <c r="H36" i="3"/>
  <c r="D36" i="3"/>
  <c r="C36" i="3"/>
  <c r="A36" i="3"/>
  <c r="J35" i="3"/>
  <c r="H35" i="3"/>
  <c r="D35" i="3"/>
  <c r="C35" i="3"/>
  <c r="G35" i="3" s="1"/>
  <c r="A35" i="3"/>
  <c r="J34" i="3"/>
  <c r="H34" i="3"/>
  <c r="D34" i="3"/>
  <c r="C34" i="3"/>
  <c r="G34" i="3" s="1"/>
  <c r="A34" i="3"/>
  <c r="J33" i="3"/>
  <c r="H33" i="3"/>
  <c r="D33" i="3"/>
  <c r="M33" i="3" s="1"/>
  <c r="C33" i="3"/>
  <c r="A33" i="3"/>
  <c r="J32" i="3"/>
  <c r="H32" i="3"/>
  <c r="D32" i="3"/>
  <c r="I32" i="3" s="1"/>
  <c r="C32" i="3"/>
  <c r="A32" i="3"/>
  <c r="J31" i="3"/>
  <c r="H31" i="3"/>
  <c r="D31" i="3"/>
  <c r="M31" i="3" s="1"/>
  <c r="C31" i="3"/>
  <c r="A31" i="3"/>
  <c r="J30" i="3"/>
  <c r="H30" i="3"/>
  <c r="D30" i="3"/>
  <c r="C30" i="3"/>
  <c r="G30" i="3" s="1"/>
  <c r="A30" i="3"/>
  <c r="J29" i="3"/>
  <c r="H29" i="3"/>
  <c r="D29" i="3"/>
  <c r="M29" i="3" s="1"/>
  <c r="C29" i="3"/>
  <c r="A29" i="3"/>
  <c r="J28" i="3"/>
  <c r="H28" i="3"/>
  <c r="D28" i="3"/>
  <c r="C28" i="3"/>
  <c r="A28" i="3"/>
  <c r="J27" i="3"/>
  <c r="H27" i="3"/>
  <c r="D27" i="3"/>
  <c r="C27" i="3"/>
  <c r="G27" i="3" s="1"/>
  <c r="A27" i="3"/>
  <c r="J26" i="3"/>
  <c r="H26" i="3"/>
  <c r="D26" i="3"/>
  <c r="C26" i="3"/>
  <c r="G26" i="3" s="1"/>
  <c r="A26" i="3"/>
  <c r="J25" i="3"/>
  <c r="H25" i="3"/>
  <c r="D25" i="3"/>
  <c r="C25" i="3"/>
  <c r="A25" i="3"/>
  <c r="J24" i="3"/>
  <c r="H24" i="3"/>
  <c r="D24" i="3"/>
  <c r="C24" i="3"/>
  <c r="A24" i="3"/>
  <c r="J23" i="3"/>
  <c r="H23" i="3"/>
  <c r="D23" i="3"/>
  <c r="I23" i="3" s="1"/>
  <c r="C23" i="3"/>
  <c r="G23" i="3" s="1"/>
  <c r="A23" i="3"/>
  <c r="J22" i="3"/>
  <c r="H22" i="3"/>
  <c r="D22" i="3"/>
  <c r="C22" i="3"/>
  <c r="G22" i="3" s="1"/>
  <c r="A22" i="3"/>
  <c r="J21" i="3"/>
  <c r="H21" i="3"/>
  <c r="D21" i="3"/>
  <c r="M21" i="3" s="1"/>
  <c r="C21" i="3"/>
  <c r="A21" i="3"/>
  <c r="J20" i="3"/>
  <c r="H20" i="3"/>
  <c r="D20" i="3"/>
  <c r="I20" i="3" s="1"/>
  <c r="C20" i="3"/>
  <c r="A20" i="3"/>
  <c r="J19" i="3"/>
  <c r="H19" i="3"/>
  <c r="D19" i="3"/>
  <c r="M19" i="3" s="1"/>
  <c r="C19" i="3"/>
  <c r="G19" i="3" s="1"/>
  <c r="A19" i="3"/>
  <c r="J18" i="3"/>
  <c r="H18" i="3"/>
  <c r="D18" i="3"/>
  <c r="C18" i="3"/>
  <c r="G18" i="3" s="1"/>
  <c r="A18" i="3"/>
  <c r="J17" i="3"/>
  <c r="H17" i="3"/>
  <c r="D17" i="3"/>
  <c r="M17" i="3" s="1"/>
  <c r="C17" i="3"/>
  <c r="A17" i="3"/>
  <c r="J16" i="3"/>
  <c r="H16" i="3"/>
  <c r="D16" i="3"/>
  <c r="C16" i="3"/>
  <c r="A16" i="3"/>
  <c r="J15" i="3"/>
  <c r="H15" i="3"/>
  <c r="D15" i="3"/>
  <c r="M15" i="3" s="1"/>
  <c r="C15" i="3"/>
  <c r="A15" i="3"/>
  <c r="J14" i="3"/>
  <c r="H14" i="3"/>
  <c r="D14" i="3"/>
  <c r="C14" i="3"/>
  <c r="A14" i="3"/>
  <c r="J13" i="3"/>
  <c r="H13" i="3"/>
  <c r="D13" i="3"/>
  <c r="M13" i="3" s="1"/>
  <c r="C13" i="3"/>
  <c r="A13" i="3"/>
  <c r="J12" i="3"/>
  <c r="H12" i="3"/>
  <c r="D12" i="3"/>
  <c r="C12" i="3"/>
  <c r="A12" i="3"/>
  <c r="J11" i="3"/>
  <c r="H11" i="3"/>
  <c r="D11" i="3"/>
  <c r="I11" i="3" s="1"/>
  <c r="C11" i="3"/>
  <c r="G11" i="3" s="1"/>
  <c r="A11" i="3"/>
  <c r="J10" i="3"/>
  <c r="H10" i="3"/>
  <c r="D10" i="3"/>
  <c r="C10" i="3"/>
  <c r="G10" i="3" s="1"/>
  <c r="A10" i="3"/>
  <c r="J9" i="3"/>
  <c r="H9" i="3"/>
  <c r="D9" i="3"/>
  <c r="M9" i="3" s="1"/>
  <c r="C9" i="3"/>
  <c r="A9" i="3"/>
  <c r="J8" i="3"/>
  <c r="H8" i="3"/>
  <c r="D8" i="3"/>
  <c r="A8" i="3"/>
  <c r="E41" i="9" l="1"/>
  <c r="I31" i="3"/>
  <c r="E28" i="9"/>
  <c r="F40" i="9"/>
  <c r="P40" i="9" s="1"/>
  <c r="R40" i="9" s="1"/>
  <c r="F14" i="10"/>
  <c r="G19" i="10"/>
  <c r="O19" i="10" s="1"/>
  <c r="Q41" i="10"/>
  <c r="R41" i="10" s="1"/>
  <c r="J43" i="3"/>
  <c r="I29" i="3"/>
  <c r="H43" i="3"/>
  <c r="I15" i="3"/>
  <c r="Q24" i="10"/>
  <c r="R24" i="10" s="1"/>
  <c r="G33" i="3"/>
  <c r="F36" i="9"/>
  <c r="G36" i="9" s="1"/>
  <c r="I36" i="9" s="1"/>
  <c r="M11" i="3"/>
  <c r="M34" i="3"/>
  <c r="I9" i="3"/>
  <c r="E33" i="9"/>
  <c r="I37" i="3"/>
  <c r="I39" i="3"/>
  <c r="I41" i="3"/>
  <c r="I33" i="3"/>
  <c r="K8" i="3"/>
  <c r="Q22" i="10"/>
  <c r="R22" i="10" s="1"/>
  <c r="G25" i="10"/>
  <c r="G13" i="10"/>
  <c r="O13" i="10" s="1"/>
  <c r="E42" i="9"/>
  <c r="E36" i="9"/>
  <c r="E40" i="9"/>
  <c r="E22" i="9"/>
  <c r="F39" i="10"/>
  <c r="Q39" i="10"/>
  <c r="R39" i="10" s="1"/>
  <c r="K12" i="3"/>
  <c r="G12" i="3"/>
  <c r="G14" i="3"/>
  <c r="K16" i="3"/>
  <c r="G16" i="3"/>
  <c r="I8" i="3"/>
  <c r="M8" i="3"/>
  <c r="M10" i="3"/>
  <c r="I12" i="3"/>
  <c r="M12" i="3"/>
  <c r="M14" i="3"/>
  <c r="I28" i="3"/>
  <c r="M28" i="3"/>
  <c r="M32" i="3"/>
  <c r="K24" i="3"/>
  <c r="G24" i="3"/>
  <c r="K32" i="3"/>
  <c r="G32" i="3"/>
  <c r="K36" i="3"/>
  <c r="G36" i="3"/>
  <c r="I36" i="3"/>
  <c r="M36" i="3"/>
  <c r="M38" i="3"/>
  <c r="G13" i="3"/>
  <c r="K15" i="3"/>
  <c r="G15" i="3"/>
  <c r="G21" i="3"/>
  <c r="M22" i="3"/>
  <c r="G38" i="3"/>
  <c r="G29" i="3"/>
  <c r="Q23" i="10"/>
  <c r="R23" i="10" s="1"/>
  <c r="F23" i="10"/>
  <c r="G23" i="10"/>
  <c r="O23" i="10" s="1"/>
  <c r="G40" i="3"/>
  <c r="E32" i="9"/>
  <c r="F32" i="9"/>
  <c r="P32" i="9" s="1"/>
  <c r="R32" i="9" s="1"/>
  <c r="I13" i="3"/>
  <c r="I17" i="3"/>
  <c r="G25" i="3"/>
  <c r="M27" i="3"/>
  <c r="I27" i="3"/>
  <c r="G37" i="3"/>
  <c r="M30" i="3"/>
  <c r="I19" i="3"/>
  <c r="M23" i="3"/>
  <c r="M25" i="3"/>
  <c r="I25" i="3"/>
  <c r="I24" i="3"/>
  <c r="M24" i="3"/>
  <c r="I21" i="3"/>
  <c r="M35" i="3"/>
  <c r="I35" i="3"/>
  <c r="F24" i="9"/>
  <c r="E24" i="9"/>
  <c r="I16" i="3"/>
  <c r="M16" i="3"/>
  <c r="K31" i="3"/>
  <c r="G31" i="3"/>
  <c r="I40" i="3"/>
  <c r="M40" i="3"/>
  <c r="E44" i="9"/>
  <c r="F44" i="9"/>
  <c r="P44" i="9" s="1"/>
  <c r="R44" i="9" s="1"/>
  <c r="M20" i="3"/>
  <c r="G9" i="3"/>
  <c r="M18" i="3"/>
  <c r="K20" i="3"/>
  <c r="G20" i="3"/>
  <c r="F26" i="9"/>
  <c r="P26" i="9" s="1"/>
  <c r="R26" i="9" s="1"/>
  <c r="E26" i="9"/>
  <c r="M26" i="3"/>
  <c r="G17" i="3"/>
  <c r="K28" i="3"/>
  <c r="G28" i="3"/>
  <c r="G41" i="3"/>
  <c r="G35" i="10"/>
  <c r="O35" i="10" s="1"/>
  <c r="Q35" i="10"/>
  <c r="R35" i="10" s="1"/>
  <c r="F35" i="10"/>
  <c r="M42" i="3"/>
  <c r="F28" i="9"/>
  <c r="P28" i="9" s="1"/>
  <c r="R28" i="9" s="1"/>
  <c r="F41" i="9"/>
  <c r="P41" i="9" s="1"/>
  <c r="R41" i="9" s="1"/>
  <c r="F34" i="9"/>
  <c r="P34" i="9" s="1"/>
  <c r="R34" i="9" s="1"/>
  <c r="E20" i="9"/>
  <c r="E34" i="9"/>
  <c r="Q15" i="10"/>
  <c r="R15" i="10" s="1"/>
  <c r="F26" i="10"/>
  <c r="F29" i="10"/>
  <c r="F42" i="9"/>
  <c r="G42" i="9" s="1"/>
  <c r="I42" i="9" s="1"/>
  <c r="G21" i="10"/>
  <c r="O21" i="10" s="1"/>
  <c r="G10" i="10"/>
  <c r="I10" i="10" s="1"/>
  <c r="F19" i="10"/>
  <c r="G27" i="10"/>
  <c r="O27" i="10" s="1"/>
  <c r="F33" i="9"/>
  <c r="P33" i="9" s="1"/>
  <c r="R33" i="9" s="1"/>
  <c r="E10" i="9"/>
  <c r="F10" i="9"/>
  <c r="P10" i="9" s="1"/>
  <c r="R10" i="9" s="1"/>
  <c r="Q12" i="10"/>
  <c r="R12" i="10" s="1"/>
  <c r="G12" i="10"/>
  <c r="O12" i="10" s="1"/>
  <c r="F15" i="10"/>
  <c r="G33" i="10"/>
  <c r="I33" i="10" s="1"/>
  <c r="Q33" i="10"/>
  <c r="R33" i="10" s="1"/>
  <c r="G37" i="10"/>
  <c r="O37" i="10" s="1"/>
  <c r="Q37" i="10"/>
  <c r="R37" i="10" s="1"/>
  <c r="Q8" i="10"/>
  <c r="R8" i="10" s="1"/>
  <c r="G8" i="10"/>
  <c r="O8" i="10" s="1"/>
  <c r="F21" i="10"/>
  <c r="F37" i="10"/>
  <c r="F13" i="10"/>
  <c r="G15" i="10"/>
  <c r="O15" i="10" s="1"/>
  <c r="G20" i="10"/>
  <c r="F20" i="10"/>
  <c r="F22" i="10"/>
  <c r="F25" i="10"/>
  <c r="G26" i="10"/>
  <c r="G30" i="10"/>
  <c r="F30" i="10"/>
  <c r="F33" i="10"/>
  <c r="G41" i="10"/>
  <c r="O41" i="10" s="1"/>
  <c r="F41" i="10"/>
  <c r="N42" i="10"/>
  <c r="Q10" i="10"/>
  <c r="R10" i="10" s="1"/>
  <c r="G18" i="10"/>
  <c r="Q21" i="10"/>
  <c r="R21" i="10" s="1"/>
  <c r="G29" i="10"/>
  <c r="G31" i="10"/>
  <c r="G39" i="10"/>
  <c r="I39" i="10" s="1"/>
  <c r="F14" i="9"/>
  <c r="G14" i="9" s="1"/>
  <c r="I14" i="9" s="1"/>
  <c r="E14" i="9"/>
  <c r="F18" i="9"/>
  <c r="P18" i="9" s="1"/>
  <c r="R18" i="9" s="1"/>
  <c r="E18" i="9"/>
  <c r="F12" i="9"/>
  <c r="E12" i="9"/>
  <c r="F16" i="9"/>
  <c r="E16" i="9"/>
  <c r="F20" i="9"/>
  <c r="F22" i="9"/>
  <c r="P22" i="9" s="1"/>
  <c r="R22" i="9" s="1"/>
  <c r="E27" i="9"/>
  <c r="E43" i="9"/>
  <c r="E35" i="9"/>
  <c r="K11" i="3"/>
  <c r="K19" i="3"/>
  <c r="K23" i="3"/>
  <c r="K35" i="3"/>
  <c r="I10" i="3"/>
  <c r="K10" i="3"/>
  <c r="I14" i="3"/>
  <c r="K14" i="3"/>
  <c r="I18" i="3"/>
  <c r="K18" i="3"/>
  <c r="I22" i="3"/>
  <c r="K22" i="3"/>
  <c r="I26" i="3"/>
  <c r="K26" i="3"/>
  <c r="I30" i="3"/>
  <c r="K30" i="3"/>
  <c r="I34" i="3"/>
  <c r="K34" i="3"/>
  <c r="I38" i="3"/>
  <c r="I42" i="3"/>
  <c r="F37" i="9"/>
  <c r="E37" i="9"/>
  <c r="K27" i="3"/>
  <c r="K9" i="3"/>
  <c r="K13" i="3"/>
  <c r="K17" i="3"/>
  <c r="K21" i="3"/>
  <c r="K25" i="3"/>
  <c r="K29" i="3"/>
  <c r="K33" i="3"/>
  <c r="K37" i="3"/>
  <c r="F38" i="9"/>
  <c r="E38" i="9"/>
  <c r="F11" i="9"/>
  <c r="E11" i="9"/>
  <c r="F15" i="9"/>
  <c r="E15" i="9"/>
  <c r="F19" i="9"/>
  <c r="E19" i="9"/>
  <c r="F23" i="9"/>
  <c r="E23" i="9"/>
  <c r="F13" i="9"/>
  <c r="E13" i="9"/>
  <c r="F17" i="9"/>
  <c r="E17" i="9"/>
  <c r="F21" i="9"/>
  <c r="E21" i="9"/>
  <c r="F25" i="9"/>
  <c r="E25" i="9"/>
  <c r="F29" i="9"/>
  <c r="E29" i="9"/>
  <c r="F30" i="9"/>
  <c r="E30" i="9"/>
  <c r="F31" i="9"/>
  <c r="F39" i="9"/>
  <c r="G28" i="10"/>
  <c r="F28" i="10"/>
  <c r="Q28" i="10"/>
  <c r="R28" i="10" s="1"/>
  <c r="F27" i="9"/>
  <c r="E31" i="9"/>
  <c r="F35" i="9"/>
  <c r="E39" i="9"/>
  <c r="F43" i="9"/>
  <c r="J42" i="10"/>
  <c r="L42" i="10"/>
  <c r="I35" i="10"/>
  <c r="G11" i="10"/>
  <c r="Q11" i="10"/>
  <c r="R11" i="10" s="1"/>
  <c r="F11" i="10"/>
  <c r="G16" i="10"/>
  <c r="F16" i="10"/>
  <c r="Q16" i="10"/>
  <c r="R16" i="10" s="1"/>
  <c r="G9" i="10"/>
  <c r="Q9" i="10"/>
  <c r="R9" i="10" s="1"/>
  <c r="F9" i="10"/>
  <c r="G17" i="10"/>
  <c r="F17" i="10"/>
  <c r="Q17" i="10"/>
  <c r="R17" i="10" s="1"/>
  <c r="G24" i="10"/>
  <c r="F24" i="10"/>
  <c r="G32" i="10"/>
  <c r="Q32" i="10"/>
  <c r="R32" i="10" s="1"/>
  <c r="F32" i="10"/>
  <c r="G7" i="10"/>
  <c r="Q7" i="10"/>
  <c r="R7" i="10" s="1"/>
  <c r="F7" i="10"/>
  <c r="Q14" i="10"/>
  <c r="R14" i="10" s="1"/>
  <c r="G40" i="10"/>
  <c r="Q40" i="10"/>
  <c r="R40" i="10" s="1"/>
  <c r="F40" i="10"/>
  <c r="Q27" i="10"/>
  <c r="R27" i="10" s="1"/>
  <c r="Q31" i="10"/>
  <c r="R31" i="10" s="1"/>
  <c r="G38" i="10"/>
  <c r="Q38" i="10"/>
  <c r="R38" i="10" s="1"/>
  <c r="F38" i="10"/>
  <c r="Q18" i="10"/>
  <c r="R18" i="10" s="1"/>
  <c r="Q19" i="10"/>
  <c r="R19" i="10" s="1"/>
  <c r="Q26" i="10"/>
  <c r="R26" i="10" s="1"/>
  <c r="Q30" i="10"/>
  <c r="R30" i="10" s="1"/>
  <c r="G36" i="10"/>
  <c r="Q36" i="10"/>
  <c r="R36" i="10" s="1"/>
  <c r="F36" i="10"/>
  <c r="O39" i="10"/>
  <c r="F8" i="10"/>
  <c r="F10" i="10"/>
  <c r="F12" i="10"/>
  <c r="G14" i="10"/>
  <c r="F18" i="10"/>
  <c r="Q20" i="10"/>
  <c r="R20" i="10" s="1"/>
  <c r="G22" i="10"/>
  <c r="Q25" i="10"/>
  <c r="R25" i="10" s="1"/>
  <c r="F27" i="10"/>
  <c r="Q29" i="10"/>
  <c r="R29" i="10" s="1"/>
  <c r="F31" i="10"/>
  <c r="G34" i="10"/>
  <c r="Q34" i="10"/>
  <c r="R34" i="10" s="1"/>
  <c r="F34" i="10"/>
  <c r="O10" i="10" l="1"/>
  <c r="G40" i="9"/>
  <c r="I40" i="9" s="1"/>
  <c r="G26" i="9"/>
  <c r="I26" i="9" s="1"/>
  <c r="P14" i="9"/>
  <c r="R14" i="9" s="1"/>
  <c r="G41" i="9"/>
  <c r="I41" i="9" s="1"/>
  <c r="G10" i="9"/>
  <c r="I10" i="9" s="1"/>
  <c r="G22" i="9"/>
  <c r="I22" i="9" s="1"/>
  <c r="I21" i="10"/>
  <c r="I19" i="10"/>
  <c r="P42" i="9"/>
  <c r="R42" i="9" s="1"/>
  <c r="G18" i="9"/>
  <c r="I18" i="9" s="1"/>
  <c r="P36" i="9"/>
  <c r="R36" i="9" s="1"/>
  <c r="I8" i="10"/>
  <c r="G32" i="9"/>
  <c r="I32" i="9" s="1"/>
  <c r="I15" i="10"/>
  <c r="G33" i="9"/>
  <c r="I33" i="9" s="1"/>
  <c r="G44" i="9"/>
  <c r="I44" i="9" s="1"/>
  <c r="O25" i="10"/>
  <c r="I25" i="10"/>
  <c r="I41" i="10"/>
  <c r="I37" i="10"/>
  <c r="I12" i="10"/>
  <c r="I13" i="10"/>
  <c r="O33" i="10"/>
  <c r="G28" i="9"/>
  <c r="I28" i="9" s="1"/>
  <c r="O45" i="9"/>
  <c r="G48" i="9" s="1"/>
  <c r="I27" i="10"/>
  <c r="G34" i="9"/>
  <c r="I34" i="9" s="1"/>
  <c r="G24" i="9"/>
  <c r="I24" i="9" s="1"/>
  <c r="P24" i="9"/>
  <c r="R24" i="9" s="1"/>
  <c r="I23" i="10"/>
  <c r="O29" i="10"/>
  <c r="I29" i="10"/>
  <c r="O26" i="10"/>
  <c r="I26" i="10"/>
  <c r="O20" i="10"/>
  <c r="I20" i="10"/>
  <c r="O30" i="10"/>
  <c r="I30" i="10"/>
  <c r="O31" i="10"/>
  <c r="I31" i="10"/>
  <c r="O18" i="10"/>
  <c r="I18" i="10"/>
  <c r="G20" i="9"/>
  <c r="I20" i="9" s="1"/>
  <c r="P20" i="9"/>
  <c r="R20" i="9" s="1"/>
  <c r="G16" i="9"/>
  <c r="I16" i="9" s="1"/>
  <c r="P16" i="9"/>
  <c r="R16" i="9" s="1"/>
  <c r="G12" i="9"/>
  <c r="I12" i="9" s="1"/>
  <c r="P12" i="9"/>
  <c r="R12" i="9" s="1"/>
  <c r="P38" i="9"/>
  <c r="R38" i="9" s="1"/>
  <c r="G38" i="9"/>
  <c r="I38" i="9" s="1"/>
  <c r="O22" i="10"/>
  <c r="I22" i="10"/>
  <c r="O14" i="10"/>
  <c r="I14" i="10"/>
  <c r="O36" i="10"/>
  <c r="I36" i="10"/>
  <c r="O38" i="10"/>
  <c r="I38" i="10"/>
  <c r="I7" i="10"/>
  <c r="O7" i="10"/>
  <c r="O32" i="10"/>
  <c r="I32" i="10"/>
  <c r="R42" i="10"/>
  <c r="P31" i="9"/>
  <c r="R31" i="9" s="1"/>
  <c r="G31" i="9"/>
  <c r="I31" i="9" s="1"/>
  <c r="G29" i="9"/>
  <c r="I29" i="9" s="1"/>
  <c r="P29" i="9"/>
  <c r="R29" i="9" s="1"/>
  <c r="P21" i="9"/>
  <c r="R21" i="9" s="1"/>
  <c r="G21" i="9"/>
  <c r="I21" i="9" s="1"/>
  <c r="P13" i="9"/>
  <c r="R13" i="9" s="1"/>
  <c r="G13" i="9"/>
  <c r="I13" i="9" s="1"/>
  <c r="P23" i="9"/>
  <c r="R23" i="9" s="1"/>
  <c r="G23" i="9"/>
  <c r="I23" i="9" s="1"/>
  <c r="P15" i="9"/>
  <c r="R15" i="9" s="1"/>
  <c r="G15" i="9"/>
  <c r="I15" i="9" s="1"/>
  <c r="G37" i="9"/>
  <c r="I37" i="9" s="1"/>
  <c r="P37" i="9"/>
  <c r="R37" i="9" s="1"/>
  <c r="G27" i="9"/>
  <c r="I27" i="9" s="1"/>
  <c r="P27" i="9"/>
  <c r="R27" i="9" s="1"/>
  <c r="I11" i="10"/>
  <c r="O11" i="10"/>
  <c r="G35" i="9"/>
  <c r="I35" i="9" s="1"/>
  <c r="P35" i="9"/>
  <c r="R35" i="9" s="1"/>
  <c r="Q42" i="10"/>
  <c r="O17" i="10"/>
  <c r="I17" i="10"/>
  <c r="G43" i="9"/>
  <c r="I43" i="9" s="1"/>
  <c r="P43" i="9"/>
  <c r="R43" i="9" s="1"/>
  <c r="O34" i="10"/>
  <c r="I34" i="10"/>
  <c r="O40" i="10"/>
  <c r="I40" i="10"/>
  <c r="O24" i="10"/>
  <c r="I24" i="10"/>
  <c r="I9" i="10"/>
  <c r="O9" i="10"/>
  <c r="I16" i="10"/>
  <c r="O16" i="10"/>
  <c r="O28" i="10"/>
  <c r="I28" i="10"/>
  <c r="P39" i="9"/>
  <c r="R39" i="9" s="1"/>
  <c r="G39" i="9"/>
  <c r="I39" i="9" s="1"/>
  <c r="P30" i="9"/>
  <c r="R30" i="9" s="1"/>
  <c r="G30" i="9"/>
  <c r="I30" i="9" s="1"/>
  <c r="P25" i="9"/>
  <c r="R25" i="9" s="1"/>
  <c r="G25" i="9"/>
  <c r="I25" i="9" s="1"/>
  <c r="P17" i="9"/>
  <c r="R17" i="9" s="1"/>
  <c r="G17" i="9"/>
  <c r="I17" i="9" s="1"/>
  <c r="P19" i="9"/>
  <c r="R19" i="9" s="1"/>
  <c r="G19" i="9"/>
  <c r="I19" i="9" s="1"/>
  <c r="P11" i="9"/>
  <c r="R11" i="9" s="1"/>
  <c r="G11" i="9"/>
  <c r="I11" i="9" s="1"/>
  <c r="I45" i="9" l="1"/>
  <c r="G46" i="9" s="1"/>
  <c r="R45" i="9"/>
  <c r="G49" i="9" s="1"/>
  <c r="L45" i="9"/>
  <c r="G47" i="9" s="1"/>
</calcChain>
</file>

<file path=xl/sharedStrings.xml><?xml version="1.0" encoding="utf-8"?>
<sst xmlns="http://schemas.openxmlformats.org/spreadsheetml/2006/main" count="547" uniqueCount="154">
  <si>
    <t>차열재</t>
  </si>
  <si>
    <t>No</t>
  </si>
  <si>
    <t>비고</t>
  </si>
  <si>
    <t>합계</t>
  </si>
  <si>
    <t>규격</t>
  </si>
  <si>
    <t>TTL</t>
  </si>
  <si>
    <t>EZ F.B POSMAC Duct-VT-01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</si>
  <si>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</si>
  <si>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</si>
  <si>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</si>
  <si>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</si>
  <si>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</si>
  <si>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</si>
  <si>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</si>
  <si>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절 곡 생 산 일 지(VT_보강대)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</si>
  <si>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</si>
  <si>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</si>
  <si>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</si>
  <si>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</si>
  <si>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</si>
  <si>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</si>
  <si>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</si>
  <si>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</si>
  <si>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</si>
  <si>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</si>
  <si>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</si>
  <si>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</si>
  <si>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</si>
  <si>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</si>
  <si>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</si>
  <si>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</si>
  <si>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</si>
  <si>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</si>
  <si>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</si>
  <si>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</si>
  <si>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</si>
  <si>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</si>
  <si>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</si>
  <si>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</si>
  <si>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</si>
  <si>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</si>
  <si>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</si>
  <si>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FS-MP25-0310-1</t>
  </si>
  <si>
    <t>차열재생산일지(출하용)</t>
  </si>
  <si>
    <t>특이사항 및
 조치사항</t>
  </si>
  <si>
    <t>특이사항 및   조치사항</t>
  </si>
  <si>
    <t>VT-01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</si>
  <si>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</si>
  <si>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</si>
  <si>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</si>
  <si>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</si>
  <si>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</si>
  <si>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</si>
  <si>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</si>
  <si>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</si>
  <si>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</si>
  <si>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</si>
  <si>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</si>
  <si>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</si>
  <si>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</si>
  <si>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</si>
  <si>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</si>
  <si>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</si>
  <si>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</si>
  <si>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</si>
  <si>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</si>
  <si>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</si>
  <si>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5" type="noConversion"/>
  </si>
  <si>
    <t>재단작업지시서
(VT)</t>
    <phoneticPr fontId="25" type="noConversion"/>
  </si>
  <si>
    <t>절 곡 생 산 일 지(VT_브라켓)</t>
    <phoneticPr fontId="25" type="noConversion"/>
  </si>
  <si>
    <t>라벨소요량</t>
    <phoneticPr fontId="25" type="noConversion"/>
  </si>
  <si>
    <t>25*
200</t>
    <phoneticPr fontId="25" type="noConversion"/>
  </si>
  <si>
    <t>구조체작업지시서</t>
    <phoneticPr fontId="25" type="noConversion"/>
  </si>
  <si>
    <t>차열재 25T*200*7.4M</t>
    <phoneticPr fontId="25" type="noConversion"/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</si>
  <si>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</si>
  <si>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</si>
  <si>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</si>
  <si>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</si>
  <si>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</si>
  <si>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</si>
  <si>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</si>
  <si>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</si>
  <si>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</si>
  <si>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</si>
  <si>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</si>
  <si>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</si>
  <si>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</si>
  <si>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</si>
  <si>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</si>
  <si>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</si>
  <si>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</si>
  <si>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</si>
  <si>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</si>
  <si>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</si>
  <si>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</si>
  <si>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</si>
  <si>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</si>
  <si>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</si>
  <si>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</si>
  <si>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</si>
  <si>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</si>
  <si>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</si>
  <si>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</si>
  <si>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</si>
  <si>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</si>
  <si>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</si>
  <si>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재단작업지시서차열재</t>
    <phoneticPr fontId="25" type="noConversion"/>
  </si>
  <si>
    <t>01</t>
    <phoneticPr fontId="25" type="noConversion"/>
  </si>
  <si>
    <t>02</t>
    <phoneticPr fontId="25" type="noConversion"/>
  </si>
  <si>
    <t>03</t>
    <phoneticPr fontId="25" type="noConversion"/>
  </si>
  <si>
    <t>55~59 AHU-4</t>
  </si>
  <si>
    <t>40~49 AHU1-2</t>
  </si>
  <si>
    <t>50~54 AHU-3</t>
  </si>
  <si>
    <t>1층 매장</t>
  </si>
  <si>
    <t>CL001</t>
    <phoneticPr fontId="25" type="noConversion"/>
  </si>
  <si>
    <t>CL002</t>
  </si>
  <si>
    <t>CL003</t>
  </si>
  <si>
    <t>CL004</t>
  </si>
  <si>
    <t>CL005</t>
  </si>
  <si>
    <t>CL006</t>
  </si>
  <si>
    <t>CL007</t>
  </si>
  <si>
    <t>CL008</t>
  </si>
  <si>
    <t>CL009</t>
  </si>
  <si>
    <t>CL010</t>
  </si>
  <si>
    <t>CL011</t>
  </si>
  <si>
    <t>CL012</t>
  </si>
  <si>
    <t>CL013</t>
  </si>
  <si>
    <t>CL014</t>
  </si>
  <si>
    <t>CL015</t>
  </si>
  <si>
    <t>CL016</t>
  </si>
  <si>
    <t>CL017</t>
  </si>
  <si>
    <t>CL018</t>
  </si>
  <si>
    <t>CL019</t>
  </si>
  <si>
    <t>CL020</t>
  </si>
  <si>
    <t>CL021</t>
  </si>
  <si>
    <t>CL022</t>
  </si>
  <si>
    <t>CL023</t>
  </si>
  <si>
    <t>CL024</t>
  </si>
  <si>
    <t>CL025</t>
  </si>
  <si>
    <t>CL026</t>
  </si>
  <si>
    <t>CL027</t>
  </si>
  <si>
    <t>CL028</t>
  </si>
  <si>
    <t>CL029</t>
  </si>
  <si>
    <t>CL030</t>
  </si>
  <si>
    <t>CL031</t>
  </si>
  <si>
    <t>CL032</t>
  </si>
  <si>
    <t>CL033</t>
  </si>
  <si>
    <t>CL034</t>
  </si>
  <si>
    <t>CL035</t>
  </si>
  <si>
    <t>26.06.05 엘티엔지니어링_신세계건설_대현기건(주)_트레이더스 의정부</t>
    <phoneticPr fontId="25" type="noConversion"/>
  </si>
  <si>
    <t>2분할</t>
  </si>
  <si>
    <t>2분할</t>
    <phoneticPr fontId="25" type="noConversion"/>
  </si>
  <si>
    <t xml:space="preserve"> - 2800*1000 2분할</t>
    <phoneticPr fontId="25" type="noConversion"/>
  </si>
  <si>
    <t xml:space="preserve"> 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</si>
</sst>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3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0"/>
      <color rgb="FFFF000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1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1" xfId="0" applyBorder="1" applyAlignment="1">
      <alignment horizontal="center" vertical="center"/>
    </xf>
    <xf numFmtId="0" fontId="24" fillId="0" borderId="0">
      <alignment vertical="center"/>
    </xf>
    <xf numFmtId="176" fontId="24" fillId="0" borderId="0">
      <alignment vertical="center"/>
    </xf>
    <xf numFmtId="0" fontId="1" fillId="0" borderId="0">
      <alignment vertical="center"/>
    </xf>
  </cellStyleXfs>
  <cellXfs count="27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2">
      <alignment vertical="center"/>
    </xf>
    <xf numFmtId="0" fontId="24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24" fillId="0" borderId="5" xfId="3" applyBorder="1" applyAlignment="1">
      <alignment horizontal="center" vertical="center"/>
    </xf>
    <xf numFmtId="176" fontId="24" fillId="0" borderId="6" xfId="3" applyBorder="1" applyAlignment="1">
      <alignment horizontal="center" vertical="center"/>
    </xf>
    <xf numFmtId="176" fontId="24" fillId="0" borderId="7" xfId="3" applyBorder="1" applyAlignment="1">
      <alignment horizontal="center" vertical="center"/>
    </xf>
    <xf numFmtId="176" fontId="24" fillId="0" borderId="8" xfId="3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4" fillId="0" borderId="15" xfId="2" applyBorder="1" applyAlignment="1">
      <alignment horizontal="center" vertical="center" wrapText="1"/>
    </xf>
    <xf numFmtId="0" fontId="24" fillId="0" borderId="16" xfId="2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15" xfId="4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77" fontId="6" fillId="0" borderId="15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shrinkToFit="1"/>
    </xf>
    <xf numFmtId="0" fontId="8" fillId="5" borderId="15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wrapText="1"/>
    </xf>
    <xf numFmtId="0" fontId="7" fillId="0" borderId="17" xfId="4" applyFont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7" fillId="0" borderId="12" xfId="4" applyFont="1" applyBorder="1" applyAlignment="1">
      <alignment horizontal="center" vertical="center" wrapText="1"/>
    </xf>
    <xf numFmtId="0" fontId="24" fillId="0" borderId="12" xfId="2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13" fillId="6" borderId="15" xfId="4" applyFont="1" applyFill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 wrapText="1"/>
    </xf>
    <xf numFmtId="0" fontId="24" fillId="0" borderId="13" xfId="2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24" fillId="0" borderId="12" xfId="2" applyBorder="1" applyAlignment="1">
      <alignment vertical="center" wrapText="1"/>
    </xf>
    <xf numFmtId="0" fontId="24" fillId="0" borderId="15" xfId="2" applyBorder="1" applyAlignment="1">
      <alignment vertical="center" wrapText="1"/>
    </xf>
    <xf numFmtId="0" fontId="17" fillId="0" borderId="12" xfId="4" applyFont="1" applyBorder="1" applyAlignment="1">
      <alignment horizontal="center" vertical="center" wrapText="1"/>
    </xf>
    <xf numFmtId="0" fontId="17" fillId="0" borderId="15" xfId="4" applyFont="1" applyBorder="1" applyAlignment="1">
      <alignment horizontal="center" vertical="center" wrapText="1"/>
    </xf>
    <xf numFmtId="0" fontId="18" fillId="0" borderId="16" xfId="2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5" borderId="17" xfId="0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9" borderId="0" xfId="4" applyFill="1">
      <alignment vertical="center"/>
    </xf>
    <xf numFmtId="0" fontId="1" fillId="0" borderId="32" xfId="4" applyBorder="1" applyAlignment="1">
      <alignment vertical="top" wrapText="1"/>
    </xf>
    <xf numFmtId="0" fontId="2" fillId="0" borderId="15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4" borderId="15" xfId="2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28" fillId="6" borderId="15" xfId="4" applyFont="1" applyFill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5" fillId="0" borderId="17" xfId="2" applyFont="1" applyBorder="1">
      <alignment vertical="center"/>
    </xf>
    <xf numFmtId="0" fontId="3" fillId="0" borderId="27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1" fillId="0" borderId="14" xfId="4" quotePrefix="1" applyBorder="1" applyAlignment="1">
      <alignment horizontal="center" vertical="center" wrapText="1"/>
    </xf>
    <xf numFmtId="178" fontId="16" fillId="0" borderId="15" xfId="2" applyNumberFormat="1" applyFont="1" applyBorder="1" applyAlignment="1">
      <alignment horizontal="center" vertical="center" wrapText="1"/>
    </xf>
    <xf numFmtId="177" fontId="6" fillId="5" borderId="15" xfId="0" applyNumberFormat="1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32" fillId="0" borderId="16" xfId="2" applyFont="1" applyBorder="1" applyAlignment="1">
      <alignment horizontal="center" vertical="center" wrapText="1"/>
    </xf>
    <xf numFmtId="1" fontId="16" fillId="0" borderId="15" xfId="2" applyNumberFormat="1" applyFont="1" applyBorder="1" applyAlignment="1">
      <alignment horizontal="center" vertical="center" wrapText="1"/>
    </xf>
    <xf numFmtId="1" fontId="5" fillId="0" borderId="15" xfId="2" applyNumberFormat="1" applyFont="1" applyBorder="1" applyAlignment="1">
      <alignment horizontal="center" vertical="center" wrapText="1"/>
    </xf>
    <xf numFmtId="1" fontId="24" fillId="0" borderId="15" xfId="2" applyNumberFormat="1" applyBorder="1" applyAlignment="1">
      <alignment horizontal="center" vertical="center" wrapText="1"/>
    </xf>
    <xf numFmtId="0" fontId="8" fillId="5" borderId="15" xfId="4" applyFont="1" applyFill="1" applyBorder="1" applyAlignment="1">
      <alignment horizontal="center" vertical="center" wrapText="1"/>
    </xf>
    <xf numFmtId="0" fontId="0" fillId="0" borderId="24" xfId="4" applyFont="1" applyBorder="1" applyAlignment="1">
      <alignment horizontal="center" vertical="center"/>
    </xf>
    <xf numFmtId="0" fontId="0" fillId="0" borderId="25" xfId="4" applyFont="1" applyBorder="1" applyAlignment="1">
      <alignment horizontal="center" vertical="center"/>
    </xf>
    <xf numFmtId="0" fontId="3" fillId="0" borderId="23" xfId="4" applyFont="1" applyBorder="1" applyAlignment="1">
      <alignment horizontal="left" vertical="center"/>
    </xf>
    <xf numFmtId="0" fontId="2" fillId="7" borderId="15" xfId="4" applyFont="1" applyFill="1" applyBorder="1" applyAlignment="1">
      <alignment horizontal="center" vertical="center" wrapText="1"/>
    </xf>
    <xf numFmtId="0" fontId="26" fillId="0" borderId="32" xfId="4" applyFont="1" applyBorder="1" applyAlignment="1">
      <alignment horizontal="center" vertical="center" wrapText="1"/>
    </xf>
    <xf numFmtId="0" fontId="26" fillId="0" borderId="34" xfId="4" applyFont="1" applyBorder="1" applyAlignment="1">
      <alignment horizontal="center" vertical="center" wrapText="1"/>
    </xf>
    <xf numFmtId="0" fontId="26" fillId="0" borderId="0" xfId="4" applyFont="1" applyAlignment="1">
      <alignment horizontal="center" vertical="center" wrapText="1"/>
    </xf>
    <xf numFmtId="0" fontId="26" fillId="0" borderId="36" xfId="4" applyFont="1" applyBorder="1" applyAlignment="1">
      <alignment horizontal="center" vertical="center" wrapText="1"/>
    </xf>
    <xf numFmtId="0" fontId="26" fillId="0" borderId="31" xfId="4" applyFont="1" applyBorder="1" applyAlignment="1">
      <alignment horizontal="center" vertical="center" wrapText="1"/>
    </xf>
    <xf numFmtId="0" fontId="27" fillId="0" borderId="32" xfId="4" applyFont="1" applyBorder="1" applyAlignment="1">
      <alignment horizontal="center" vertical="center" shrinkToFit="1"/>
    </xf>
    <xf numFmtId="0" fontId="27" fillId="0" borderId="33" xfId="4" applyFont="1" applyBorder="1" applyAlignment="1">
      <alignment horizontal="center" vertical="center" shrinkToFit="1"/>
    </xf>
    <xf numFmtId="0" fontId="27" fillId="0" borderId="0" xfId="4" applyFont="1" applyAlignment="1">
      <alignment horizontal="center" vertical="center" shrinkToFit="1"/>
    </xf>
    <xf numFmtId="0" fontId="27" fillId="0" borderId="35" xfId="4" applyFont="1" applyBorder="1" applyAlignment="1">
      <alignment horizontal="center" vertical="center" shrinkToFit="1"/>
    </xf>
    <xf numFmtId="0" fontId="27" fillId="0" borderId="31" xfId="4" applyFont="1" applyBorder="1" applyAlignment="1">
      <alignment horizontal="center" vertical="center" shrinkToFit="1"/>
    </xf>
    <xf numFmtId="0" fontId="27" fillId="0" borderId="37" xfId="4" applyFon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1" fillId="7" borderId="14" xfId="4" applyFill="1" applyBorder="1" applyAlignment="1">
      <alignment horizontal="center" vertical="center" wrapText="1"/>
    </xf>
    <xf numFmtId="0" fontId="2" fillId="7" borderId="12" xfId="4" applyFont="1" applyFill="1" applyBorder="1" applyAlignment="1">
      <alignment horizontal="center" vertical="center" wrapText="1"/>
    </xf>
    <xf numFmtId="0" fontId="2" fillId="7" borderId="13" xfId="4" applyFont="1" applyFill="1" applyBorder="1" applyAlignment="1">
      <alignment horizontal="center" vertical="center" wrapText="1"/>
    </xf>
    <xf numFmtId="0" fontId="2" fillId="7" borderId="16" xfId="4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28" xfId="0" applyFont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 shrinkToFit="1"/>
    </xf>
    <xf numFmtId="0" fontId="21" fillId="0" borderId="26" xfId="0" applyFont="1" applyBorder="1" applyAlignment="1">
      <alignment horizontal="center" vertical="center" shrinkToFit="1"/>
    </xf>
    <xf numFmtId="0" fontId="5" fillId="4" borderId="18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5" xfId="2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 shrinkToFit="1"/>
    </xf>
    <xf numFmtId="0" fontId="31" fillId="0" borderId="11" xfId="0" applyFont="1" applyBorder="1" applyAlignment="1">
      <alignment horizontal="center" vertical="center" wrapText="1" shrinkToFit="1"/>
    </xf>
    <xf numFmtId="0" fontId="31" fillId="0" borderId="27" xfId="0" applyFont="1" applyBorder="1" applyAlignment="1">
      <alignment horizontal="center" vertical="center" wrapText="1" shrinkToFit="1"/>
    </xf>
    <xf numFmtId="0" fontId="31" fillId="0" borderId="0" xfId="0" applyFont="1" applyAlignment="1">
      <alignment horizontal="center" vertical="center" wrapText="1" shrinkToFit="1"/>
    </xf>
    <xf numFmtId="0" fontId="31" fillId="0" borderId="22" xfId="0" applyFont="1" applyBorder="1" applyAlignment="1">
      <alignment horizontal="center" vertical="center" wrapText="1" shrinkToFit="1"/>
    </xf>
    <xf numFmtId="0" fontId="31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178" fontId="5" fillId="0" borderId="15" xfId="2" applyNumberFormat="1" applyFont="1" applyBorder="1" applyAlignment="1">
      <alignment horizontal="center" vertical="center" wrapText="1"/>
    </xf>
    <xf numFmtId="0" fontId="24" fillId="0" borderId="21" xfId="2" applyBorder="1" applyAlignment="1">
      <alignment horizontal="center" vertical="center"/>
    </xf>
    <xf numFmtId="0" fontId="24" fillId="0" borderId="3" xfId="2" applyBorder="1" applyAlignment="1">
      <alignment horizontal="center" vertical="center"/>
    </xf>
    <xf numFmtId="0" fontId="24" fillId="0" borderId="1" xfId="2" applyBorder="1" applyAlignment="1">
      <alignment horizontal="center" vertical="center" wrapText="1"/>
    </xf>
    <xf numFmtId="0" fontId="22" fillId="0" borderId="21" xfId="2" applyFont="1" applyBorder="1" applyAlignment="1">
      <alignment horizontal="center" vertical="center"/>
    </xf>
    <xf numFmtId="0" fontId="22" fillId="0" borderId="11" xfId="2" applyFont="1" applyBorder="1" applyAlignment="1">
      <alignment horizontal="center" vertical="center"/>
    </xf>
    <xf numFmtId="0" fontId="22" fillId="0" borderId="3" xfId="2" applyFont="1" applyBorder="1" applyAlignment="1">
      <alignment horizontal="center" vertical="center"/>
    </xf>
    <xf numFmtId="0" fontId="22" fillId="0" borderId="27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22" xfId="2" applyFont="1" applyBorder="1" applyAlignment="1">
      <alignment horizontal="center" vertical="center"/>
    </xf>
    <xf numFmtId="0" fontId="22" fillId="0" borderId="2" xfId="2" applyFont="1" applyBorder="1" applyAlignment="1">
      <alignment horizontal="center" vertical="center"/>
    </xf>
    <xf numFmtId="0" fontId="22" fillId="0" borderId="26" xfId="2" applyFont="1" applyBorder="1" applyAlignment="1">
      <alignment horizontal="center" vertical="center"/>
    </xf>
    <xf numFmtId="0" fontId="24" fillId="0" borderId="22" xfId="2" applyBorder="1" applyAlignment="1">
      <alignment horizontal="center" vertical="center"/>
    </xf>
    <xf numFmtId="0" fontId="24" fillId="0" borderId="2" xfId="2" applyBorder="1" applyAlignment="1">
      <alignment horizontal="center" vertical="center"/>
    </xf>
    <xf numFmtId="0" fontId="24" fillId="0" borderId="26" xfId="2" applyBorder="1" applyAlignment="1">
      <alignment horizontal="center" vertical="center"/>
    </xf>
    <xf numFmtId="178" fontId="5" fillId="0" borderId="12" xfId="2" applyNumberFormat="1" applyFont="1" applyBorder="1" applyAlignment="1">
      <alignment horizontal="center" vertical="center" wrapText="1"/>
    </xf>
    <xf numFmtId="0" fontId="30" fillId="0" borderId="1" xfId="2" applyFont="1" applyBorder="1" applyAlignment="1">
      <alignment horizontal="center" vertical="center" wrapText="1" shrinkToFit="1"/>
    </xf>
    <xf numFmtId="0" fontId="24" fillId="0" borderId="9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27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41" fontId="24" fillId="0" borderId="15" xfId="2" applyNumberFormat="1" applyBorder="1" applyAlignment="1">
      <alignment horizontal="left" vertical="center" wrapText="1"/>
    </xf>
    <xf numFmtId="0" fontId="24" fillId="0" borderId="15" xfId="2" applyBorder="1" applyAlignment="1">
      <alignment horizontal="left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41" fontId="24" fillId="0" borderId="12" xfId="2" applyNumberFormat="1" applyBorder="1" applyAlignment="1">
      <alignment horizontal="left" vertical="center" wrapText="1"/>
    </xf>
    <xf numFmtId="0" fontId="24" fillId="0" borderId="12" xfId="2" applyBorder="1" applyAlignment="1">
      <alignment horizontal="left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77" fontId="0" fillId="2" borderId="30" xfId="0" applyNumberFormat="1" applyFill="1" applyBorder="1" applyAlignment="1">
      <alignment horizontal="center" vertical="center" wrapText="1"/>
    </xf>
    <xf numFmtId="177" fontId="0" fillId="2" borderId="24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0" fillId="0" borderId="21" xfId="0" applyFont="1" applyBorder="1" applyAlignment="1">
      <alignment horizontal="center" vertical="center" wrapText="1" shrinkToFi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3" xfId="0" applyFont="1" applyBorder="1" applyAlignment="1">
      <alignment horizontal="center" vertical="center" wrapText="1" shrinkToFit="1"/>
    </xf>
    <xf numFmtId="0" fontId="30" fillId="0" borderId="22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0" fillId="0" borderId="26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4" fillId="0" borderId="21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20" fillId="0" borderId="12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S43"/>
  <sheetViews>
    <sheetView view="pageBreakPreview" zoomScale="120" zoomScaleNormal="120" zoomScaleSheetLayoutView="120" workbookViewId="0">
      <pane ySplit="8" topLeftCell="A29" activePane="bottomLeft" state="frozen"/>
      <selection pane="bottomLeft" activeCell="S39" sqref="S39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" t="s">
        <v>72</v>
      </c>
      <c r="B1" s="109"/>
      <c r="C1" s="109"/>
      <c r="D1" s="114" t="str">
        <f>R2</f>
        <v>26.06.05 엘티엔지니어링_신세계건설_대현기건(주)_트레이더스 의정부</v>
      </c>
      <c r="E1" s="114"/>
      <c r="F1" s="114"/>
      <c r="G1" s="115"/>
      <c r="R1" s="8" t="s">
        <v>67</v>
      </c>
    </row>
    <row r="2" spans="1:18" ht="16.5" customHeight="1">
      <c r="A2" s="110"/>
      <c r="B2" s="111"/>
      <c r="C2" s="111"/>
      <c r="D2" s="116"/>
      <c r="E2" s="116"/>
      <c r="F2" s="116"/>
      <c r="G2" s="117"/>
      <c r="R2" s="77" t="s">
        <v>149</v>
      </c>
    </row>
    <row r="3" spans="1:18" ht="16.5" customHeight="1">
      <c r="A3" s="110"/>
      <c r="B3" s="111"/>
      <c r="C3" s="111"/>
      <c r="D3" s="116"/>
      <c r="E3" s="116"/>
      <c r="F3" s="116"/>
      <c r="G3" s="117"/>
    </row>
    <row r="4" spans="1:18" ht="17.25" customHeight="1" thickBot="1">
      <c r="A4" s="112"/>
      <c r="B4" s="113"/>
      <c r="C4" s="113"/>
      <c r="D4" s="118"/>
      <c r="E4" s="118"/>
      <c r="F4" s="118"/>
      <c r="G4" s="119"/>
    </row>
    <row r="5" spans="1:18" ht="6.75" customHeight="1" thickTop="1">
      <c r="A5" s="78"/>
      <c r="B5" s="78"/>
      <c r="C5" s="78"/>
      <c r="D5" s="78"/>
      <c r="E5" s="78"/>
      <c r="F5" s="78"/>
      <c r="G5" s="78"/>
    </row>
    <row r="6" spans="1:18" s="10" customFormat="1" ht="18" customHeight="1" thickBot="1">
      <c r="A6" s="120" t="s">
        <v>1</v>
      </c>
      <c r="B6" s="122" t="s">
        <v>66</v>
      </c>
      <c r="C6" s="122" t="s">
        <v>4</v>
      </c>
      <c r="D6" s="122"/>
      <c r="E6" s="122" t="s">
        <v>41</v>
      </c>
      <c r="F6" s="122" t="s">
        <v>38</v>
      </c>
      <c r="G6" s="123" t="s">
        <v>17</v>
      </c>
      <c r="H6" s="9"/>
      <c r="I6" s="107" t="s">
        <v>9</v>
      </c>
      <c r="J6" s="107"/>
      <c r="K6" s="107"/>
      <c r="L6" s="107"/>
      <c r="M6" s="107"/>
      <c r="N6" s="107"/>
      <c r="O6" s="8"/>
    </row>
    <row r="7" spans="1:18" s="10" customFormat="1" ht="18" customHeight="1">
      <c r="A7" s="121"/>
      <c r="B7" s="108"/>
      <c r="C7" s="108" t="s">
        <v>63</v>
      </c>
      <c r="D7" s="108" t="s">
        <v>61</v>
      </c>
      <c r="E7" s="108"/>
      <c r="F7" s="108"/>
      <c r="G7" s="124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21"/>
      <c r="B8" s="108"/>
      <c r="C8" s="108"/>
      <c r="D8" s="108"/>
      <c r="E8" s="108"/>
      <c r="F8" s="108"/>
      <c r="G8" s="124"/>
      <c r="H8" s="11"/>
      <c r="I8" s="12"/>
      <c r="J8" s="12"/>
      <c r="K8" s="12"/>
      <c r="L8" s="12"/>
      <c r="M8" s="12"/>
      <c r="N8" s="12"/>
      <c r="O8" s="8"/>
    </row>
    <row r="9" spans="1:18" s="10" customFormat="1" ht="16.5">
      <c r="A9" s="95" t="s">
        <v>107</v>
      </c>
      <c r="B9" s="53" t="s">
        <v>46</v>
      </c>
      <c r="C9" s="29">
        <v>1250</v>
      </c>
      <c r="D9" s="29">
        <v>950</v>
      </c>
      <c r="E9" s="64"/>
      <c r="F9" s="79"/>
      <c r="G9" s="80" t="s">
        <v>110</v>
      </c>
      <c r="H9" s="13"/>
      <c r="I9" s="7"/>
      <c r="J9" s="7"/>
      <c r="K9" s="20"/>
      <c r="L9" s="21"/>
      <c r="M9" s="22"/>
      <c r="N9" s="7"/>
      <c r="O9" s="8"/>
      <c r="Q9" s="10" t="s">
        <v>114</v>
      </c>
    </row>
    <row r="10" spans="1:18" s="10" customFormat="1" ht="16.5">
      <c r="A10" s="95" t="s">
        <v>108</v>
      </c>
      <c r="B10" s="53" t="s">
        <v>46</v>
      </c>
      <c r="C10" s="29">
        <v>1250</v>
      </c>
      <c r="D10" s="29">
        <v>950</v>
      </c>
      <c r="E10" s="64"/>
      <c r="F10" s="79"/>
      <c r="G10" s="80" t="s">
        <v>110</v>
      </c>
      <c r="H10" s="13"/>
      <c r="I10" s="7"/>
      <c r="J10" s="7"/>
      <c r="K10" s="19"/>
      <c r="L10" s="19"/>
      <c r="M10" s="19"/>
      <c r="N10" s="7"/>
      <c r="O10" s="8"/>
      <c r="Q10" s="10" t="s">
        <v>115</v>
      </c>
    </row>
    <row r="11" spans="1:18" s="10" customFormat="1" ht="17.25" thickBot="1">
      <c r="A11" s="95" t="s">
        <v>109</v>
      </c>
      <c r="B11" s="53" t="s">
        <v>46</v>
      </c>
      <c r="C11" s="29">
        <v>1250</v>
      </c>
      <c r="D11" s="29">
        <v>950</v>
      </c>
      <c r="E11" s="79"/>
      <c r="F11" s="79"/>
      <c r="G11" s="80" t="s">
        <v>110</v>
      </c>
      <c r="H11" s="13"/>
      <c r="I11" s="1"/>
      <c r="J11" s="105"/>
      <c r="K11" s="106"/>
      <c r="L11" s="8"/>
      <c r="M11" s="1"/>
      <c r="N11" s="105"/>
      <c r="O11" s="106"/>
      <c r="Q11" s="10" t="s">
        <v>116</v>
      </c>
    </row>
    <row r="12" spans="1:18" s="10" customFormat="1" ht="16.5">
      <c r="A12" s="95" t="s">
        <v>74</v>
      </c>
      <c r="B12" s="53" t="s">
        <v>46</v>
      </c>
      <c r="C12" s="29">
        <v>1250</v>
      </c>
      <c r="D12" s="29">
        <v>950</v>
      </c>
      <c r="E12" s="64"/>
      <c r="F12" s="79"/>
      <c r="G12" s="80" t="s">
        <v>110</v>
      </c>
      <c r="H12" s="13"/>
      <c r="I12" s="7"/>
      <c r="J12" s="7"/>
      <c r="K12" s="20"/>
      <c r="L12" s="21"/>
      <c r="M12" s="22"/>
      <c r="N12" s="7"/>
      <c r="O12" s="8"/>
      <c r="Q12" s="10" t="s">
        <v>117</v>
      </c>
    </row>
    <row r="13" spans="1:18" s="10" customFormat="1" ht="16.5">
      <c r="A13" s="95" t="s">
        <v>75</v>
      </c>
      <c r="B13" s="53" t="s">
        <v>46</v>
      </c>
      <c r="C13" s="29">
        <v>1250</v>
      </c>
      <c r="D13" s="29">
        <v>950</v>
      </c>
      <c r="E13" s="64"/>
      <c r="F13" s="79"/>
      <c r="G13" s="80" t="s">
        <v>110</v>
      </c>
      <c r="H13" s="13"/>
      <c r="I13" s="7"/>
      <c r="J13" s="7"/>
      <c r="K13" s="19"/>
      <c r="L13" s="19"/>
      <c r="M13" s="19"/>
      <c r="N13" s="7"/>
      <c r="O13" s="8"/>
      <c r="Q13" s="10" t="s">
        <v>118</v>
      </c>
    </row>
    <row r="14" spans="1:18" s="10" customFormat="1" ht="17.25" thickBot="1">
      <c r="A14" s="95" t="s">
        <v>76</v>
      </c>
      <c r="B14" s="53" t="s">
        <v>46</v>
      </c>
      <c r="C14" s="29">
        <v>1400</v>
      </c>
      <c r="D14" s="29">
        <v>900</v>
      </c>
      <c r="E14" s="79"/>
      <c r="F14" s="79"/>
      <c r="G14" s="80" t="s">
        <v>111</v>
      </c>
      <c r="H14" s="13"/>
      <c r="I14" s="1"/>
      <c r="J14" s="105"/>
      <c r="K14" s="106"/>
      <c r="L14" s="8"/>
      <c r="M14" s="1"/>
      <c r="N14" s="105"/>
      <c r="O14" s="106"/>
      <c r="Q14" s="10" t="s">
        <v>119</v>
      </c>
    </row>
    <row r="15" spans="1:18" s="10" customFormat="1" ht="16.5">
      <c r="A15" s="95" t="s">
        <v>77</v>
      </c>
      <c r="B15" s="53" t="s">
        <v>46</v>
      </c>
      <c r="C15" s="29">
        <v>1400</v>
      </c>
      <c r="D15" s="29">
        <v>900</v>
      </c>
      <c r="E15" s="64"/>
      <c r="F15" s="79"/>
      <c r="G15" s="80" t="s">
        <v>111</v>
      </c>
      <c r="H15" s="13"/>
      <c r="I15" s="7"/>
      <c r="J15" s="7"/>
      <c r="K15" s="20"/>
      <c r="L15" s="21"/>
      <c r="M15" s="22"/>
      <c r="N15" s="7"/>
      <c r="O15" s="8"/>
      <c r="Q15" s="10" t="s">
        <v>120</v>
      </c>
    </row>
    <row r="16" spans="1:18" s="10" customFormat="1" ht="16.5">
      <c r="A16" s="95" t="s">
        <v>78</v>
      </c>
      <c r="B16" s="53" t="s">
        <v>46</v>
      </c>
      <c r="C16" s="29">
        <v>1400</v>
      </c>
      <c r="D16" s="29">
        <v>900</v>
      </c>
      <c r="E16" s="64"/>
      <c r="F16" s="79"/>
      <c r="G16" s="80" t="s">
        <v>111</v>
      </c>
      <c r="H16" s="13"/>
      <c r="I16" s="7"/>
      <c r="J16" s="7"/>
      <c r="K16" s="19"/>
      <c r="L16" s="19"/>
      <c r="M16" s="19"/>
      <c r="N16" s="7"/>
      <c r="O16" s="8"/>
      <c r="Q16" s="10" t="s">
        <v>121</v>
      </c>
    </row>
    <row r="17" spans="1:17" s="10" customFormat="1" ht="17.25" thickBot="1">
      <c r="A17" s="95" t="s">
        <v>79</v>
      </c>
      <c r="B17" s="53" t="s">
        <v>46</v>
      </c>
      <c r="C17" s="29">
        <v>1400</v>
      </c>
      <c r="D17" s="29">
        <v>900</v>
      </c>
      <c r="E17" s="79"/>
      <c r="F17" s="79"/>
      <c r="G17" s="80" t="s">
        <v>111</v>
      </c>
      <c r="H17" s="13"/>
      <c r="I17" s="1"/>
      <c r="J17" s="105"/>
      <c r="K17" s="106"/>
      <c r="L17" s="8"/>
      <c r="M17" s="1"/>
      <c r="N17" s="105"/>
      <c r="O17" s="106"/>
      <c r="Q17" s="10" t="s">
        <v>122</v>
      </c>
    </row>
    <row r="18" spans="1:17" s="10" customFormat="1" ht="16.5">
      <c r="A18" s="95" t="s">
        <v>80</v>
      </c>
      <c r="B18" s="53" t="s">
        <v>46</v>
      </c>
      <c r="C18" s="29">
        <v>1400</v>
      </c>
      <c r="D18" s="29">
        <v>900</v>
      </c>
      <c r="E18" s="64"/>
      <c r="F18" s="79"/>
      <c r="G18" s="80" t="s">
        <v>111</v>
      </c>
      <c r="H18" s="13"/>
      <c r="I18" s="7"/>
      <c r="J18" s="7"/>
      <c r="K18" s="20"/>
      <c r="L18" s="21"/>
      <c r="M18" s="22"/>
      <c r="N18" s="7"/>
      <c r="O18" s="8"/>
      <c r="Q18" s="10" t="s">
        <v>123</v>
      </c>
    </row>
    <row r="19" spans="1:17" s="10" customFormat="1" ht="16.5">
      <c r="A19" s="95" t="s">
        <v>81</v>
      </c>
      <c r="B19" s="53" t="s">
        <v>46</v>
      </c>
      <c r="C19" s="29">
        <v>1400</v>
      </c>
      <c r="D19" s="29">
        <v>900</v>
      </c>
      <c r="E19" s="64"/>
      <c r="F19" s="79"/>
      <c r="G19" s="80" t="s">
        <v>111</v>
      </c>
      <c r="H19" s="13"/>
      <c r="I19" s="7"/>
      <c r="J19" s="7"/>
      <c r="K19" s="19"/>
      <c r="L19" s="19"/>
      <c r="M19" s="19"/>
      <c r="N19" s="7"/>
      <c r="O19" s="8"/>
      <c r="Q19" s="10" t="s">
        <v>124</v>
      </c>
    </row>
    <row r="20" spans="1:17" s="10" customFormat="1" ht="17.25" thickBot="1">
      <c r="A20" s="95" t="s">
        <v>82</v>
      </c>
      <c r="B20" s="53" t="s">
        <v>46</v>
      </c>
      <c r="C20" s="29">
        <v>1400</v>
      </c>
      <c r="D20" s="29">
        <v>900</v>
      </c>
      <c r="E20" s="79"/>
      <c r="F20" s="79"/>
      <c r="G20" s="80" t="s">
        <v>111</v>
      </c>
      <c r="H20" s="13"/>
      <c r="I20" s="1"/>
      <c r="J20" s="105"/>
      <c r="K20" s="106"/>
      <c r="L20" s="8"/>
      <c r="M20" s="1"/>
      <c r="N20" s="105"/>
      <c r="O20" s="106"/>
      <c r="Q20" s="10" t="s">
        <v>125</v>
      </c>
    </row>
    <row r="21" spans="1:17" s="10" customFormat="1" ht="16.5">
      <c r="A21" s="95" t="s">
        <v>83</v>
      </c>
      <c r="B21" s="53" t="s">
        <v>46</v>
      </c>
      <c r="C21" s="29">
        <v>1400</v>
      </c>
      <c r="D21" s="29">
        <v>900</v>
      </c>
      <c r="E21" s="64"/>
      <c r="F21" s="79"/>
      <c r="G21" s="80" t="s">
        <v>111</v>
      </c>
      <c r="H21" s="13"/>
      <c r="I21" s="7"/>
      <c r="J21" s="7"/>
      <c r="K21" s="20"/>
      <c r="L21" s="21"/>
      <c r="M21" s="22"/>
      <c r="N21" s="7"/>
      <c r="O21" s="8"/>
      <c r="Q21" s="10" t="s">
        <v>126</v>
      </c>
    </row>
    <row r="22" spans="1:17" s="10" customFormat="1" ht="16.5">
      <c r="A22" s="95" t="s">
        <v>84</v>
      </c>
      <c r="B22" s="53" t="s">
        <v>46</v>
      </c>
      <c r="C22" s="29">
        <v>1400</v>
      </c>
      <c r="D22" s="29">
        <v>900</v>
      </c>
      <c r="E22" s="64"/>
      <c r="F22" s="79"/>
      <c r="G22" s="80" t="s">
        <v>111</v>
      </c>
      <c r="H22" s="13"/>
      <c r="I22" s="7"/>
      <c r="J22" s="7"/>
      <c r="K22" s="19"/>
      <c r="L22" s="19"/>
      <c r="M22" s="19"/>
      <c r="N22" s="7"/>
      <c r="O22" s="8"/>
      <c r="Q22" s="10" t="s">
        <v>127</v>
      </c>
    </row>
    <row r="23" spans="1:17" s="10" customFormat="1" ht="17.25" thickBot="1">
      <c r="A23" s="95" t="s">
        <v>85</v>
      </c>
      <c r="B23" s="53" t="s">
        <v>46</v>
      </c>
      <c r="C23" s="29">
        <v>1400</v>
      </c>
      <c r="D23" s="29">
        <v>900</v>
      </c>
      <c r="E23" s="79"/>
      <c r="F23" s="79"/>
      <c r="G23" s="80" t="s">
        <v>111</v>
      </c>
      <c r="H23" s="13"/>
      <c r="I23" s="1"/>
      <c r="J23" s="105"/>
      <c r="K23" s="106"/>
      <c r="L23" s="8"/>
      <c r="M23" s="1"/>
      <c r="N23" s="105"/>
      <c r="O23" s="106"/>
      <c r="Q23" s="10" t="s">
        <v>128</v>
      </c>
    </row>
    <row r="24" spans="1:17" s="10" customFormat="1" ht="16.5">
      <c r="A24" s="95" t="s">
        <v>86</v>
      </c>
      <c r="B24" s="53" t="s">
        <v>46</v>
      </c>
      <c r="C24" s="29">
        <v>1400</v>
      </c>
      <c r="D24" s="29">
        <v>900</v>
      </c>
      <c r="E24" s="64"/>
      <c r="F24" s="79"/>
      <c r="G24" s="80" t="s">
        <v>112</v>
      </c>
      <c r="H24" s="13"/>
      <c r="I24" s="7"/>
      <c r="J24" s="7"/>
      <c r="K24" s="20"/>
      <c r="L24" s="21"/>
      <c r="M24" s="22"/>
      <c r="N24" s="7"/>
      <c r="O24" s="8"/>
      <c r="Q24" s="10" t="s">
        <v>129</v>
      </c>
    </row>
    <row r="25" spans="1:17" s="10" customFormat="1" ht="16.5">
      <c r="A25" s="95" t="s">
        <v>87</v>
      </c>
      <c r="B25" s="53" t="s">
        <v>46</v>
      </c>
      <c r="C25" s="29">
        <v>1400</v>
      </c>
      <c r="D25" s="29">
        <v>900</v>
      </c>
      <c r="E25" s="64"/>
      <c r="F25" s="79"/>
      <c r="G25" s="80" t="s">
        <v>112</v>
      </c>
      <c r="H25" s="13"/>
      <c r="I25" s="7"/>
      <c r="J25" s="7"/>
      <c r="K25" s="19"/>
      <c r="L25" s="19"/>
      <c r="M25" s="19"/>
      <c r="N25" s="7"/>
      <c r="O25" s="8"/>
      <c r="Q25" s="10" t="s">
        <v>130</v>
      </c>
    </row>
    <row r="26" spans="1:17" s="10" customFormat="1" ht="17.25" thickBot="1">
      <c r="A26" s="95" t="s">
        <v>88</v>
      </c>
      <c r="B26" s="53" t="s">
        <v>46</v>
      </c>
      <c r="C26" s="29">
        <v>1400</v>
      </c>
      <c r="D26" s="29">
        <v>900</v>
      </c>
      <c r="E26" s="79"/>
      <c r="F26" s="79"/>
      <c r="G26" s="80" t="s">
        <v>112</v>
      </c>
      <c r="H26" s="13"/>
      <c r="I26" s="1"/>
      <c r="J26" s="105"/>
      <c r="K26" s="106"/>
      <c r="L26" s="8"/>
      <c r="M26" s="1"/>
      <c r="N26" s="105"/>
      <c r="O26" s="106"/>
      <c r="Q26" s="10" t="s">
        <v>131</v>
      </c>
    </row>
    <row r="27" spans="1:17" s="10" customFormat="1" ht="16.5">
      <c r="A27" s="95" t="s">
        <v>89</v>
      </c>
      <c r="B27" s="53" t="s">
        <v>46</v>
      </c>
      <c r="C27" s="29">
        <v>1400</v>
      </c>
      <c r="D27" s="29">
        <v>900</v>
      </c>
      <c r="E27" s="64"/>
      <c r="F27" s="79"/>
      <c r="G27" s="80" t="s">
        <v>112</v>
      </c>
      <c r="H27" s="13"/>
      <c r="I27" s="7"/>
      <c r="J27" s="7"/>
      <c r="K27" s="20"/>
      <c r="L27" s="21"/>
      <c r="M27" s="22"/>
      <c r="N27" s="7"/>
      <c r="O27" s="8"/>
      <c r="Q27" s="10" t="s">
        <v>132</v>
      </c>
    </row>
    <row r="28" spans="1:17" s="10" customFormat="1" ht="16.5">
      <c r="A28" s="95" t="s">
        <v>90</v>
      </c>
      <c r="B28" s="53" t="s">
        <v>46</v>
      </c>
      <c r="C28" s="29">
        <v>1400</v>
      </c>
      <c r="D28" s="29">
        <v>900</v>
      </c>
      <c r="E28" s="64"/>
      <c r="F28" s="79"/>
      <c r="G28" s="80" t="s">
        <v>112</v>
      </c>
      <c r="H28" s="13"/>
      <c r="I28" s="7"/>
      <c r="J28" s="7"/>
      <c r="K28" s="19"/>
      <c r="L28" s="19"/>
      <c r="M28" s="19"/>
      <c r="N28" s="7"/>
      <c r="O28" s="8"/>
      <c r="Q28" s="10" t="s">
        <v>133</v>
      </c>
    </row>
    <row r="29" spans="1:17" s="10" customFormat="1" ht="17.25" thickBot="1">
      <c r="A29" s="95" t="s">
        <v>91</v>
      </c>
      <c r="B29" s="53" t="s">
        <v>46</v>
      </c>
      <c r="C29" s="29">
        <v>1600</v>
      </c>
      <c r="D29" s="29">
        <v>950</v>
      </c>
      <c r="E29" s="79"/>
      <c r="F29" s="79"/>
      <c r="G29" s="80" t="s">
        <v>113</v>
      </c>
      <c r="H29" s="13"/>
      <c r="I29" s="1"/>
      <c r="J29" s="105"/>
      <c r="K29" s="106"/>
      <c r="L29" s="8"/>
      <c r="M29" s="1"/>
      <c r="N29" s="105"/>
      <c r="O29" s="106"/>
      <c r="Q29" s="10" t="s">
        <v>134</v>
      </c>
    </row>
    <row r="30" spans="1:17" s="10" customFormat="1" ht="16.5">
      <c r="A30" s="95" t="s">
        <v>92</v>
      </c>
      <c r="B30" s="53" t="s">
        <v>46</v>
      </c>
      <c r="C30" s="29">
        <v>1600</v>
      </c>
      <c r="D30" s="29">
        <v>950</v>
      </c>
      <c r="E30" s="64"/>
      <c r="F30" s="79"/>
      <c r="G30" s="80" t="s">
        <v>113</v>
      </c>
      <c r="H30" s="13"/>
      <c r="I30" s="7"/>
      <c r="J30" s="7"/>
      <c r="K30" s="20"/>
      <c r="L30" s="21"/>
      <c r="M30" s="22"/>
      <c r="N30" s="7"/>
      <c r="O30" s="8"/>
      <c r="Q30" s="10" t="s">
        <v>135</v>
      </c>
    </row>
    <row r="31" spans="1:17" s="10" customFormat="1" ht="16.5">
      <c r="A31" s="95" t="s">
        <v>93</v>
      </c>
      <c r="B31" s="53" t="s">
        <v>46</v>
      </c>
      <c r="C31" s="29">
        <v>1600</v>
      </c>
      <c r="D31" s="29">
        <v>950</v>
      </c>
      <c r="E31" s="64"/>
      <c r="F31" s="79"/>
      <c r="G31" s="80" t="s">
        <v>113</v>
      </c>
      <c r="H31" s="13"/>
      <c r="I31" s="7"/>
      <c r="J31" s="7"/>
      <c r="K31" s="19"/>
      <c r="L31" s="19"/>
      <c r="M31" s="19"/>
      <c r="N31" s="7"/>
      <c r="O31" s="8"/>
      <c r="Q31" s="10" t="s">
        <v>136</v>
      </c>
    </row>
    <row r="32" spans="1:17" s="10" customFormat="1" ht="17.25" thickBot="1">
      <c r="A32" s="95" t="s">
        <v>94</v>
      </c>
      <c r="B32" s="53" t="s">
        <v>46</v>
      </c>
      <c r="C32" s="29">
        <v>1600</v>
      </c>
      <c r="D32" s="29">
        <v>950</v>
      </c>
      <c r="E32" s="79"/>
      <c r="F32" s="79"/>
      <c r="G32" s="80" t="s">
        <v>113</v>
      </c>
      <c r="H32" s="13"/>
      <c r="I32" s="1"/>
      <c r="J32" s="105"/>
      <c r="K32" s="106"/>
      <c r="L32" s="8"/>
      <c r="M32" s="1"/>
      <c r="N32" s="105"/>
      <c r="O32" s="106"/>
      <c r="Q32" s="10" t="s">
        <v>137</v>
      </c>
    </row>
    <row r="33" spans="1:19" s="10" customFormat="1" ht="16.5">
      <c r="A33" s="95" t="s">
        <v>95</v>
      </c>
      <c r="B33" s="53" t="s">
        <v>46</v>
      </c>
      <c r="C33" s="29">
        <v>1600</v>
      </c>
      <c r="D33" s="29">
        <v>950</v>
      </c>
      <c r="E33" s="64"/>
      <c r="F33" s="79"/>
      <c r="G33" s="80" t="s">
        <v>113</v>
      </c>
      <c r="H33" s="13"/>
      <c r="I33" s="7"/>
      <c r="J33" s="7"/>
      <c r="K33" s="20"/>
      <c r="L33" s="21"/>
      <c r="M33" s="22"/>
      <c r="N33" s="7"/>
      <c r="O33" s="8"/>
      <c r="Q33" s="10" t="s">
        <v>138</v>
      </c>
    </row>
    <row r="34" spans="1:19" s="10" customFormat="1" ht="16.5">
      <c r="A34" s="95" t="s">
        <v>96</v>
      </c>
      <c r="B34" s="53" t="s">
        <v>46</v>
      </c>
      <c r="C34" s="29">
        <v>1600</v>
      </c>
      <c r="D34" s="29">
        <v>950</v>
      </c>
      <c r="E34" s="64"/>
      <c r="F34" s="79"/>
      <c r="G34" s="80" t="s">
        <v>113</v>
      </c>
      <c r="H34" s="13"/>
      <c r="I34" s="7"/>
      <c r="J34" s="7"/>
      <c r="K34" s="19"/>
      <c r="L34" s="19"/>
      <c r="M34" s="19"/>
      <c r="N34" s="7"/>
      <c r="O34" s="8"/>
      <c r="Q34" s="10" t="s">
        <v>139</v>
      </c>
    </row>
    <row r="35" spans="1:19" s="10" customFormat="1" ht="17.25" thickBot="1">
      <c r="A35" s="95" t="s">
        <v>97</v>
      </c>
      <c r="B35" s="53" t="s">
        <v>46</v>
      </c>
      <c r="C35" s="29">
        <v>1600</v>
      </c>
      <c r="D35" s="29">
        <v>950</v>
      </c>
      <c r="E35" s="79"/>
      <c r="F35" s="79"/>
      <c r="G35" s="80" t="s">
        <v>113</v>
      </c>
      <c r="H35" s="13"/>
      <c r="I35" s="1"/>
      <c r="J35" s="105"/>
      <c r="K35" s="106"/>
      <c r="L35" s="8"/>
      <c r="M35" s="1"/>
      <c r="N35" s="105"/>
      <c r="O35" s="106"/>
      <c r="Q35" s="10" t="s">
        <v>140</v>
      </c>
    </row>
    <row r="36" spans="1:19" s="10" customFormat="1" ht="16.5">
      <c r="A36" s="95" t="s">
        <v>98</v>
      </c>
      <c r="B36" s="53" t="s">
        <v>46</v>
      </c>
      <c r="C36" s="29">
        <v>1600</v>
      </c>
      <c r="D36" s="29">
        <v>950</v>
      </c>
      <c r="E36" s="64"/>
      <c r="F36" s="79"/>
      <c r="G36" s="80" t="s">
        <v>113</v>
      </c>
      <c r="H36" s="13"/>
      <c r="I36" s="7"/>
      <c r="J36" s="7"/>
      <c r="K36" s="20"/>
      <c r="L36" s="21"/>
      <c r="M36" s="22"/>
      <c r="N36" s="7"/>
      <c r="O36" s="8"/>
      <c r="Q36" s="10" t="s">
        <v>141</v>
      </c>
    </row>
    <row r="37" spans="1:19" s="10" customFormat="1" ht="16.5">
      <c r="A37" s="95" t="s">
        <v>99</v>
      </c>
      <c r="B37" s="53" t="s">
        <v>46</v>
      </c>
      <c r="C37" s="29">
        <v>1600</v>
      </c>
      <c r="D37" s="29">
        <v>950</v>
      </c>
      <c r="E37" s="64"/>
      <c r="F37" s="79"/>
      <c r="G37" s="80" t="s">
        <v>113</v>
      </c>
      <c r="H37" s="13"/>
      <c r="I37" s="7"/>
      <c r="J37" s="7"/>
      <c r="K37" s="19"/>
      <c r="L37" s="19"/>
      <c r="M37" s="19"/>
      <c r="N37" s="7"/>
      <c r="O37" s="8"/>
      <c r="Q37" s="10" t="s">
        <v>142</v>
      </c>
    </row>
    <row r="38" spans="1:19" s="10" customFormat="1" ht="17.25" thickBot="1">
      <c r="A38" s="95" t="s">
        <v>100</v>
      </c>
      <c r="B38" s="53" t="s">
        <v>46</v>
      </c>
      <c r="C38" s="29">
        <v>1600</v>
      </c>
      <c r="D38" s="29">
        <v>950</v>
      </c>
      <c r="E38" s="79"/>
      <c r="F38" s="79"/>
      <c r="G38" s="80" t="s">
        <v>113</v>
      </c>
      <c r="H38" s="13"/>
      <c r="I38" s="1"/>
      <c r="J38" s="105"/>
      <c r="K38" s="106"/>
      <c r="L38" s="8"/>
      <c r="M38" s="1"/>
      <c r="N38" s="105"/>
      <c r="O38" s="106"/>
      <c r="Q38" s="10" t="s">
        <v>143</v>
      </c>
    </row>
    <row r="39" spans="1:19" s="10" customFormat="1" ht="16.5">
      <c r="A39" s="95" t="s">
        <v>101</v>
      </c>
      <c r="B39" s="53" t="s">
        <v>46</v>
      </c>
      <c r="C39" s="98">
        <v>1400</v>
      </c>
      <c r="D39" s="98">
        <v>1000</v>
      </c>
      <c r="E39" s="104" t="s">
        <v>151</v>
      </c>
      <c r="F39" s="79"/>
      <c r="G39" s="80" t="s">
        <v>113</v>
      </c>
      <c r="H39" s="13"/>
      <c r="I39" s="7"/>
      <c r="J39" s="7"/>
      <c r="K39" s="20"/>
      <c r="L39" s="21"/>
      <c r="M39" s="22"/>
      <c r="N39" s="7"/>
      <c r="O39" s="8"/>
      <c r="Q39" s="10" t="s">
        <v>144</v>
      </c>
      <c r="S39" s="10" t="s">
        <v>153</v>
      </c>
    </row>
    <row r="40" spans="1:19" s="10" customFormat="1" ht="16.5">
      <c r="A40" s="95" t="s">
        <v>102</v>
      </c>
      <c r="B40" s="53" t="s">
        <v>46</v>
      </c>
      <c r="C40" s="98">
        <v>1400</v>
      </c>
      <c r="D40" s="98">
        <v>1000</v>
      </c>
      <c r="E40" s="104" t="s">
        <v>151</v>
      </c>
      <c r="F40" s="79"/>
      <c r="G40" s="80" t="s">
        <v>113</v>
      </c>
      <c r="H40" s="13"/>
      <c r="I40" s="7"/>
      <c r="J40" s="7"/>
      <c r="K40" s="19"/>
      <c r="L40" s="19"/>
      <c r="M40" s="19"/>
      <c r="N40" s="7"/>
      <c r="O40" s="8"/>
      <c r="Q40" s="10" t="s">
        <v>145</v>
      </c>
    </row>
    <row r="41" spans="1:19" s="10" customFormat="1" ht="17.25" thickBot="1">
      <c r="A41" s="95" t="s">
        <v>103</v>
      </c>
      <c r="B41" s="53" t="s">
        <v>46</v>
      </c>
      <c r="C41" s="98">
        <v>1400</v>
      </c>
      <c r="D41" s="98">
        <v>1000</v>
      </c>
      <c r="E41" s="104" t="s">
        <v>151</v>
      </c>
      <c r="F41" s="79"/>
      <c r="G41" s="80" t="s">
        <v>113</v>
      </c>
      <c r="H41" s="13"/>
      <c r="I41" s="1"/>
      <c r="J41" s="105"/>
      <c r="K41" s="106"/>
      <c r="L41" s="8"/>
      <c r="M41" s="1"/>
      <c r="N41" s="105"/>
      <c r="O41" s="106"/>
      <c r="Q41" s="10" t="s">
        <v>146</v>
      </c>
    </row>
    <row r="42" spans="1:19" s="10" customFormat="1" ht="16.5">
      <c r="A42" s="95" t="s">
        <v>104</v>
      </c>
      <c r="B42" s="53" t="s">
        <v>46</v>
      </c>
      <c r="C42" s="98">
        <v>1400</v>
      </c>
      <c r="D42" s="98">
        <v>1000</v>
      </c>
      <c r="E42" s="104" t="s">
        <v>151</v>
      </c>
      <c r="F42" s="79"/>
      <c r="G42" s="80" t="s">
        <v>113</v>
      </c>
      <c r="H42" s="13"/>
      <c r="I42" s="7"/>
      <c r="J42" s="7"/>
      <c r="K42" s="20"/>
      <c r="L42" s="21"/>
      <c r="M42" s="22"/>
      <c r="N42" s="7"/>
      <c r="O42" s="8"/>
      <c r="Q42" s="10" t="s">
        <v>147</v>
      </c>
    </row>
    <row r="43" spans="1:19" s="10" customFormat="1" ht="16.5">
      <c r="A43" s="95" t="s">
        <v>105</v>
      </c>
      <c r="B43" s="53" t="s">
        <v>46</v>
      </c>
      <c r="C43" s="98">
        <v>1400</v>
      </c>
      <c r="D43" s="98">
        <v>1000</v>
      </c>
      <c r="E43" s="104" t="s">
        <v>151</v>
      </c>
      <c r="F43" s="79"/>
      <c r="G43" s="80" t="s">
        <v>113</v>
      </c>
      <c r="H43" s="13"/>
      <c r="I43" s="7"/>
      <c r="J43" s="7"/>
      <c r="K43" s="19"/>
      <c r="L43" s="19"/>
      <c r="M43" s="19"/>
      <c r="N43" s="7"/>
      <c r="O43" s="8"/>
      <c r="Q43" s="10" t="s">
        <v>148</v>
      </c>
    </row>
  </sheetData>
  <mergeCells count="33">
    <mergeCell ref="A1:C4"/>
    <mergeCell ref="D1:G4"/>
    <mergeCell ref="A6:A8"/>
    <mergeCell ref="B6:B8"/>
    <mergeCell ref="C6:D6"/>
    <mergeCell ref="E6:E8"/>
    <mergeCell ref="F6:F8"/>
    <mergeCell ref="G6:G8"/>
    <mergeCell ref="I6:N6"/>
    <mergeCell ref="C7:C8"/>
    <mergeCell ref="D7:D8"/>
    <mergeCell ref="I11:K11"/>
    <mergeCell ref="M11:O11"/>
    <mergeCell ref="I14:K14"/>
    <mergeCell ref="M14:O14"/>
    <mergeCell ref="I17:K17"/>
    <mergeCell ref="M17:O17"/>
    <mergeCell ref="I20:K20"/>
    <mergeCell ref="M20:O20"/>
    <mergeCell ref="I23:K23"/>
    <mergeCell ref="M23:O23"/>
    <mergeCell ref="I26:K26"/>
    <mergeCell ref="M26:O26"/>
    <mergeCell ref="I29:K29"/>
    <mergeCell ref="M29:O29"/>
    <mergeCell ref="I41:K41"/>
    <mergeCell ref="M41:O41"/>
    <mergeCell ref="I32:K32"/>
    <mergeCell ref="M32:O32"/>
    <mergeCell ref="I35:K35"/>
    <mergeCell ref="M35:O35"/>
    <mergeCell ref="I38:K38"/>
    <mergeCell ref="M38:O38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50"/>
  <sheetViews>
    <sheetView tabSelected="1" topLeftCell="A25" zoomScaleNormal="100" zoomScaleSheetLayoutView="100" workbookViewId="0">
      <selection activeCell="A43" sqref="A43:C43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"/>
      <c r="B1" s="1"/>
      <c r="C1" s="1"/>
      <c r="D1" s="1"/>
      <c r="E1" s="137" t="s">
        <v>68</v>
      </c>
      <c r="F1" s="138"/>
      <c r="G1" s="138"/>
      <c r="H1" s="143" t="str">
        <f>'1. 소켓인수검사'!R2</f>
        <v>26.06.05 엘티엔지니어링_신세계건설_대현기건(주)_트레이더스 의정부</v>
      </c>
      <c r="I1" s="143"/>
      <c r="J1" s="143"/>
      <c r="K1" s="143"/>
      <c r="L1" s="143"/>
      <c r="M1" s="143"/>
      <c r="N1" s="143"/>
      <c r="O1" s="144"/>
    </row>
    <row r="2" spans="1:15" ht="38.25" customHeight="1">
      <c r="A2" s="1"/>
      <c r="B2" s="1"/>
      <c r="C2" s="1"/>
      <c r="D2" s="1"/>
      <c r="E2" s="139"/>
      <c r="F2" s="140"/>
      <c r="G2" s="140"/>
      <c r="H2" s="145"/>
      <c r="I2" s="145"/>
      <c r="J2" s="145"/>
      <c r="K2" s="145"/>
      <c r="L2" s="145"/>
      <c r="M2" s="145"/>
      <c r="N2" s="145"/>
      <c r="O2" s="146"/>
    </row>
    <row r="3" spans="1:15" ht="38.25" customHeight="1">
      <c r="A3" s="1"/>
      <c r="B3" s="1"/>
      <c r="C3" s="1"/>
      <c r="D3" s="1"/>
      <c r="E3" s="141"/>
      <c r="F3" s="142"/>
      <c r="G3" s="142"/>
      <c r="H3" s="147"/>
      <c r="I3" s="147"/>
      <c r="J3" s="147"/>
      <c r="K3" s="147"/>
      <c r="L3" s="147"/>
      <c r="M3" s="147"/>
      <c r="N3" s="147"/>
      <c r="O3" s="148"/>
    </row>
    <row r="4" spans="1:15" ht="8.1" customHeight="1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1"/>
      <c r="O4" s="15"/>
    </row>
    <row r="5" spans="1:15" s="18" customFormat="1" ht="26.45" customHeight="1">
      <c r="A5" s="149" t="s">
        <v>56</v>
      </c>
      <c r="B5" s="151" t="s">
        <v>66</v>
      </c>
      <c r="C5" s="153" t="s">
        <v>4</v>
      </c>
      <c r="D5" s="153"/>
      <c r="E5" s="153" t="s">
        <v>24</v>
      </c>
      <c r="F5" s="153" t="s">
        <v>54</v>
      </c>
      <c r="G5" s="153" t="s">
        <v>20</v>
      </c>
      <c r="H5" s="153"/>
      <c r="I5" s="153"/>
      <c r="J5" s="153"/>
      <c r="K5" s="153" t="s">
        <v>34</v>
      </c>
      <c r="L5" s="153"/>
      <c r="M5" s="153"/>
      <c r="N5" s="153"/>
      <c r="O5" s="154" t="s">
        <v>2</v>
      </c>
    </row>
    <row r="6" spans="1:15" s="18" customFormat="1" ht="16.5" customHeight="1">
      <c r="A6" s="150"/>
      <c r="B6" s="152"/>
      <c r="C6" s="125" t="s">
        <v>63</v>
      </c>
      <c r="D6" s="125" t="s">
        <v>61</v>
      </c>
      <c r="E6" s="125"/>
      <c r="F6" s="125"/>
      <c r="G6" s="156" t="s">
        <v>63</v>
      </c>
      <c r="H6" s="156"/>
      <c r="I6" s="156" t="s">
        <v>61</v>
      </c>
      <c r="J6" s="156"/>
      <c r="K6" s="125" t="s">
        <v>65</v>
      </c>
      <c r="L6" s="125"/>
      <c r="M6" s="125" t="s">
        <v>62</v>
      </c>
      <c r="N6" s="125"/>
      <c r="O6" s="155"/>
    </row>
    <row r="7" spans="1:15" s="18" customFormat="1" ht="16.5" customHeight="1">
      <c r="A7" s="150"/>
      <c r="B7" s="152"/>
      <c r="C7" s="125"/>
      <c r="D7" s="125"/>
      <c r="E7" s="125"/>
      <c r="F7" s="125"/>
      <c r="G7" s="85" t="s">
        <v>4</v>
      </c>
      <c r="H7" s="85" t="s">
        <v>31</v>
      </c>
      <c r="I7" s="85" t="s">
        <v>4</v>
      </c>
      <c r="J7" s="85" t="s">
        <v>31</v>
      </c>
      <c r="K7" s="86" t="s">
        <v>4</v>
      </c>
      <c r="L7" s="86" t="s">
        <v>54</v>
      </c>
      <c r="M7" s="86" t="s">
        <v>4</v>
      </c>
      <c r="N7" s="86" t="s">
        <v>54</v>
      </c>
      <c r="O7" s="155"/>
    </row>
    <row r="8" spans="1:15">
      <c r="A8" s="81" t="str">
        <f>'1. 소켓인수검사'!A9</f>
        <v>01</v>
      </c>
      <c r="B8" s="87" t="s">
        <v>46</v>
      </c>
      <c r="C8" s="34">
        <f>'1. 소켓인수검사'!C9</f>
        <v>1250</v>
      </c>
      <c r="D8" s="34">
        <f>'1. 소켓인수검사'!D9</f>
        <v>950</v>
      </c>
      <c r="E8" s="35"/>
      <c r="F8" s="34">
        <v>1</v>
      </c>
      <c r="G8" s="54">
        <f>(C8-30)/2-5</f>
        <v>605</v>
      </c>
      <c r="H8" s="60">
        <f>F8*8*2</f>
        <v>16</v>
      </c>
      <c r="I8" s="96">
        <f>(D8-20)/2-10</f>
        <v>455</v>
      </c>
      <c r="J8" s="60">
        <f>F8*16</f>
        <v>16</v>
      </c>
      <c r="K8" s="55">
        <f t="shared" ref="K8:K34" si="0">C8+60</f>
        <v>1310</v>
      </c>
      <c r="L8" s="88">
        <v>4</v>
      </c>
      <c r="M8" s="55">
        <f>D8</f>
        <v>950</v>
      </c>
      <c r="N8" s="88">
        <v>4</v>
      </c>
      <c r="O8" s="52"/>
    </row>
    <row r="9" spans="1:15">
      <c r="A9" s="81" t="str">
        <f>'1. 소켓인수검사'!A10</f>
        <v>02</v>
      </c>
      <c r="B9" s="87" t="s">
        <v>46</v>
      </c>
      <c r="C9" s="34">
        <f>'1. 소켓인수검사'!C10</f>
        <v>1250</v>
      </c>
      <c r="D9" s="34">
        <f>'1. 소켓인수검사'!D10</f>
        <v>950</v>
      </c>
      <c r="E9" s="35"/>
      <c r="F9" s="34">
        <v>1</v>
      </c>
      <c r="G9" s="54">
        <f t="shared" ref="G9:G42" si="1">(C9-30)/2-5</f>
        <v>605</v>
      </c>
      <c r="H9" s="60">
        <f>F9*8*2</f>
        <v>16</v>
      </c>
      <c r="I9" s="96">
        <f>(D9-20)/2-10</f>
        <v>455</v>
      </c>
      <c r="J9" s="60">
        <f>F9*16</f>
        <v>16</v>
      </c>
      <c r="K9" s="55">
        <f t="shared" si="0"/>
        <v>1310</v>
      </c>
      <c r="L9" s="88">
        <v>4</v>
      </c>
      <c r="M9" s="55">
        <f t="shared" ref="M9:M42" si="2">D9</f>
        <v>950</v>
      </c>
      <c r="N9" s="88">
        <v>4</v>
      </c>
      <c r="O9" s="52"/>
    </row>
    <row r="10" spans="1:15">
      <c r="A10" s="81" t="str">
        <f>'1. 소켓인수검사'!A11</f>
        <v>03</v>
      </c>
      <c r="B10" s="87" t="s">
        <v>46</v>
      </c>
      <c r="C10" s="34">
        <f>'1. 소켓인수검사'!C11</f>
        <v>1250</v>
      </c>
      <c r="D10" s="34">
        <f>'1. 소켓인수검사'!D11</f>
        <v>950</v>
      </c>
      <c r="E10" s="35"/>
      <c r="F10" s="34">
        <v>1</v>
      </c>
      <c r="G10" s="54">
        <f t="shared" si="1"/>
        <v>605</v>
      </c>
      <c r="H10" s="60">
        <f t="shared" ref="H10:H34" si="3">F10*8*2</f>
        <v>16</v>
      </c>
      <c r="I10" s="96">
        <f>(D10-20)/2-10</f>
        <v>455</v>
      </c>
      <c r="J10" s="60">
        <f t="shared" ref="J10:J34" si="4">F10*16</f>
        <v>16</v>
      </c>
      <c r="K10" s="55">
        <f t="shared" si="0"/>
        <v>1310</v>
      </c>
      <c r="L10" s="88">
        <v>4</v>
      </c>
      <c r="M10" s="55">
        <f t="shared" si="2"/>
        <v>950</v>
      </c>
      <c r="N10" s="88">
        <v>4</v>
      </c>
      <c r="O10" s="52"/>
    </row>
    <row r="11" spans="1:15">
      <c r="A11" s="81" t="str">
        <f>'1. 소켓인수검사'!A12</f>
        <v>04</v>
      </c>
      <c r="B11" s="87" t="s">
        <v>46</v>
      </c>
      <c r="C11" s="34">
        <f>'1. 소켓인수검사'!C12</f>
        <v>1250</v>
      </c>
      <c r="D11" s="34">
        <f>'1. 소켓인수검사'!D12</f>
        <v>950</v>
      </c>
      <c r="E11" s="35"/>
      <c r="F11" s="34">
        <v>1</v>
      </c>
      <c r="G11" s="54">
        <f t="shared" si="1"/>
        <v>605</v>
      </c>
      <c r="H11" s="60">
        <f t="shared" si="3"/>
        <v>16</v>
      </c>
      <c r="I11" s="96">
        <f t="shared" ref="I11:I34" si="5">(D11-20)/2-10</f>
        <v>455</v>
      </c>
      <c r="J11" s="60">
        <f t="shared" si="4"/>
        <v>16</v>
      </c>
      <c r="K11" s="55">
        <f t="shared" si="0"/>
        <v>1310</v>
      </c>
      <c r="L11" s="88">
        <v>4</v>
      </c>
      <c r="M11" s="55">
        <f t="shared" si="2"/>
        <v>950</v>
      </c>
      <c r="N11" s="88">
        <v>4</v>
      </c>
      <c r="O11" s="52"/>
    </row>
    <row r="12" spans="1:15">
      <c r="A12" s="81" t="str">
        <f>'1. 소켓인수검사'!A13</f>
        <v>05</v>
      </c>
      <c r="B12" s="87" t="s">
        <v>46</v>
      </c>
      <c r="C12" s="34">
        <f>'1. 소켓인수검사'!C13</f>
        <v>1250</v>
      </c>
      <c r="D12" s="34">
        <f>'1. 소켓인수검사'!D13</f>
        <v>950</v>
      </c>
      <c r="E12" s="35"/>
      <c r="F12" s="34">
        <v>1</v>
      </c>
      <c r="G12" s="54">
        <f t="shared" si="1"/>
        <v>605</v>
      </c>
      <c r="H12" s="60">
        <f t="shared" ref="H12:H15" si="6">F12*8*2</f>
        <v>16</v>
      </c>
      <c r="I12" s="96">
        <f t="shared" ref="I12:I15" si="7">(D12-20)/2-10</f>
        <v>455</v>
      </c>
      <c r="J12" s="60">
        <f t="shared" ref="J12:J15" si="8">F12*16</f>
        <v>16</v>
      </c>
      <c r="K12" s="55">
        <f t="shared" ref="K12:K33" si="9">C12+60</f>
        <v>1310</v>
      </c>
      <c r="L12" s="88">
        <v>4</v>
      </c>
      <c r="M12" s="55">
        <f t="shared" si="2"/>
        <v>950</v>
      </c>
      <c r="N12" s="88">
        <v>4</v>
      </c>
      <c r="O12" s="52"/>
    </row>
    <row r="13" spans="1:15">
      <c r="A13" s="81" t="str">
        <f>'1. 소켓인수검사'!A14</f>
        <v>06</v>
      </c>
      <c r="B13" s="87" t="s">
        <v>46</v>
      </c>
      <c r="C13" s="34">
        <f>'1. 소켓인수검사'!C14</f>
        <v>1400</v>
      </c>
      <c r="D13" s="34">
        <f>'1. 소켓인수검사'!D14</f>
        <v>900</v>
      </c>
      <c r="E13" s="35"/>
      <c r="F13" s="34">
        <v>1</v>
      </c>
      <c r="G13" s="54">
        <f t="shared" si="1"/>
        <v>680</v>
      </c>
      <c r="H13" s="60">
        <f t="shared" si="6"/>
        <v>16</v>
      </c>
      <c r="I13" s="96">
        <f t="shared" si="7"/>
        <v>430</v>
      </c>
      <c r="J13" s="60">
        <f t="shared" si="8"/>
        <v>16</v>
      </c>
      <c r="K13" s="55">
        <f t="shared" si="9"/>
        <v>1460</v>
      </c>
      <c r="L13" s="88">
        <v>4</v>
      </c>
      <c r="M13" s="55">
        <f t="shared" si="2"/>
        <v>900</v>
      </c>
      <c r="N13" s="88">
        <v>4</v>
      </c>
      <c r="O13" s="52"/>
    </row>
    <row r="14" spans="1:15">
      <c r="A14" s="81" t="str">
        <f>'1. 소켓인수검사'!A15</f>
        <v>07</v>
      </c>
      <c r="B14" s="87" t="s">
        <v>46</v>
      </c>
      <c r="C14" s="34">
        <f>'1. 소켓인수검사'!C15</f>
        <v>1400</v>
      </c>
      <c r="D14" s="34">
        <f>'1. 소켓인수검사'!D15</f>
        <v>900</v>
      </c>
      <c r="E14" s="35"/>
      <c r="F14" s="34">
        <v>1</v>
      </c>
      <c r="G14" s="54">
        <f t="shared" si="1"/>
        <v>680</v>
      </c>
      <c r="H14" s="60">
        <f t="shared" si="6"/>
        <v>16</v>
      </c>
      <c r="I14" s="96">
        <f t="shared" si="7"/>
        <v>430</v>
      </c>
      <c r="J14" s="60">
        <f t="shared" si="8"/>
        <v>16</v>
      </c>
      <c r="K14" s="55">
        <f t="shared" si="9"/>
        <v>1460</v>
      </c>
      <c r="L14" s="88">
        <v>4</v>
      </c>
      <c r="M14" s="55">
        <f t="shared" si="2"/>
        <v>900</v>
      </c>
      <c r="N14" s="88">
        <v>4</v>
      </c>
      <c r="O14" s="52"/>
    </row>
    <row r="15" spans="1:15">
      <c r="A15" s="81" t="str">
        <f>'1. 소켓인수검사'!A16</f>
        <v>08</v>
      </c>
      <c r="B15" s="87" t="s">
        <v>46</v>
      </c>
      <c r="C15" s="34">
        <f>'1. 소켓인수검사'!C16</f>
        <v>1400</v>
      </c>
      <c r="D15" s="34">
        <f>'1. 소켓인수검사'!D16</f>
        <v>900</v>
      </c>
      <c r="E15" s="35"/>
      <c r="F15" s="34">
        <v>1</v>
      </c>
      <c r="G15" s="54">
        <f t="shared" si="1"/>
        <v>680</v>
      </c>
      <c r="H15" s="60">
        <f t="shared" si="6"/>
        <v>16</v>
      </c>
      <c r="I15" s="96">
        <f t="shared" si="7"/>
        <v>430</v>
      </c>
      <c r="J15" s="60">
        <f t="shared" si="8"/>
        <v>16</v>
      </c>
      <c r="K15" s="55">
        <f t="shared" si="9"/>
        <v>1460</v>
      </c>
      <c r="L15" s="88">
        <v>4</v>
      </c>
      <c r="M15" s="55">
        <f t="shared" si="2"/>
        <v>900</v>
      </c>
      <c r="N15" s="88">
        <v>4</v>
      </c>
      <c r="O15" s="52"/>
    </row>
    <row r="16" spans="1:15">
      <c r="A16" s="81" t="str">
        <f>'1. 소켓인수검사'!A17</f>
        <v>09</v>
      </c>
      <c r="B16" s="87" t="s">
        <v>46</v>
      </c>
      <c r="C16" s="34">
        <f>'1. 소켓인수검사'!C17</f>
        <v>1400</v>
      </c>
      <c r="D16" s="34">
        <f>'1. 소켓인수검사'!D17</f>
        <v>900</v>
      </c>
      <c r="E16" s="35"/>
      <c r="F16" s="34">
        <v>1</v>
      </c>
      <c r="G16" s="54">
        <f t="shared" si="1"/>
        <v>680</v>
      </c>
      <c r="H16" s="60">
        <f>F16*8*2</f>
        <v>16</v>
      </c>
      <c r="I16" s="96">
        <f>(D16-20)/2-10</f>
        <v>430</v>
      </c>
      <c r="J16" s="60">
        <f>F16*16</f>
        <v>16</v>
      </c>
      <c r="K16" s="55">
        <f t="shared" si="9"/>
        <v>1460</v>
      </c>
      <c r="L16" s="88">
        <v>4</v>
      </c>
      <c r="M16" s="55">
        <f t="shared" si="2"/>
        <v>900</v>
      </c>
      <c r="N16" s="88">
        <v>4</v>
      </c>
      <c r="O16" s="52"/>
    </row>
    <row r="17" spans="1:15">
      <c r="A17" s="81" t="str">
        <f>'1. 소켓인수검사'!A18</f>
        <v>10</v>
      </c>
      <c r="B17" s="87" t="s">
        <v>46</v>
      </c>
      <c r="C17" s="34">
        <f>'1. 소켓인수검사'!C18</f>
        <v>1400</v>
      </c>
      <c r="D17" s="34">
        <f>'1. 소켓인수검사'!D18</f>
        <v>900</v>
      </c>
      <c r="E17" s="35"/>
      <c r="F17" s="34">
        <v>1</v>
      </c>
      <c r="G17" s="54">
        <f t="shared" si="1"/>
        <v>680</v>
      </c>
      <c r="H17" s="60">
        <f>F17*8*2</f>
        <v>16</v>
      </c>
      <c r="I17" s="96">
        <f>(D17-20)/2-10</f>
        <v>430</v>
      </c>
      <c r="J17" s="60">
        <f>F17*16</f>
        <v>16</v>
      </c>
      <c r="K17" s="55">
        <f t="shared" si="9"/>
        <v>1460</v>
      </c>
      <c r="L17" s="88">
        <v>4</v>
      </c>
      <c r="M17" s="55">
        <f t="shared" si="2"/>
        <v>900</v>
      </c>
      <c r="N17" s="88">
        <v>4</v>
      </c>
      <c r="O17" s="52"/>
    </row>
    <row r="18" spans="1:15">
      <c r="A18" s="81" t="str">
        <f>'1. 소켓인수검사'!A19</f>
        <v>11</v>
      </c>
      <c r="B18" s="87" t="s">
        <v>46</v>
      </c>
      <c r="C18" s="34">
        <f>'1. 소켓인수검사'!C19</f>
        <v>1400</v>
      </c>
      <c r="D18" s="34">
        <f>'1. 소켓인수검사'!D19</f>
        <v>900</v>
      </c>
      <c r="E18" s="35"/>
      <c r="F18" s="34">
        <v>1</v>
      </c>
      <c r="G18" s="54">
        <f t="shared" si="1"/>
        <v>680</v>
      </c>
      <c r="H18" s="60">
        <f t="shared" ref="H18:H22" si="10">F18*8*2</f>
        <v>16</v>
      </c>
      <c r="I18" s="96">
        <f>(D18-20)/2-10</f>
        <v>430</v>
      </c>
      <c r="J18" s="60">
        <f t="shared" ref="J18:J22" si="11">F18*16</f>
        <v>16</v>
      </c>
      <c r="K18" s="55">
        <f t="shared" si="9"/>
        <v>1460</v>
      </c>
      <c r="L18" s="88">
        <v>4</v>
      </c>
      <c r="M18" s="55">
        <f t="shared" si="2"/>
        <v>900</v>
      </c>
      <c r="N18" s="88">
        <v>4</v>
      </c>
      <c r="O18" s="52"/>
    </row>
    <row r="19" spans="1:15">
      <c r="A19" s="81" t="str">
        <f>'1. 소켓인수검사'!A20</f>
        <v>12</v>
      </c>
      <c r="B19" s="87" t="s">
        <v>46</v>
      </c>
      <c r="C19" s="34">
        <f>'1. 소켓인수검사'!C20</f>
        <v>1400</v>
      </c>
      <c r="D19" s="34">
        <f>'1. 소켓인수검사'!D20</f>
        <v>900</v>
      </c>
      <c r="E19" s="35"/>
      <c r="F19" s="34">
        <v>1</v>
      </c>
      <c r="G19" s="54">
        <f t="shared" si="1"/>
        <v>680</v>
      </c>
      <c r="H19" s="60">
        <f t="shared" si="10"/>
        <v>16</v>
      </c>
      <c r="I19" s="96">
        <f t="shared" ref="I19:I22" si="12">(D19-20)/2-10</f>
        <v>430</v>
      </c>
      <c r="J19" s="60">
        <f t="shared" si="11"/>
        <v>16</v>
      </c>
      <c r="K19" s="55">
        <f t="shared" si="9"/>
        <v>1460</v>
      </c>
      <c r="L19" s="88">
        <v>4</v>
      </c>
      <c r="M19" s="55">
        <f t="shared" si="2"/>
        <v>900</v>
      </c>
      <c r="N19" s="88">
        <v>4</v>
      </c>
      <c r="O19" s="52"/>
    </row>
    <row r="20" spans="1:15">
      <c r="A20" s="81" t="str">
        <f>'1. 소켓인수검사'!A21</f>
        <v>13</v>
      </c>
      <c r="B20" s="87" t="s">
        <v>46</v>
      </c>
      <c r="C20" s="34">
        <f>'1. 소켓인수검사'!C21</f>
        <v>1400</v>
      </c>
      <c r="D20" s="34">
        <f>'1. 소켓인수검사'!D21</f>
        <v>900</v>
      </c>
      <c r="E20" s="35"/>
      <c r="F20" s="34">
        <v>1</v>
      </c>
      <c r="G20" s="54">
        <f t="shared" si="1"/>
        <v>680</v>
      </c>
      <c r="H20" s="60">
        <f t="shared" si="10"/>
        <v>16</v>
      </c>
      <c r="I20" s="96">
        <f t="shared" si="12"/>
        <v>430</v>
      </c>
      <c r="J20" s="60">
        <f t="shared" si="11"/>
        <v>16</v>
      </c>
      <c r="K20" s="55">
        <f t="shared" si="9"/>
        <v>1460</v>
      </c>
      <c r="L20" s="88">
        <v>4</v>
      </c>
      <c r="M20" s="55">
        <f t="shared" si="2"/>
        <v>900</v>
      </c>
      <c r="N20" s="88">
        <v>4</v>
      </c>
      <c r="O20" s="52"/>
    </row>
    <row r="21" spans="1:15">
      <c r="A21" s="81" t="str">
        <f>'1. 소켓인수검사'!A22</f>
        <v>14</v>
      </c>
      <c r="B21" s="87" t="s">
        <v>46</v>
      </c>
      <c r="C21" s="34">
        <f>'1. 소켓인수검사'!C22</f>
        <v>1400</v>
      </c>
      <c r="D21" s="34">
        <f>'1. 소켓인수검사'!D22</f>
        <v>900</v>
      </c>
      <c r="E21" s="35"/>
      <c r="F21" s="34">
        <v>1</v>
      </c>
      <c r="G21" s="54">
        <f t="shared" si="1"/>
        <v>680</v>
      </c>
      <c r="H21" s="60">
        <f t="shared" si="10"/>
        <v>16</v>
      </c>
      <c r="I21" s="96">
        <f t="shared" si="12"/>
        <v>430</v>
      </c>
      <c r="J21" s="60">
        <f t="shared" si="11"/>
        <v>16</v>
      </c>
      <c r="K21" s="55">
        <f t="shared" si="9"/>
        <v>1460</v>
      </c>
      <c r="L21" s="88">
        <v>4</v>
      </c>
      <c r="M21" s="55">
        <f t="shared" si="2"/>
        <v>900</v>
      </c>
      <c r="N21" s="88">
        <v>4</v>
      </c>
      <c r="O21" s="52"/>
    </row>
    <row r="22" spans="1:15">
      <c r="A22" s="81" t="str">
        <f>'1. 소켓인수검사'!A23</f>
        <v>15</v>
      </c>
      <c r="B22" s="87" t="s">
        <v>46</v>
      </c>
      <c r="C22" s="34">
        <f>'1. 소켓인수검사'!C23</f>
        <v>1400</v>
      </c>
      <c r="D22" s="34">
        <f>'1. 소켓인수검사'!D23</f>
        <v>900</v>
      </c>
      <c r="E22" s="35"/>
      <c r="F22" s="34">
        <v>1</v>
      </c>
      <c r="G22" s="54">
        <f t="shared" si="1"/>
        <v>680</v>
      </c>
      <c r="H22" s="60">
        <f t="shared" si="10"/>
        <v>16</v>
      </c>
      <c r="I22" s="96">
        <f t="shared" si="12"/>
        <v>430</v>
      </c>
      <c r="J22" s="60">
        <f t="shared" si="11"/>
        <v>16</v>
      </c>
      <c r="K22" s="55">
        <f t="shared" si="9"/>
        <v>1460</v>
      </c>
      <c r="L22" s="88">
        <v>4</v>
      </c>
      <c r="M22" s="55">
        <f t="shared" si="2"/>
        <v>900</v>
      </c>
      <c r="N22" s="88">
        <v>4</v>
      </c>
      <c r="O22" s="52"/>
    </row>
    <row r="23" spans="1:15">
      <c r="A23" s="81" t="str">
        <f>'1. 소켓인수검사'!A24</f>
        <v>16</v>
      </c>
      <c r="B23" s="87" t="s">
        <v>46</v>
      </c>
      <c r="C23" s="34">
        <f>'1. 소켓인수검사'!C24</f>
        <v>1400</v>
      </c>
      <c r="D23" s="34">
        <f>'1. 소켓인수검사'!D24</f>
        <v>900</v>
      </c>
      <c r="E23" s="35"/>
      <c r="F23" s="34">
        <v>1</v>
      </c>
      <c r="G23" s="54">
        <f t="shared" si="1"/>
        <v>680</v>
      </c>
      <c r="H23" s="60">
        <f>F23*8*2</f>
        <v>16</v>
      </c>
      <c r="I23" s="96">
        <f>(D23-20)/2-10</f>
        <v>430</v>
      </c>
      <c r="J23" s="60">
        <f>F23*16</f>
        <v>16</v>
      </c>
      <c r="K23" s="55">
        <f t="shared" si="9"/>
        <v>1460</v>
      </c>
      <c r="L23" s="88">
        <v>4</v>
      </c>
      <c r="M23" s="55">
        <f t="shared" si="2"/>
        <v>900</v>
      </c>
      <c r="N23" s="88">
        <v>4</v>
      </c>
      <c r="O23" s="52"/>
    </row>
    <row r="24" spans="1:15">
      <c r="A24" s="81" t="str">
        <f>'1. 소켓인수검사'!A25</f>
        <v>17</v>
      </c>
      <c r="B24" s="87" t="s">
        <v>46</v>
      </c>
      <c r="C24" s="34">
        <f>'1. 소켓인수검사'!C25</f>
        <v>1400</v>
      </c>
      <c r="D24" s="34">
        <f>'1. 소켓인수검사'!D25</f>
        <v>900</v>
      </c>
      <c r="E24" s="35"/>
      <c r="F24" s="34">
        <v>1</v>
      </c>
      <c r="G24" s="54">
        <f t="shared" si="1"/>
        <v>680</v>
      </c>
      <c r="H24" s="60">
        <f>F24*8*2</f>
        <v>16</v>
      </c>
      <c r="I24" s="96">
        <f>(D24-20)/2-10</f>
        <v>430</v>
      </c>
      <c r="J24" s="60">
        <f>F24*16</f>
        <v>16</v>
      </c>
      <c r="K24" s="55">
        <f t="shared" si="9"/>
        <v>1460</v>
      </c>
      <c r="L24" s="88">
        <v>4</v>
      </c>
      <c r="M24" s="55">
        <f t="shared" si="2"/>
        <v>900</v>
      </c>
      <c r="N24" s="88">
        <v>4</v>
      </c>
      <c r="O24" s="52"/>
    </row>
    <row r="25" spans="1:15">
      <c r="A25" s="81" t="str">
        <f>'1. 소켓인수검사'!A26</f>
        <v>18</v>
      </c>
      <c r="B25" s="87" t="s">
        <v>46</v>
      </c>
      <c r="C25" s="34">
        <f>'1. 소켓인수검사'!C26</f>
        <v>1400</v>
      </c>
      <c r="D25" s="34">
        <f>'1. 소켓인수검사'!D26</f>
        <v>900</v>
      </c>
      <c r="E25" s="35"/>
      <c r="F25" s="34">
        <v>1</v>
      </c>
      <c r="G25" s="54">
        <f t="shared" si="1"/>
        <v>680</v>
      </c>
      <c r="H25" s="60">
        <f t="shared" ref="H25:H31" si="13">F25*8*2</f>
        <v>16</v>
      </c>
      <c r="I25" s="96">
        <f>(D25-20)/2-10</f>
        <v>430</v>
      </c>
      <c r="J25" s="60">
        <f t="shared" ref="J25:J31" si="14">F25*16</f>
        <v>16</v>
      </c>
      <c r="K25" s="55">
        <f t="shared" si="9"/>
        <v>1460</v>
      </c>
      <c r="L25" s="88">
        <v>4</v>
      </c>
      <c r="M25" s="55">
        <f t="shared" si="2"/>
        <v>900</v>
      </c>
      <c r="N25" s="88">
        <v>4</v>
      </c>
      <c r="O25" s="52"/>
    </row>
    <row r="26" spans="1:15">
      <c r="A26" s="81" t="str">
        <f>'1. 소켓인수검사'!A27</f>
        <v>19</v>
      </c>
      <c r="B26" s="87" t="s">
        <v>46</v>
      </c>
      <c r="C26" s="34">
        <f>'1. 소켓인수검사'!C27</f>
        <v>1400</v>
      </c>
      <c r="D26" s="34">
        <f>'1. 소켓인수검사'!D27</f>
        <v>900</v>
      </c>
      <c r="E26" s="35"/>
      <c r="F26" s="34">
        <v>1</v>
      </c>
      <c r="G26" s="54">
        <f t="shared" si="1"/>
        <v>680</v>
      </c>
      <c r="H26" s="60">
        <f t="shared" si="13"/>
        <v>16</v>
      </c>
      <c r="I26" s="96">
        <f t="shared" ref="I26:I31" si="15">(D26-20)/2-10</f>
        <v>430</v>
      </c>
      <c r="J26" s="60">
        <f t="shared" si="14"/>
        <v>16</v>
      </c>
      <c r="K26" s="55">
        <f t="shared" si="9"/>
        <v>1460</v>
      </c>
      <c r="L26" s="88">
        <v>4</v>
      </c>
      <c r="M26" s="55">
        <f t="shared" si="2"/>
        <v>900</v>
      </c>
      <c r="N26" s="88">
        <v>4</v>
      </c>
      <c r="O26" s="52"/>
    </row>
    <row r="27" spans="1:15">
      <c r="A27" s="81" t="str">
        <f>'1. 소켓인수검사'!A28</f>
        <v>20</v>
      </c>
      <c r="B27" s="87" t="s">
        <v>46</v>
      </c>
      <c r="C27" s="34">
        <f>'1. 소켓인수검사'!C28</f>
        <v>1400</v>
      </c>
      <c r="D27" s="34">
        <f>'1. 소켓인수검사'!D28</f>
        <v>900</v>
      </c>
      <c r="E27" s="35"/>
      <c r="F27" s="34">
        <v>1</v>
      </c>
      <c r="G27" s="54">
        <f t="shared" si="1"/>
        <v>680</v>
      </c>
      <c r="H27" s="60">
        <f t="shared" si="13"/>
        <v>16</v>
      </c>
      <c r="I27" s="96">
        <f t="shared" si="15"/>
        <v>430</v>
      </c>
      <c r="J27" s="60">
        <f t="shared" si="14"/>
        <v>16</v>
      </c>
      <c r="K27" s="55">
        <f t="shared" si="9"/>
        <v>1460</v>
      </c>
      <c r="L27" s="88">
        <v>4</v>
      </c>
      <c r="M27" s="55">
        <f t="shared" si="2"/>
        <v>900</v>
      </c>
      <c r="N27" s="88">
        <v>4</v>
      </c>
      <c r="O27" s="52"/>
    </row>
    <row r="28" spans="1:15">
      <c r="A28" s="81" t="str">
        <f>'1. 소켓인수검사'!A29</f>
        <v>21</v>
      </c>
      <c r="B28" s="87" t="s">
        <v>46</v>
      </c>
      <c r="C28" s="34">
        <f>'1. 소켓인수검사'!C29</f>
        <v>1600</v>
      </c>
      <c r="D28" s="34">
        <f>'1. 소켓인수검사'!D29</f>
        <v>950</v>
      </c>
      <c r="E28" s="35"/>
      <c r="F28" s="34">
        <v>1</v>
      </c>
      <c r="G28" s="54">
        <f t="shared" si="1"/>
        <v>780</v>
      </c>
      <c r="H28" s="60">
        <f t="shared" si="13"/>
        <v>16</v>
      </c>
      <c r="I28" s="96">
        <f t="shared" si="15"/>
        <v>455</v>
      </c>
      <c r="J28" s="60">
        <f t="shared" si="14"/>
        <v>16</v>
      </c>
      <c r="K28" s="55">
        <f t="shared" si="9"/>
        <v>1660</v>
      </c>
      <c r="L28" s="88">
        <v>4</v>
      </c>
      <c r="M28" s="55">
        <f t="shared" si="2"/>
        <v>950</v>
      </c>
      <c r="N28" s="88">
        <v>4</v>
      </c>
      <c r="O28" s="52"/>
    </row>
    <row r="29" spans="1:15">
      <c r="A29" s="81" t="str">
        <f>'1. 소켓인수검사'!A30</f>
        <v>22</v>
      </c>
      <c r="B29" s="87" t="s">
        <v>46</v>
      </c>
      <c r="C29" s="34">
        <f>'1. 소켓인수검사'!C30</f>
        <v>1600</v>
      </c>
      <c r="D29" s="34">
        <f>'1. 소켓인수검사'!D30</f>
        <v>950</v>
      </c>
      <c r="E29" s="35"/>
      <c r="F29" s="34">
        <v>1</v>
      </c>
      <c r="G29" s="54">
        <f t="shared" si="1"/>
        <v>780</v>
      </c>
      <c r="H29" s="60">
        <f t="shared" si="13"/>
        <v>16</v>
      </c>
      <c r="I29" s="96">
        <f t="shared" si="15"/>
        <v>455</v>
      </c>
      <c r="J29" s="60">
        <f t="shared" si="14"/>
        <v>16</v>
      </c>
      <c r="K29" s="55">
        <f t="shared" si="9"/>
        <v>1660</v>
      </c>
      <c r="L29" s="88">
        <v>4</v>
      </c>
      <c r="M29" s="55">
        <f t="shared" si="2"/>
        <v>950</v>
      </c>
      <c r="N29" s="88">
        <v>4</v>
      </c>
      <c r="O29" s="52"/>
    </row>
    <row r="30" spans="1:15">
      <c r="A30" s="81" t="str">
        <f>'1. 소켓인수검사'!A31</f>
        <v>23</v>
      </c>
      <c r="B30" s="87" t="s">
        <v>46</v>
      </c>
      <c r="C30" s="34">
        <f>'1. 소켓인수검사'!C31</f>
        <v>1600</v>
      </c>
      <c r="D30" s="34">
        <f>'1. 소켓인수검사'!D31</f>
        <v>950</v>
      </c>
      <c r="E30" s="35"/>
      <c r="F30" s="34">
        <v>1</v>
      </c>
      <c r="G30" s="54">
        <f t="shared" si="1"/>
        <v>780</v>
      </c>
      <c r="H30" s="60">
        <f t="shared" si="13"/>
        <v>16</v>
      </c>
      <c r="I30" s="96">
        <f t="shared" si="15"/>
        <v>455</v>
      </c>
      <c r="J30" s="60">
        <f t="shared" si="14"/>
        <v>16</v>
      </c>
      <c r="K30" s="55">
        <f t="shared" si="9"/>
        <v>1660</v>
      </c>
      <c r="L30" s="88">
        <v>4</v>
      </c>
      <c r="M30" s="55">
        <f t="shared" si="2"/>
        <v>950</v>
      </c>
      <c r="N30" s="88">
        <v>4</v>
      </c>
      <c r="O30" s="52"/>
    </row>
    <row r="31" spans="1:15">
      <c r="A31" s="81" t="str">
        <f>'1. 소켓인수검사'!A32</f>
        <v>24</v>
      </c>
      <c r="B31" s="87" t="s">
        <v>46</v>
      </c>
      <c r="C31" s="34">
        <f>'1. 소켓인수검사'!C32</f>
        <v>1600</v>
      </c>
      <c r="D31" s="34">
        <f>'1. 소켓인수검사'!D32</f>
        <v>950</v>
      </c>
      <c r="E31" s="35"/>
      <c r="F31" s="34">
        <v>1</v>
      </c>
      <c r="G31" s="54">
        <f t="shared" si="1"/>
        <v>780</v>
      </c>
      <c r="H31" s="60">
        <f t="shared" si="13"/>
        <v>16</v>
      </c>
      <c r="I31" s="96">
        <f t="shared" si="15"/>
        <v>455</v>
      </c>
      <c r="J31" s="60">
        <f t="shared" si="14"/>
        <v>16</v>
      </c>
      <c r="K31" s="55">
        <f t="shared" si="9"/>
        <v>1660</v>
      </c>
      <c r="L31" s="88">
        <v>4</v>
      </c>
      <c r="M31" s="55">
        <f t="shared" si="2"/>
        <v>950</v>
      </c>
      <c r="N31" s="88">
        <v>4</v>
      </c>
      <c r="O31" s="52"/>
    </row>
    <row r="32" spans="1:15">
      <c r="A32" s="81" t="str">
        <f>'1. 소켓인수검사'!A33</f>
        <v>25</v>
      </c>
      <c r="B32" s="87" t="s">
        <v>46</v>
      </c>
      <c r="C32" s="34">
        <f>'1. 소켓인수검사'!C33</f>
        <v>1600</v>
      </c>
      <c r="D32" s="34">
        <f>'1. 소켓인수검사'!D33</f>
        <v>950</v>
      </c>
      <c r="E32" s="35"/>
      <c r="F32" s="34">
        <v>1</v>
      </c>
      <c r="G32" s="54">
        <f t="shared" si="1"/>
        <v>780</v>
      </c>
      <c r="H32" s="60">
        <f>F32*8*2</f>
        <v>16</v>
      </c>
      <c r="I32" s="96">
        <f>(D32-20)/2-10</f>
        <v>455</v>
      </c>
      <c r="J32" s="60">
        <f>F32*16</f>
        <v>16</v>
      </c>
      <c r="K32" s="55">
        <f t="shared" si="9"/>
        <v>1660</v>
      </c>
      <c r="L32" s="88">
        <v>4</v>
      </c>
      <c r="M32" s="55">
        <f t="shared" si="2"/>
        <v>950</v>
      </c>
      <c r="N32" s="88">
        <v>4</v>
      </c>
      <c r="O32" s="52"/>
    </row>
    <row r="33" spans="1:15">
      <c r="A33" s="81" t="str">
        <f>'1. 소켓인수검사'!A34</f>
        <v>26</v>
      </c>
      <c r="B33" s="87" t="s">
        <v>46</v>
      </c>
      <c r="C33" s="34">
        <f>'1. 소켓인수검사'!C34</f>
        <v>1600</v>
      </c>
      <c r="D33" s="34">
        <f>'1. 소켓인수검사'!D34</f>
        <v>950</v>
      </c>
      <c r="E33" s="35"/>
      <c r="F33" s="34">
        <v>1</v>
      </c>
      <c r="G33" s="54">
        <f t="shared" si="1"/>
        <v>780</v>
      </c>
      <c r="H33" s="60">
        <f>F33*8*2</f>
        <v>16</v>
      </c>
      <c r="I33" s="96">
        <f>(D33-20)/2-10</f>
        <v>455</v>
      </c>
      <c r="J33" s="60">
        <f>F33*16</f>
        <v>16</v>
      </c>
      <c r="K33" s="55">
        <f t="shared" si="9"/>
        <v>1660</v>
      </c>
      <c r="L33" s="88">
        <v>4</v>
      </c>
      <c r="M33" s="55">
        <f t="shared" si="2"/>
        <v>950</v>
      </c>
      <c r="N33" s="88">
        <v>4</v>
      </c>
      <c r="O33" s="52"/>
    </row>
    <row r="34" spans="1:15">
      <c r="A34" s="81" t="str">
        <f>'1. 소켓인수검사'!A35</f>
        <v>27</v>
      </c>
      <c r="B34" s="87" t="s">
        <v>46</v>
      </c>
      <c r="C34" s="34">
        <f>'1. 소켓인수검사'!C35</f>
        <v>1600</v>
      </c>
      <c r="D34" s="34">
        <f>'1. 소켓인수검사'!D35</f>
        <v>950</v>
      </c>
      <c r="E34" s="35"/>
      <c r="F34" s="34">
        <v>1</v>
      </c>
      <c r="G34" s="54">
        <f t="shared" si="1"/>
        <v>780</v>
      </c>
      <c r="H34" s="60">
        <f t="shared" si="3"/>
        <v>16</v>
      </c>
      <c r="I34" s="96">
        <f t="shared" si="5"/>
        <v>455</v>
      </c>
      <c r="J34" s="60">
        <f t="shared" si="4"/>
        <v>16</v>
      </c>
      <c r="K34" s="55">
        <f t="shared" si="0"/>
        <v>1660</v>
      </c>
      <c r="L34" s="88">
        <v>4</v>
      </c>
      <c r="M34" s="55">
        <f t="shared" si="2"/>
        <v>950</v>
      </c>
      <c r="N34" s="88">
        <v>4</v>
      </c>
      <c r="O34" s="52"/>
    </row>
    <row r="35" spans="1:15">
      <c r="A35" s="81" t="str">
        <f>'1. 소켓인수검사'!A36</f>
        <v>28</v>
      </c>
      <c r="B35" s="87" t="s">
        <v>46</v>
      </c>
      <c r="C35" s="34">
        <f>'1. 소켓인수검사'!C36</f>
        <v>1600</v>
      </c>
      <c r="D35" s="34">
        <f>'1. 소켓인수검사'!D36</f>
        <v>950</v>
      </c>
      <c r="E35" s="35"/>
      <c r="F35" s="34">
        <v>1</v>
      </c>
      <c r="G35" s="54">
        <f t="shared" si="1"/>
        <v>780</v>
      </c>
      <c r="H35" s="60">
        <f t="shared" ref="H35:H37" si="16">F35*8*2</f>
        <v>16</v>
      </c>
      <c r="I35" s="96">
        <f t="shared" ref="I35:I37" si="17">(D35-20)/2-10</f>
        <v>455</v>
      </c>
      <c r="J35" s="60">
        <f t="shared" ref="J35:J37" si="18">F35*16</f>
        <v>16</v>
      </c>
      <c r="K35" s="55">
        <f t="shared" ref="K35:K37" si="19">C35+60</f>
        <v>1660</v>
      </c>
      <c r="L35" s="88">
        <v>4</v>
      </c>
      <c r="M35" s="55">
        <f t="shared" si="2"/>
        <v>950</v>
      </c>
      <c r="N35" s="88">
        <v>4</v>
      </c>
      <c r="O35" s="52"/>
    </row>
    <row r="36" spans="1:15">
      <c r="A36" s="81" t="str">
        <f>'1. 소켓인수검사'!A37</f>
        <v>29</v>
      </c>
      <c r="B36" s="87" t="s">
        <v>46</v>
      </c>
      <c r="C36" s="34">
        <f>'1. 소켓인수검사'!C37</f>
        <v>1600</v>
      </c>
      <c r="D36" s="34">
        <f>'1. 소켓인수검사'!D37</f>
        <v>950</v>
      </c>
      <c r="E36" s="35"/>
      <c r="F36" s="34">
        <v>1</v>
      </c>
      <c r="G36" s="54">
        <f t="shared" si="1"/>
        <v>780</v>
      </c>
      <c r="H36" s="60">
        <f t="shared" si="16"/>
        <v>16</v>
      </c>
      <c r="I36" s="96">
        <f t="shared" si="17"/>
        <v>455</v>
      </c>
      <c r="J36" s="60">
        <f t="shared" si="18"/>
        <v>16</v>
      </c>
      <c r="K36" s="55">
        <f t="shared" si="19"/>
        <v>1660</v>
      </c>
      <c r="L36" s="88">
        <v>4</v>
      </c>
      <c r="M36" s="55">
        <f t="shared" si="2"/>
        <v>950</v>
      </c>
      <c r="N36" s="88">
        <v>4</v>
      </c>
      <c r="O36" s="52"/>
    </row>
    <row r="37" spans="1:15">
      <c r="A37" s="81" t="str">
        <f>'1. 소켓인수검사'!A38</f>
        <v>30</v>
      </c>
      <c r="B37" s="87" t="s">
        <v>46</v>
      </c>
      <c r="C37" s="34">
        <f>'1. 소켓인수검사'!C38</f>
        <v>1600</v>
      </c>
      <c r="D37" s="34">
        <f>'1. 소켓인수검사'!D38</f>
        <v>950</v>
      </c>
      <c r="E37" s="35"/>
      <c r="F37" s="34">
        <v>1</v>
      </c>
      <c r="G37" s="54">
        <f t="shared" si="1"/>
        <v>780</v>
      </c>
      <c r="H37" s="60">
        <f t="shared" si="16"/>
        <v>16</v>
      </c>
      <c r="I37" s="96">
        <f t="shared" si="17"/>
        <v>455</v>
      </c>
      <c r="J37" s="60">
        <f t="shared" si="18"/>
        <v>16</v>
      </c>
      <c r="K37" s="55">
        <f t="shared" si="19"/>
        <v>1660</v>
      </c>
      <c r="L37" s="88">
        <v>4</v>
      </c>
      <c r="M37" s="55">
        <f t="shared" si="2"/>
        <v>950</v>
      </c>
      <c r="N37" s="88">
        <v>4</v>
      </c>
      <c r="O37" s="52"/>
    </row>
    <row r="38" spans="1:15">
      <c r="A38" s="81" t="str">
        <f>'1. 소켓인수검사'!A39</f>
        <v>31</v>
      </c>
      <c r="B38" s="87" t="s">
        <v>46</v>
      </c>
      <c r="C38" s="34">
        <v>2800</v>
      </c>
      <c r="D38" s="34">
        <f>'1. 소켓인수검사'!D39</f>
        <v>1000</v>
      </c>
      <c r="E38" s="35"/>
      <c r="F38" s="34">
        <v>1</v>
      </c>
      <c r="G38" s="101">
        <f t="shared" si="1"/>
        <v>1380</v>
      </c>
      <c r="H38" s="60">
        <f>F38*8*2</f>
        <v>16</v>
      </c>
      <c r="I38" s="96">
        <f>(D38-20)/2-10</f>
        <v>480</v>
      </c>
      <c r="J38" s="60">
        <f>F38*16</f>
        <v>16</v>
      </c>
      <c r="K38" s="55">
        <v>2860</v>
      </c>
      <c r="L38" s="88">
        <v>4</v>
      </c>
      <c r="M38" s="55">
        <f t="shared" si="2"/>
        <v>1000</v>
      </c>
      <c r="N38" s="88">
        <v>4</v>
      </c>
      <c r="O38" s="99" t="s">
        <v>151</v>
      </c>
    </row>
    <row r="39" spans="1:15">
      <c r="A39" s="81" t="str">
        <f>'1. 소켓인수검사'!A40</f>
        <v>32</v>
      </c>
      <c r="B39" s="87" t="s">
        <v>46</v>
      </c>
      <c r="C39" s="34">
        <v>2800</v>
      </c>
      <c r="D39" s="34">
        <f>'1. 소켓인수검사'!D40</f>
        <v>1000</v>
      </c>
      <c r="E39" s="35"/>
      <c r="F39" s="34">
        <v>1</v>
      </c>
      <c r="G39" s="101">
        <f t="shared" si="1"/>
        <v>1380</v>
      </c>
      <c r="H39" s="60">
        <f>F39*8*2</f>
        <v>16</v>
      </c>
      <c r="I39" s="96">
        <f>(D39-20)/2-10</f>
        <v>480</v>
      </c>
      <c r="J39" s="60">
        <f>F39*16</f>
        <v>16</v>
      </c>
      <c r="K39" s="55">
        <v>2860</v>
      </c>
      <c r="L39" s="88">
        <v>4</v>
      </c>
      <c r="M39" s="55">
        <f t="shared" si="2"/>
        <v>1000</v>
      </c>
      <c r="N39" s="88">
        <v>4</v>
      </c>
      <c r="O39" s="99" t="s">
        <v>151</v>
      </c>
    </row>
    <row r="40" spans="1:15">
      <c r="A40" s="81" t="str">
        <f>'1. 소켓인수검사'!A41</f>
        <v>33</v>
      </c>
      <c r="B40" s="87" t="s">
        <v>46</v>
      </c>
      <c r="C40" s="34">
        <v>2800</v>
      </c>
      <c r="D40" s="34">
        <f>'1. 소켓인수검사'!D41</f>
        <v>1000</v>
      </c>
      <c r="E40" s="35"/>
      <c r="F40" s="34">
        <v>1</v>
      </c>
      <c r="G40" s="101">
        <f t="shared" si="1"/>
        <v>1380</v>
      </c>
      <c r="H40" s="60">
        <f t="shared" ref="H40:H42" si="20">F40*8*2</f>
        <v>16</v>
      </c>
      <c r="I40" s="96">
        <f>(D40-20)/2-10</f>
        <v>480</v>
      </c>
      <c r="J40" s="60">
        <f t="shared" ref="J40:J42" si="21">F40*16</f>
        <v>16</v>
      </c>
      <c r="K40" s="55">
        <v>2860</v>
      </c>
      <c r="L40" s="88">
        <v>4</v>
      </c>
      <c r="M40" s="55">
        <f t="shared" si="2"/>
        <v>1000</v>
      </c>
      <c r="N40" s="88">
        <v>4</v>
      </c>
      <c r="O40" s="99" t="s">
        <v>150</v>
      </c>
    </row>
    <row r="41" spans="1:15">
      <c r="A41" s="81" t="str">
        <f>'1. 소켓인수검사'!A42</f>
        <v>34</v>
      </c>
      <c r="B41" s="87" t="s">
        <v>46</v>
      </c>
      <c r="C41" s="34">
        <v>2800</v>
      </c>
      <c r="D41" s="34">
        <f>'1. 소켓인수검사'!D42</f>
        <v>1000</v>
      </c>
      <c r="E41" s="35"/>
      <c r="F41" s="34">
        <v>1</v>
      </c>
      <c r="G41" s="101">
        <f t="shared" si="1"/>
        <v>1380</v>
      </c>
      <c r="H41" s="60">
        <f t="shared" si="20"/>
        <v>16</v>
      </c>
      <c r="I41" s="96">
        <f t="shared" ref="I41:I42" si="22">(D41-20)/2-10</f>
        <v>480</v>
      </c>
      <c r="J41" s="60">
        <f t="shared" si="21"/>
        <v>16</v>
      </c>
      <c r="K41" s="55">
        <v>2860</v>
      </c>
      <c r="L41" s="88">
        <v>4</v>
      </c>
      <c r="M41" s="55">
        <f t="shared" si="2"/>
        <v>1000</v>
      </c>
      <c r="N41" s="88">
        <v>4</v>
      </c>
      <c r="O41" s="99" t="s">
        <v>150</v>
      </c>
    </row>
    <row r="42" spans="1:15">
      <c r="A42" s="81" t="str">
        <f>'1. 소켓인수검사'!A43</f>
        <v>35</v>
      </c>
      <c r="B42" s="87" t="s">
        <v>46</v>
      </c>
      <c r="C42" s="34">
        <v>2800</v>
      </c>
      <c r="D42" s="34">
        <f>'1. 소켓인수검사'!D43</f>
        <v>1000</v>
      </c>
      <c r="E42" s="35"/>
      <c r="F42" s="34">
        <v>1</v>
      </c>
      <c r="G42" s="101">
        <f t="shared" si="1"/>
        <v>1380</v>
      </c>
      <c r="H42" s="60">
        <f t="shared" si="20"/>
        <v>16</v>
      </c>
      <c r="I42" s="96">
        <f t="shared" si="22"/>
        <v>480</v>
      </c>
      <c r="J42" s="60">
        <f t="shared" si="21"/>
        <v>16</v>
      </c>
      <c r="K42" s="55">
        <v>2860</v>
      </c>
      <c r="L42" s="88">
        <v>4</v>
      </c>
      <c r="M42" s="55">
        <f t="shared" si="2"/>
        <v>1000</v>
      </c>
      <c r="N42" s="88">
        <v>4</v>
      </c>
      <c r="O42" s="99" t="s">
        <v>150</v>
      </c>
    </row>
    <row r="43" spans="1:15">
      <c r="A43" s="135"/>
      <c r="B43" s="136"/>
      <c r="C43" s="136"/>
      <c r="D43" s="89"/>
      <c r="E43" s="90"/>
      <c r="F43" s="90"/>
      <c r="G43" s="91"/>
      <c r="H43" s="56">
        <f>SUM(H8:H42)</f>
        <v>560</v>
      </c>
      <c r="I43" s="91"/>
      <c r="J43" s="56">
        <f>SUM(J8:J42)</f>
        <v>560</v>
      </c>
      <c r="K43" s="89"/>
      <c r="L43" s="56">
        <f>SUM(L8:L42)</f>
        <v>140</v>
      </c>
      <c r="M43" s="89"/>
      <c r="N43" s="56">
        <f>SUM(N8:N42)</f>
        <v>140</v>
      </c>
      <c r="O43" s="57"/>
    </row>
    <row r="44" spans="1:15" ht="8.1" customHeight="1">
      <c r="A44" s="126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8"/>
      <c r="O44" s="4"/>
    </row>
    <row r="45" spans="1:15">
      <c r="A45" s="1" t="s">
        <v>15</v>
      </c>
      <c r="B45" s="1"/>
      <c r="C45" s="1"/>
      <c r="D45" s="126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8"/>
    </row>
    <row r="46" spans="1:15">
      <c r="A46" s="1"/>
      <c r="B46" s="1"/>
      <c r="C46" s="1"/>
      <c r="D46" s="129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1"/>
    </row>
    <row r="47" spans="1:15">
      <c r="A47" s="1"/>
      <c r="B47" s="1"/>
      <c r="C47" s="1"/>
      <c r="D47" s="129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1"/>
    </row>
    <row r="48" spans="1:15">
      <c r="A48" s="1"/>
      <c r="B48" s="1"/>
      <c r="C48" s="1"/>
      <c r="D48" s="129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1"/>
    </row>
    <row r="49" spans="1:15">
      <c r="A49" s="1"/>
      <c r="B49" s="1"/>
      <c r="C49" s="1"/>
      <c r="D49" s="129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1"/>
    </row>
    <row r="50" spans="1:15">
      <c r="A50" s="1"/>
      <c r="B50" s="1"/>
      <c r="C50" s="1"/>
      <c r="D50" s="132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4"/>
    </row>
  </sheetData>
  <mergeCells count="22"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  <mergeCell ref="K6:L6"/>
    <mergeCell ref="M6:N6"/>
    <mergeCell ref="A45:C50"/>
    <mergeCell ref="D45:O50"/>
    <mergeCell ref="A43:C43"/>
    <mergeCell ref="A44:N44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45"/>
  <sheetViews>
    <sheetView topLeftCell="A27" zoomScaleNormal="100" zoomScaleSheetLayoutView="100" workbookViewId="0">
      <selection activeCell="C41" sqref="C41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"/>
      <c r="B1" s="1"/>
      <c r="C1" s="1"/>
      <c r="D1" s="1"/>
      <c r="E1" s="167" t="s">
        <v>106</v>
      </c>
      <c r="F1" s="168"/>
      <c r="G1" s="173" t="str">
        <f>'1. 소켓인수검사'!R2</f>
        <v>26.06.05 엘티엔지니어링_신세계건설_대현기건(주)_트레이더스 의정부</v>
      </c>
      <c r="H1" s="173"/>
      <c r="I1" s="173"/>
      <c r="J1" s="173"/>
      <c r="K1" s="174"/>
    </row>
    <row r="2" spans="1:11" ht="16.5" customHeight="1">
      <c r="A2" s="1"/>
      <c r="B2" s="1"/>
      <c r="C2" s="1"/>
      <c r="D2" s="1"/>
      <c r="E2" s="169"/>
      <c r="F2" s="170"/>
      <c r="G2" s="175"/>
      <c r="H2" s="175"/>
      <c r="I2" s="175"/>
      <c r="J2" s="175"/>
      <c r="K2" s="176"/>
    </row>
    <row r="3" spans="1:11" ht="16.5" customHeight="1">
      <c r="A3" s="1"/>
      <c r="B3" s="1"/>
      <c r="C3" s="1"/>
      <c r="D3" s="1"/>
      <c r="E3" s="171"/>
      <c r="F3" s="172"/>
      <c r="G3" s="177"/>
      <c r="H3" s="177"/>
      <c r="I3" s="177"/>
      <c r="J3" s="177"/>
      <c r="K3" s="178"/>
    </row>
    <row r="4" spans="1:11" ht="8.1" customHeight="1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</row>
    <row r="5" spans="1:11" ht="26.45" customHeight="1">
      <c r="A5" s="157" t="s">
        <v>56</v>
      </c>
      <c r="B5" s="158" t="s">
        <v>66</v>
      </c>
      <c r="C5" s="161" t="s">
        <v>4</v>
      </c>
      <c r="D5" s="161"/>
      <c r="E5" s="161" t="s">
        <v>24</v>
      </c>
      <c r="F5" s="162" t="s">
        <v>54</v>
      </c>
      <c r="G5" s="165" t="s">
        <v>34</v>
      </c>
      <c r="H5" s="166"/>
      <c r="I5" s="166"/>
      <c r="J5" s="166"/>
      <c r="K5" s="162" t="s">
        <v>2</v>
      </c>
    </row>
    <row r="6" spans="1:11" ht="16.5" customHeight="1">
      <c r="A6" s="157"/>
      <c r="B6" s="159"/>
      <c r="C6" s="161" t="s">
        <v>63</v>
      </c>
      <c r="D6" s="161" t="s">
        <v>61</v>
      </c>
      <c r="E6" s="161"/>
      <c r="F6" s="163"/>
      <c r="G6" s="161" t="s">
        <v>65</v>
      </c>
      <c r="H6" s="161"/>
      <c r="I6" s="165" t="s">
        <v>62</v>
      </c>
      <c r="J6" s="166"/>
      <c r="K6" s="163"/>
    </row>
    <row r="7" spans="1:11">
      <c r="A7" s="157"/>
      <c r="B7" s="160"/>
      <c r="C7" s="161"/>
      <c r="D7" s="161"/>
      <c r="E7" s="161"/>
      <c r="F7" s="164"/>
      <c r="G7" s="16" t="s">
        <v>4</v>
      </c>
      <c r="H7" s="16" t="s">
        <v>54</v>
      </c>
      <c r="I7" s="16" t="s">
        <v>4</v>
      </c>
      <c r="J7" s="17" t="s">
        <v>54</v>
      </c>
      <c r="K7" s="164"/>
    </row>
    <row r="8" spans="1:11">
      <c r="A8" s="82" t="str">
        <f>'1. 소켓인수검사'!A9</f>
        <v>01</v>
      </c>
      <c r="B8" s="53" t="s">
        <v>46</v>
      </c>
      <c r="C8" s="34">
        <f>'1. 소켓인수검사'!C9</f>
        <v>1250</v>
      </c>
      <c r="D8" s="34">
        <f>'1. 소켓인수검사'!D9</f>
        <v>950</v>
      </c>
      <c r="E8" s="44"/>
      <c r="F8" s="43">
        <v>1</v>
      </c>
      <c r="G8" s="83">
        <f t="shared" ref="G8:G42" si="0">C8+60</f>
        <v>1310</v>
      </c>
      <c r="H8" s="43">
        <v>2</v>
      </c>
      <c r="I8" s="83">
        <f t="shared" ref="I8:I42" si="1">D8</f>
        <v>950</v>
      </c>
      <c r="J8" s="43">
        <v>2</v>
      </c>
      <c r="K8" s="84"/>
    </row>
    <row r="9" spans="1:11">
      <c r="A9" s="82" t="str">
        <f>'1. 소켓인수검사'!A10</f>
        <v>02</v>
      </c>
      <c r="B9" s="53" t="s">
        <v>46</v>
      </c>
      <c r="C9" s="34">
        <f>'1. 소켓인수검사'!C10</f>
        <v>1250</v>
      </c>
      <c r="D9" s="34">
        <f>'1. 소켓인수검사'!D10</f>
        <v>950</v>
      </c>
      <c r="E9" s="44"/>
      <c r="F9" s="43">
        <v>1</v>
      </c>
      <c r="G9" s="83">
        <f t="shared" si="0"/>
        <v>1310</v>
      </c>
      <c r="H9" s="43">
        <v>2</v>
      </c>
      <c r="I9" s="83">
        <f t="shared" si="1"/>
        <v>950</v>
      </c>
      <c r="J9" s="43">
        <v>2</v>
      </c>
      <c r="K9" s="84"/>
    </row>
    <row r="10" spans="1:11">
      <c r="A10" s="82" t="str">
        <f>'1. 소켓인수검사'!A11</f>
        <v>03</v>
      </c>
      <c r="B10" s="53" t="s">
        <v>46</v>
      </c>
      <c r="C10" s="34">
        <f>'1. 소켓인수검사'!C11</f>
        <v>1250</v>
      </c>
      <c r="D10" s="34">
        <f>'1. 소켓인수검사'!D11</f>
        <v>950</v>
      </c>
      <c r="E10" s="44"/>
      <c r="F10" s="43">
        <v>1</v>
      </c>
      <c r="G10" s="83">
        <f t="shared" si="0"/>
        <v>1310</v>
      </c>
      <c r="H10" s="43">
        <v>2</v>
      </c>
      <c r="I10" s="83">
        <f t="shared" si="1"/>
        <v>950</v>
      </c>
      <c r="J10" s="43">
        <v>2</v>
      </c>
      <c r="K10" s="84"/>
    </row>
    <row r="11" spans="1:11">
      <c r="A11" s="82" t="str">
        <f>'1. 소켓인수검사'!A12</f>
        <v>04</v>
      </c>
      <c r="B11" s="53" t="s">
        <v>46</v>
      </c>
      <c r="C11" s="34">
        <f>'1. 소켓인수검사'!C12</f>
        <v>1250</v>
      </c>
      <c r="D11" s="34">
        <f>'1. 소켓인수검사'!D12</f>
        <v>950</v>
      </c>
      <c r="E11" s="44"/>
      <c r="F11" s="43">
        <v>1</v>
      </c>
      <c r="G11" s="83">
        <f t="shared" si="0"/>
        <v>1310</v>
      </c>
      <c r="H11" s="43">
        <v>2</v>
      </c>
      <c r="I11" s="83">
        <f t="shared" si="1"/>
        <v>950</v>
      </c>
      <c r="J11" s="43">
        <v>2</v>
      </c>
      <c r="K11" s="84"/>
    </row>
    <row r="12" spans="1:11">
      <c r="A12" s="82" t="str">
        <f>'1. 소켓인수검사'!A13</f>
        <v>05</v>
      </c>
      <c r="B12" s="53" t="s">
        <v>46</v>
      </c>
      <c r="C12" s="34">
        <f>'1. 소켓인수검사'!C13</f>
        <v>1250</v>
      </c>
      <c r="D12" s="34">
        <f>'1. 소켓인수검사'!D13</f>
        <v>950</v>
      </c>
      <c r="E12" s="44"/>
      <c r="F12" s="43">
        <v>1</v>
      </c>
      <c r="G12" s="83">
        <f t="shared" si="0"/>
        <v>1310</v>
      </c>
      <c r="H12" s="43">
        <v>2</v>
      </c>
      <c r="I12" s="83">
        <f t="shared" si="1"/>
        <v>950</v>
      </c>
      <c r="J12" s="43">
        <v>2</v>
      </c>
      <c r="K12" s="84"/>
    </row>
    <row r="13" spans="1:11">
      <c r="A13" s="82" t="str">
        <f>'1. 소켓인수검사'!A14</f>
        <v>06</v>
      </c>
      <c r="B13" s="53" t="s">
        <v>46</v>
      </c>
      <c r="C13" s="34">
        <f>'1. 소켓인수검사'!C14</f>
        <v>1400</v>
      </c>
      <c r="D13" s="34">
        <f>'1. 소켓인수검사'!D14</f>
        <v>900</v>
      </c>
      <c r="E13" s="44"/>
      <c r="F13" s="43">
        <v>1</v>
      </c>
      <c r="G13" s="83">
        <f t="shared" si="0"/>
        <v>1460</v>
      </c>
      <c r="H13" s="43">
        <v>2</v>
      </c>
      <c r="I13" s="83">
        <f t="shared" si="1"/>
        <v>900</v>
      </c>
      <c r="J13" s="43">
        <v>2</v>
      </c>
      <c r="K13" s="84"/>
    </row>
    <row r="14" spans="1:11">
      <c r="A14" s="82" t="str">
        <f>'1. 소켓인수검사'!A15</f>
        <v>07</v>
      </c>
      <c r="B14" s="53" t="s">
        <v>46</v>
      </c>
      <c r="C14" s="34">
        <f>'1. 소켓인수검사'!C15</f>
        <v>1400</v>
      </c>
      <c r="D14" s="34">
        <f>'1. 소켓인수검사'!D15</f>
        <v>900</v>
      </c>
      <c r="E14" s="44"/>
      <c r="F14" s="43">
        <v>1</v>
      </c>
      <c r="G14" s="83">
        <f t="shared" si="0"/>
        <v>1460</v>
      </c>
      <c r="H14" s="43">
        <v>2</v>
      </c>
      <c r="I14" s="83">
        <f t="shared" si="1"/>
        <v>900</v>
      </c>
      <c r="J14" s="43">
        <v>2</v>
      </c>
      <c r="K14" s="84"/>
    </row>
    <row r="15" spans="1:11">
      <c r="A15" s="82" t="str">
        <f>'1. 소켓인수검사'!A16</f>
        <v>08</v>
      </c>
      <c r="B15" s="53" t="s">
        <v>46</v>
      </c>
      <c r="C15" s="34">
        <f>'1. 소켓인수검사'!C16</f>
        <v>1400</v>
      </c>
      <c r="D15" s="34">
        <f>'1. 소켓인수검사'!D16</f>
        <v>900</v>
      </c>
      <c r="E15" s="44"/>
      <c r="F15" s="43">
        <v>1</v>
      </c>
      <c r="G15" s="83">
        <f t="shared" si="0"/>
        <v>1460</v>
      </c>
      <c r="H15" s="43">
        <v>2</v>
      </c>
      <c r="I15" s="83">
        <f t="shared" si="1"/>
        <v>900</v>
      </c>
      <c r="J15" s="43">
        <v>2</v>
      </c>
      <c r="K15" s="84"/>
    </row>
    <row r="16" spans="1:11">
      <c r="A16" s="82" t="str">
        <f>'1. 소켓인수검사'!A17</f>
        <v>09</v>
      </c>
      <c r="B16" s="53" t="s">
        <v>46</v>
      </c>
      <c r="C16" s="34">
        <f>'1. 소켓인수검사'!C17</f>
        <v>1400</v>
      </c>
      <c r="D16" s="34">
        <f>'1. 소켓인수검사'!D17</f>
        <v>900</v>
      </c>
      <c r="E16" s="44"/>
      <c r="F16" s="43">
        <v>1</v>
      </c>
      <c r="G16" s="83">
        <f t="shared" si="0"/>
        <v>1460</v>
      </c>
      <c r="H16" s="43">
        <v>2</v>
      </c>
      <c r="I16" s="83">
        <f t="shared" si="1"/>
        <v>900</v>
      </c>
      <c r="J16" s="43">
        <v>2</v>
      </c>
      <c r="K16" s="84"/>
    </row>
    <row r="17" spans="1:11">
      <c r="A17" s="82" t="str">
        <f>'1. 소켓인수검사'!A18</f>
        <v>10</v>
      </c>
      <c r="B17" s="53" t="s">
        <v>46</v>
      </c>
      <c r="C17" s="34">
        <f>'1. 소켓인수검사'!C18</f>
        <v>1400</v>
      </c>
      <c r="D17" s="34">
        <f>'1. 소켓인수검사'!D18</f>
        <v>900</v>
      </c>
      <c r="E17" s="44"/>
      <c r="F17" s="43">
        <v>1</v>
      </c>
      <c r="G17" s="83">
        <f t="shared" si="0"/>
        <v>1460</v>
      </c>
      <c r="H17" s="43">
        <v>2</v>
      </c>
      <c r="I17" s="83">
        <f t="shared" si="1"/>
        <v>900</v>
      </c>
      <c r="J17" s="43">
        <v>2</v>
      </c>
      <c r="K17" s="84"/>
    </row>
    <row r="18" spans="1:11">
      <c r="A18" s="82" t="str">
        <f>'1. 소켓인수검사'!A19</f>
        <v>11</v>
      </c>
      <c r="B18" s="53" t="s">
        <v>46</v>
      </c>
      <c r="C18" s="34">
        <f>'1. 소켓인수검사'!C19</f>
        <v>1400</v>
      </c>
      <c r="D18" s="34">
        <f>'1. 소켓인수검사'!D19</f>
        <v>900</v>
      </c>
      <c r="E18" s="44"/>
      <c r="F18" s="43">
        <v>1</v>
      </c>
      <c r="G18" s="83">
        <f t="shared" si="0"/>
        <v>1460</v>
      </c>
      <c r="H18" s="43">
        <v>2</v>
      </c>
      <c r="I18" s="83">
        <f t="shared" si="1"/>
        <v>900</v>
      </c>
      <c r="J18" s="43">
        <v>2</v>
      </c>
      <c r="K18" s="84"/>
    </row>
    <row r="19" spans="1:11">
      <c r="A19" s="82" t="str">
        <f>'1. 소켓인수검사'!A20</f>
        <v>12</v>
      </c>
      <c r="B19" s="53" t="s">
        <v>46</v>
      </c>
      <c r="C19" s="34">
        <f>'1. 소켓인수검사'!C20</f>
        <v>1400</v>
      </c>
      <c r="D19" s="34">
        <f>'1. 소켓인수검사'!D20</f>
        <v>900</v>
      </c>
      <c r="E19" s="44"/>
      <c r="F19" s="43">
        <v>1</v>
      </c>
      <c r="G19" s="83">
        <f t="shared" si="0"/>
        <v>1460</v>
      </c>
      <c r="H19" s="43">
        <v>2</v>
      </c>
      <c r="I19" s="83">
        <f t="shared" si="1"/>
        <v>900</v>
      </c>
      <c r="J19" s="43">
        <v>2</v>
      </c>
      <c r="K19" s="84"/>
    </row>
    <row r="20" spans="1:11">
      <c r="A20" s="82" t="str">
        <f>'1. 소켓인수검사'!A21</f>
        <v>13</v>
      </c>
      <c r="B20" s="53" t="s">
        <v>46</v>
      </c>
      <c r="C20" s="34">
        <f>'1. 소켓인수검사'!C21</f>
        <v>1400</v>
      </c>
      <c r="D20" s="34">
        <f>'1. 소켓인수검사'!D21</f>
        <v>900</v>
      </c>
      <c r="E20" s="44"/>
      <c r="F20" s="43">
        <v>1</v>
      </c>
      <c r="G20" s="83">
        <f t="shared" si="0"/>
        <v>1460</v>
      </c>
      <c r="H20" s="43">
        <v>2</v>
      </c>
      <c r="I20" s="83">
        <f t="shared" si="1"/>
        <v>900</v>
      </c>
      <c r="J20" s="43">
        <v>2</v>
      </c>
      <c r="K20" s="84"/>
    </row>
    <row r="21" spans="1:11">
      <c r="A21" s="82" t="str">
        <f>'1. 소켓인수검사'!A22</f>
        <v>14</v>
      </c>
      <c r="B21" s="53" t="s">
        <v>46</v>
      </c>
      <c r="C21" s="34">
        <f>'1. 소켓인수검사'!C22</f>
        <v>1400</v>
      </c>
      <c r="D21" s="34">
        <f>'1. 소켓인수검사'!D22</f>
        <v>900</v>
      </c>
      <c r="E21" s="44"/>
      <c r="F21" s="43">
        <v>1</v>
      </c>
      <c r="G21" s="83">
        <f t="shared" si="0"/>
        <v>1460</v>
      </c>
      <c r="H21" s="43">
        <v>2</v>
      </c>
      <c r="I21" s="83">
        <f t="shared" si="1"/>
        <v>900</v>
      </c>
      <c r="J21" s="43">
        <v>2</v>
      </c>
      <c r="K21" s="84"/>
    </row>
    <row r="22" spans="1:11">
      <c r="A22" s="82" t="str">
        <f>'1. 소켓인수검사'!A23</f>
        <v>15</v>
      </c>
      <c r="B22" s="53" t="s">
        <v>46</v>
      </c>
      <c r="C22" s="34">
        <f>'1. 소켓인수검사'!C23</f>
        <v>1400</v>
      </c>
      <c r="D22" s="34">
        <f>'1. 소켓인수검사'!D23</f>
        <v>900</v>
      </c>
      <c r="E22" s="44"/>
      <c r="F22" s="43">
        <v>1</v>
      </c>
      <c r="G22" s="83">
        <f t="shared" si="0"/>
        <v>1460</v>
      </c>
      <c r="H22" s="43">
        <v>2</v>
      </c>
      <c r="I22" s="83">
        <f t="shared" si="1"/>
        <v>900</v>
      </c>
      <c r="J22" s="43">
        <v>2</v>
      </c>
      <c r="K22" s="84"/>
    </row>
    <row r="23" spans="1:11">
      <c r="A23" s="82" t="str">
        <f>'1. 소켓인수검사'!A24</f>
        <v>16</v>
      </c>
      <c r="B23" s="53" t="s">
        <v>46</v>
      </c>
      <c r="C23" s="34">
        <f>'1. 소켓인수검사'!C24</f>
        <v>1400</v>
      </c>
      <c r="D23" s="34">
        <f>'1. 소켓인수검사'!D24</f>
        <v>900</v>
      </c>
      <c r="E23" s="44"/>
      <c r="F23" s="43">
        <v>1</v>
      </c>
      <c r="G23" s="83">
        <f t="shared" si="0"/>
        <v>1460</v>
      </c>
      <c r="H23" s="43">
        <v>2</v>
      </c>
      <c r="I23" s="83">
        <f t="shared" si="1"/>
        <v>900</v>
      </c>
      <c r="J23" s="43">
        <v>2</v>
      </c>
      <c r="K23" s="84"/>
    </row>
    <row r="24" spans="1:11">
      <c r="A24" s="82" t="str">
        <f>'1. 소켓인수검사'!A25</f>
        <v>17</v>
      </c>
      <c r="B24" s="53" t="s">
        <v>46</v>
      </c>
      <c r="C24" s="34">
        <f>'1. 소켓인수검사'!C25</f>
        <v>1400</v>
      </c>
      <c r="D24" s="34">
        <f>'1. 소켓인수검사'!D25</f>
        <v>900</v>
      </c>
      <c r="E24" s="44"/>
      <c r="F24" s="43">
        <v>1</v>
      </c>
      <c r="G24" s="83">
        <f t="shared" si="0"/>
        <v>1460</v>
      </c>
      <c r="H24" s="43">
        <v>2</v>
      </c>
      <c r="I24" s="83">
        <f t="shared" si="1"/>
        <v>900</v>
      </c>
      <c r="J24" s="43">
        <v>2</v>
      </c>
      <c r="K24" s="84"/>
    </row>
    <row r="25" spans="1:11">
      <c r="A25" s="82" t="str">
        <f>'1. 소켓인수검사'!A26</f>
        <v>18</v>
      </c>
      <c r="B25" s="53" t="s">
        <v>46</v>
      </c>
      <c r="C25" s="34">
        <f>'1. 소켓인수검사'!C26</f>
        <v>1400</v>
      </c>
      <c r="D25" s="34">
        <f>'1. 소켓인수검사'!D26</f>
        <v>900</v>
      </c>
      <c r="E25" s="44"/>
      <c r="F25" s="43">
        <v>1</v>
      </c>
      <c r="G25" s="83">
        <f t="shared" si="0"/>
        <v>1460</v>
      </c>
      <c r="H25" s="43">
        <v>2</v>
      </c>
      <c r="I25" s="83">
        <f t="shared" si="1"/>
        <v>900</v>
      </c>
      <c r="J25" s="43">
        <v>2</v>
      </c>
      <c r="K25" s="84"/>
    </row>
    <row r="26" spans="1:11">
      <c r="A26" s="82" t="str">
        <f>'1. 소켓인수검사'!A27</f>
        <v>19</v>
      </c>
      <c r="B26" s="53" t="s">
        <v>46</v>
      </c>
      <c r="C26" s="34">
        <f>'1. 소켓인수검사'!C27</f>
        <v>1400</v>
      </c>
      <c r="D26" s="34">
        <f>'1. 소켓인수검사'!D27</f>
        <v>900</v>
      </c>
      <c r="E26" s="44"/>
      <c r="F26" s="43">
        <v>1</v>
      </c>
      <c r="G26" s="83">
        <f t="shared" si="0"/>
        <v>1460</v>
      </c>
      <c r="H26" s="43">
        <v>2</v>
      </c>
      <c r="I26" s="83">
        <f t="shared" si="1"/>
        <v>900</v>
      </c>
      <c r="J26" s="43">
        <v>2</v>
      </c>
      <c r="K26" s="84"/>
    </row>
    <row r="27" spans="1:11">
      <c r="A27" s="82" t="str">
        <f>'1. 소켓인수검사'!A28</f>
        <v>20</v>
      </c>
      <c r="B27" s="53" t="s">
        <v>46</v>
      </c>
      <c r="C27" s="34">
        <f>'1. 소켓인수검사'!C28</f>
        <v>1400</v>
      </c>
      <c r="D27" s="34">
        <f>'1. 소켓인수검사'!D28</f>
        <v>900</v>
      </c>
      <c r="E27" s="44"/>
      <c r="F27" s="43">
        <v>1</v>
      </c>
      <c r="G27" s="83">
        <f t="shared" si="0"/>
        <v>1460</v>
      </c>
      <c r="H27" s="43">
        <v>2</v>
      </c>
      <c r="I27" s="83">
        <f t="shared" si="1"/>
        <v>900</v>
      </c>
      <c r="J27" s="43">
        <v>2</v>
      </c>
      <c r="K27" s="84"/>
    </row>
    <row r="28" spans="1:11">
      <c r="A28" s="82" t="str">
        <f>'1. 소켓인수검사'!A29</f>
        <v>21</v>
      </c>
      <c r="B28" s="53" t="s">
        <v>46</v>
      </c>
      <c r="C28" s="34">
        <f>'1. 소켓인수검사'!C29</f>
        <v>1600</v>
      </c>
      <c r="D28" s="34">
        <f>'1. 소켓인수검사'!D29</f>
        <v>950</v>
      </c>
      <c r="E28" s="44"/>
      <c r="F28" s="43">
        <v>1</v>
      </c>
      <c r="G28" s="83">
        <f t="shared" si="0"/>
        <v>1660</v>
      </c>
      <c r="H28" s="43">
        <v>2</v>
      </c>
      <c r="I28" s="83">
        <f t="shared" si="1"/>
        <v>950</v>
      </c>
      <c r="J28" s="43">
        <v>2</v>
      </c>
      <c r="K28" s="84"/>
    </row>
    <row r="29" spans="1:11">
      <c r="A29" s="82" t="str">
        <f>'1. 소켓인수검사'!A30</f>
        <v>22</v>
      </c>
      <c r="B29" s="53" t="s">
        <v>46</v>
      </c>
      <c r="C29" s="34">
        <f>'1. 소켓인수검사'!C30</f>
        <v>1600</v>
      </c>
      <c r="D29" s="34">
        <f>'1. 소켓인수검사'!D30</f>
        <v>950</v>
      </c>
      <c r="E29" s="44"/>
      <c r="F29" s="43">
        <v>1</v>
      </c>
      <c r="G29" s="83">
        <f t="shared" si="0"/>
        <v>1660</v>
      </c>
      <c r="H29" s="43">
        <v>2</v>
      </c>
      <c r="I29" s="83">
        <f t="shared" si="1"/>
        <v>950</v>
      </c>
      <c r="J29" s="43">
        <v>2</v>
      </c>
      <c r="K29" s="84"/>
    </row>
    <row r="30" spans="1:11">
      <c r="A30" s="82" t="str">
        <f>'1. 소켓인수검사'!A31</f>
        <v>23</v>
      </c>
      <c r="B30" s="53" t="s">
        <v>46</v>
      </c>
      <c r="C30" s="34">
        <f>'1. 소켓인수검사'!C31</f>
        <v>1600</v>
      </c>
      <c r="D30" s="34">
        <f>'1. 소켓인수검사'!D31</f>
        <v>950</v>
      </c>
      <c r="E30" s="44"/>
      <c r="F30" s="43">
        <v>1</v>
      </c>
      <c r="G30" s="83">
        <f t="shared" si="0"/>
        <v>1660</v>
      </c>
      <c r="H30" s="43">
        <v>2</v>
      </c>
      <c r="I30" s="83">
        <f t="shared" si="1"/>
        <v>950</v>
      </c>
      <c r="J30" s="43">
        <v>2</v>
      </c>
      <c r="K30" s="84"/>
    </row>
    <row r="31" spans="1:11">
      <c r="A31" s="82" t="str">
        <f>'1. 소켓인수검사'!A32</f>
        <v>24</v>
      </c>
      <c r="B31" s="53" t="s">
        <v>46</v>
      </c>
      <c r="C31" s="34">
        <f>'1. 소켓인수검사'!C32</f>
        <v>1600</v>
      </c>
      <c r="D31" s="34">
        <f>'1. 소켓인수검사'!D32</f>
        <v>950</v>
      </c>
      <c r="E31" s="44"/>
      <c r="F31" s="43">
        <v>1</v>
      </c>
      <c r="G31" s="83">
        <f t="shared" si="0"/>
        <v>1660</v>
      </c>
      <c r="H31" s="43">
        <v>2</v>
      </c>
      <c r="I31" s="83">
        <f t="shared" si="1"/>
        <v>950</v>
      </c>
      <c r="J31" s="43">
        <v>2</v>
      </c>
      <c r="K31" s="84"/>
    </row>
    <row r="32" spans="1:11">
      <c r="A32" s="82" t="str">
        <f>'1. 소켓인수검사'!A33</f>
        <v>25</v>
      </c>
      <c r="B32" s="53" t="s">
        <v>46</v>
      </c>
      <c r="C32" s="34">
        <f>'1. 소켓인수검사'!C33</f>
        <v>1600</v>
      </c>
      <c r="D32" s="34">
        <f>'1. 소켓인수검사'!D33</f>
        <v>950</v>
      </c>
      <c r="E32" s="44"/>
      <c r="F32" s="43">
        <v>1</v>
      </c>
      <c r="G32" s="83">
        <f t="shared" si="0"/>
        <v>1660</v>
      </c>
      <c r="H32" s="43">
        <v>2</v>
      </c>
      <c r="I32" s="83">
        <f t="shared" si="1"/>
        <v>950</v>
      </c>
      <c r="J32" s="43">
        <v>2</v>
      </c>
      <c r="K32" s="84"/>
    </row>
    <row r="33" spans="1:11">
      <c r="A33" s="82" t="str">
        <f>'1. 소켓인수검사'!A34</f>
        <v>26</v>
      </c>
      <c r="B33" s="53" t="s">
        <v>46</v>
      </c>
      <c r="C33" s="34">
        <f>'1. 소켓인수검사'!C34</f>
        <v>1600</v>
      </c>
      <c r="D33" s="34">
        <f>'1. 소켓인수검사'!D34</f>
        <v>950</v>
      </c>
      <c r="E33" s="44"/>
      <c r="F33" s="43">
        <v>1</v>
      </c>
      <c r="G33" s="83">
        <f t="shared" si="0"/>
        <v>1660</v>
      </c>
      <c r="H33" s="43">
        <v>2</v>
      </c>
      <c r="I33" s="83">
        <f t="shared" si="1"/>
        <v>950</v>
      </c>
      <c r="J33" s="43">
        <v>2</v>
      </c>
      <c r="K33" s="84"/>
    </row>
    <row r="34" spans="1:11">
      <c r="A34" s="82" t="str">
        <f>'1. 소켓인수검사'!A35</f>
        <v>27</v>
      </c>
      <c r="B34" s="53" t="s">
        <v>46</v>
      </c>
      <c r="C34" s="34">
        <f>'1. 소켓인수검사'!C35</f>
        <v>1600</v>
      </c>
      <c r="D34" s="34">
        <f>'1. 소켓인수검사'!D35</f>
        <v>950</v>
      </c>
      <c r="E34" s="44"/>
      <c r="F34" s="43">
        <v>1</v>
      </c>
      <c r="G34" s="83">
        <f t="shared" si="0"/>
        <v>1660</v>
      </c>
      <c r="H34" s="43">
        <v>2</v>
      </c>
      <c r="I34" s="83">
        <f t="shared" si="1"/>
        <v>950</v>
      </c>
      <c r="J34" s="43">
        <v>2</v>
      </c>
      <c r="K34" s="84"/>
    </row>
    <row r="35" spans="1:11">
      <c r="A35" s="82" t="str">
        <f>'1. 소켓인수검사'!A36</f>
        <v>28</v>
      </c>
      <c r="B35" s="53" t="s">
        <v>46</v>
      </c>
      <c r="C35" s="34">
        <f>'1. 소켓인수검사'!C36</f>
        <v>1600</v>
      </c>
      <c r="D35" s="34">
        <f>'1. 소켓인수검사'!D36</f>
        <v>950</v>
      </c>
      <c r="E35" s="44"/>
      <c r="F35" s="43">
        <v>1</v>
      </c>
      <c r="G35" s="83">
        <f t="shared" si="0"/>
        <v>1660</v>
      </c>
      <c r="H35" s="43">
        <v>2</v>
      </c>
      <c r="I35" s="83">
        <f t="shared" si="1"/>
        <v>950</v>
      </c>
      <c r="J35" s="43">
        <v>2</v>
      </c>
      <c r="K35" s="84"/>
    </row>
    <row r="36" spans="1:11">
      <c r="A36" s="82" t="str">
        <f>'1. 소켓인수검사'!A37</f>
        <v>29</v>
      </c>
      <c r="B36" s="53" t="s">
        <v>46</v>
      </c>
      <c r="C36" s="34">
        <f>'1. 소켓인수검사'!C37</f>
        <v>1600</v>
      </c>
      <c r="D36" s="34">
        <f>'1. 소켓인수검사'!D37</f>
        <v>950</v>
      </c>
      <c r="E36" s="44"/>
      <c r="F36" s="43">
        <v>1</v>
      </c>
      <c r="G36" s="83">
        <f t="shared" si="0"/>
        <v>1660</v>
      </c>
      <c r="H36" s="43">
        <v>2</v>
      </c>
      <c r="I36" s="83">
        <f t="shared" si="1"/>
        <v>950</v>
      </c>
      <c r="J36" s="43">
        <v>2</v>
      </c>
      <c r="K36" s="84"/>
    </row>
    <row r="37" spans="1:11">
      <c r="A37" s="82" t="str">
        <f>'1. 소켓인수검사'!A38</f>
        <v>30</v>
      </c>
      <c r="B37" s="53" t="s">
        <v>46</v>
      </c>
      <c r="C37" s="34">
        <f>'1. 소켓인수검사'!C38</f>
        <v>1600</v>
      </c>
      <c r="D37" s="34">
        <f>'1. 소켓인수검사'!D38</f>
        <v>950</v>
      </c>
      <c r="E37" s="44"/>
      <c r="F37" s="43">
        <v>1</v>
      </c>
      <c r="G37" s="83">
        <f t="shared" si="0"/>
        <v>1660</v>
      </c>
      <c r="H37" s="43">
        <v>2</v>
      </c>
      <c r="I37" s="83">
        <f t="shared" si="1"/>
        <v>950</v>
      </c>
      <c r="J37" s="43">
        <v>2</v>
      </c>
      <c r="K37" s="84"/>
    </row>
    <row r="38" spans="1:11">
      <c r="A38" s="82" t="str">
        <f>'1. 소켓인수검사'!A39</f>
        <v>31</v>
      </c>
      <c r="B38" s="53" t="s">
        <v>46</v>
      </c>
      <c r="C38" s="34">
        <v>2800</v>
      </c>
      <c r="D38" s="34">
        <f>'1. 소켓인수검사'!D39</f>
        <v>1000</v>
      </c>
      <c r="E38" s="44"/>
      <c r="F38" s="43">
        <v>1</v>
      </c>
      <c r="G38" s="83">
        <f t="shared" si="0"/>
        <v>2860</v>
      </c>
      <c r="H38" s="43">
        <v>2</v>
      </c>
      <c r="I38" s="83">
        <f t="shared" si="1"/>
        <v>1000</v>
      </c>
      <c r="J38" s="43">
        <v>2</v>
      </c>
      <c r="K38" s="84"/>
    </row>
    <row r="39" spans="1:11">
      <c r="A39" s="82" t="str">
        <f>'1. 소켓인수검사'!A40</f>
        <v>32</v>
      </c>
      <c r="B39" s="53" t="s">
        <v>46</v>
      </c>
      <c r="C39" s="34">
        <v>2800</v>
      </c>
      <c r="D39" s="34">
        <f>'1. 소켓인수검사'!D40</f>
        <v>1000</v>
      </c>
      <c r="E39" s="44"/>
      <c r="F39" s="43">
        <v>1</v>
      </c>
      <c r="G39" s="83">
        <f t="shared" si="0"/>
        <v>2860</v>
      </c>
      <c r="H39" s="43">
        <v>2</v>
      </c>
      <c r="I39" s="83">
        <f t="shared" si="1"/>
        <v>1000</v>
      </c>
      <c r="J39" s="43">
        <v>2</v>
      </c>
      <c r="K39" s="84"/>
    </row>
    <row r="40" spans="1:11">
      <c r="A40" s="82" t="str">
        <f>'1. 소켓인수검사'!A41</f>
        <v>33</v>
      </c>
      <c r="B40" s="53" t="s">
        <v>46</v>
      </c>
      <c r="C40" s="34">
        <v>2800</v>
      </c>
      <c r="D40" s="34">
        <f>'1. 소켓인수검사'!D41</f>
        <v>1000</v>
      </c>
      <c r="E40" s="44"/>
      <c r="F40" s="43">
        <v>1</v>
      </c>
      <c r="G40" s="83">
        <f t="shared" si="0"/>
        <v>2860</v>
      </c>
      <c r="H40" s="43">
        <v>2</v>
      </c>
      <c r="I40" s="83">
        <f t="shared" si="1"/>
        <v>1000</v>
      </c>
      <c r="J40" s="43">
        <v>2</v>
      </c>
      <c r="K40" s="84"/>
    </row>
    <row r="41" spans="1:11">
      <c r="A41" s="82" t="str">
        <f>'1. 소켓인수검사'!A42</f>
        <v>34</v>
      </c>
      <c r="B41" s="53" t="s">
        <v>46</v>
      </c>
      <c r="C41" s="34">
        <v>2800</v>
      </c>
      <c r="D41" s="34">
        <f>'1. 소켓인수검사'!D42</f>
        <v>1000</v>
      </c>
      <c r="E41" s="44"/>
      <c r="F41" s="43">
        <v>1</v>
      </c>
      <c r="G41" s="83">
        <f t="shared" si="0"/>
        <v>2860</v>
      </c>
      <c r="H41" s="43">
        <v>2</v>
      </c>
      <c r="I41" s="83">
        <f t="shared" si="1"/>
        <v>1000</v>
      </c>
      <c r="J41" s="43">
        <v>2</v>
      </c>
      <c r="K41" s="84"/>
    </row>
    <row r="42" spans="1:11">
      <c r="A42" s="82" t="str">
        <f>'1. 소켓인수검사'!A43</f>
        <v>35</v>
      </c>
      <c r="B42" s="53" t="s">
        <v>46</v>
      </c>
      <c r="C42" s="34">
        <v>2800</v>
      </c>
      <c r="D42" s="34">
        <f>'1. 소켓인수검사'!D43</f>
        <v>1000</v>
      </c>
      <c r="E42" s="44"/>
      <c r="F42" s="43">
        <v>1</v>
      </c>
      <c r="G42" s="83">
        <f t="shared" si="0"/>
        <v>2860</v>
      </c>
      <c r="H42" s="43">
        <v>2</v>
      </c>
      <c r="I42" s="83">
        <f t="shared" si="1"/>
        <v>1000</v>
      </c>
      <c r="J42" s="43">
        <v>2</v>
      </c>
      <c r="K42" s="84"/>
    </row>
    <row r="43" spans="1:11">
      <c r="A43" s="1" t="s">
        <v>44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mergeCells count="17">
    <mergeCell ref="G1:K3"/>
    <mergeCell ref="A43:C45"/>
    <mergeCell ref="D43:K45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  <mergeCell ref="G6:H6"/>
    <mergeCell ref="I6:J6"/>
    <mergeCell ref="E1:F3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52"/>
  <sheetViews>
    <sheetView showGridLines="0" topLeftCell="A27" zoomScaleNormal="100" zoomScaleSheetLayoutView="100" workbookViewId="0">
      <selection activeCell="A46" sqref="A46:P46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183" t="s">
        <v>69</v>
      </c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5"/>
    </row>
    <row r="2" spans="1:16" ht="16.5" customHeight="1">
      <c r="A2" s="1"/>
      <c r="B2" s="1"/>
      <c r="C2" s="1"/>
      <c r="D2" s="1"/>
      <c r="E2" s="186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8"/>
    </row>
    <row r="3" spans="1:16" ht="16.5" customHeight="1">
      <c r="A3" s="1"/>
      <c r="B3" s="1"/>
      <c r="C3" s="1"/>
      <c r="D3" s="1"/>
      <c r="E3" s="186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8"/>
    </row>
    <row r="4" spans="1:16" ht="16.5" customHeight="1">
      <c r="A4" s="1" t="s">
        <v>16</v>
      </c>
      <c r="B4" s="1"/>
      <c r="C4" s="1"/>
      <c r="D4" s="1"/>
      <c r="E4" s="189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1"/>
    </row>
    <row r="5" spans="1:16" ht="16.5" customHeight="1">
      <c r="A5" s="1" t="s">
        <v>26</v>
      </c>
      <c r="B5" s="1"/>
      <c r="C5" s="1"/>
      <c r="D5" s="1"/>
      <c r="E5" s="6" t="s">
        <v>32</v>
      </c>
      <c r="F5" s="1"/>
      <c r="G5" s="1"/>
      <c r="H5" s="1" t="s">
        <v>59</v>
      </c>
      <c r="I5" s="1"/>
      <c r="J5" s="1"/>
      <c r="K5" s="1" t="s">
        <v>55</v>
      </c>
      <c r="L5" s="1"/>
      <c r="M5" s="1"/>
      <c r="N5" s="196" t="str">
        <f>'1. 소켓인수검사'!R2</f>
        <v>26.06.05 엘티엔지니어링_신세계건설_대현기건(주)_트레이더스 의정부</v>
      </c>
      <c r="O5" s="196"/>
      <c r="P5" s="196"/>
    </row>
    <row r="6" spans="1:16">
      <c r="A6" s="1"/>
      <c r="B6" s="1"/>
      <c r="C6" s="1"/>
      <c r="D6" s="1"/>
      <c r="E6" s="6" t="s">
        <v>29</v>
      </c>
      <c r="F6" s="1"/>
      <c r="G6" s="1"/>
      <c r="H6" s="1"/>
      <c r="I6" s="1"/>
      <c r="J6" s="1"/>
      <c r="K6" s="1"/>
      <c r="L6" s="1"/>
      <c r="M6" s="1"/>
      <c r="N6" s="196"/>
      <c r="O6" s="196"/>
      <c r="P6" s="196"/>
    </row>
    <row r="7" spans="1:16" ht="8.1" customHeight="1">
      <c r="A7" s="192"/>
      <c r="B7" s="193"/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4"/>
    </row>
    <row r="8" spans="1:16" ht="21" customHeight="1">
      <c r="A8" s="1" t="s">
        <v>56</v>
      </c>
      <c r="B8" s="198" t="s">
        <v>4</v>
      </c>
      <c r="C8" s="198"/>
      <c r="D8" s="198" t="s">
        <v>28</v>
      </c>
      <c r="E8" s="198" t="s">
        <v>24</v>
      </c>
      <c r="F8" s="198" t="s">
        <v>60</v>
      </c>
      <c r="G8" s="200" t="s">
        <v>27</v>
      </c>
      <c r="H8" s="201"/>
      <c r="I8" s="201"/>
      <c r="J8" s="201"/>
      <c r="K8" s="201"/>
      <c r="L8" s="201"/>
      <c r="M8" s="201"/>
      <c r="N8" s="201"/>
      <c r="O8" s="202"/>
      <c r="P8" s="198" t="s">
        <v>2</v>
      </c>
    </row>
    <row r="9" spans="1:16" ht="21" customHeight="1">
      <c r="A9" s="1"/>
      <c r="B9" s="200" t="s">
        <v>63</v>
      </c>
      <c r="C9" s="198" t="s">
        <v>61</v>
      </c>
      <c r="D9" s="198"/>
      <c r="E9" s="198"/>
      <c r="F9" s="198"/>
      <c r="G9" s="198" t="s">
        <v>57</v>
      </c>
      <c r="H9" s="198" t="s">
        <v>63</v>
      </c>
      <c r="I9" s="198"/>
      <c r="J9" s="199" t="s">
        <v>10</v>
      </c>
      <c r="K9" s="198" t="s">
        <v>61</v>
      </c>
      <c r="L9" s="198"/>
      <c r="M9" s="198"/>
      <c r="N9" s="198"/>
      <c r="O9" s="199" t="s">
        <v>10</v>
      </c>
      <c r="P9" s="198"/>
    </row>
    <row r="10" spans="1:16" ht="21" customHeight="1">
      <c r="A10" s="197"/>
      <c r="B10" s="203"/>
      <c r="C10" s="199"/>
      <c r="D10" s="199"/>
      <c r="E10" s="199"/>
      <c r="F10" s="199"/>
      <c r="G10" s="199"/>
      <c r="H10" s="23" t="s">
        <v>4</v>
      </c>
      <c r="I10" s="23" t="s">
        <v>31</v>
      </c>
      <c r="J10" s="204"/>
      <c r="K10" s="205" t="s">
        <v>4</v>
      </c>
      <c r="L10" s="206"/>
      <c r="M10" s="207"/>
      <c r="N10" s="24" t="s">
        <v>31</v>
      </c>
      <c r="O10" s="204"/>
      <c r="P10" s="199"/>
    </row>
    <row r="11" spans="1:16" ht="16.5" customHeight="1">
      <c r="A11" s="47" t="str">
        <f>'1. 소켓인수검사'!A9</f>
        <v>01</v>
      </c>
      <c r="B11" s="48">
        <f>'1. 소켓인수검사'!C9</f>
        <v>1250</v>
      </c>
      <c r="C11" s="48">
        <f>'1. 소켓인수검사'!D9</f>
        <v>950</v>
      </c>
      <c r="D11" s="50">
        <v>1</v>
      </c>
      <c r="E11" s="49"/>
      <c r="F11" s="61" t="s">
        <v>48</v>
      </c>
      <c r="G11" s="50" t="s">
        <v>47</v>
      </c>
      <c r="H11" s="58">
        <f>(B11-30)/2-1</f>
        <v>609</v>
      </c>
      <c r="I11" s="50">
        <f>D11*8*2</f>
        <v>16</v>
      </c>
      <c r="J11" s="50"/>
      <c r="K11" s="195">
        <f>(C11-20)/2-10-1</f>
        <v>454</v>
      </c>
      <c r="L11" s="195"/>
      <c r="M11" s="195"/>
      <c r="N11" s="50">
        <f>D11*16*2</f>
        <v>32</v>
      </c>
      <c r="O11" s="50"/>
      <c r="P11" s="59"/>
    </row>
    <row r="12" spans="1:16">
      <c r="A12" s="51" t="str">
        <f>'1. 소켓인수검사'!A10</f>
        <v>02</v>
      </c>
      <c r="B12" s="34">
        <f>'1. 소켓인수검사'!C10</f>
        <v>1250</v>
      </c>
      <c r="C12" s="34">
        <f>'1. 소켓인수검사'!D10</f>
        <v>950</v>
      </c>
      <c r="D12" s="30">
        <v>1</v>
      </c>
      <c r="E12" s="35"/>
      <c r="F12" s="62"/>
      <c r="G12" s="30"/>
      <c r="H12" s="60">
        <f t="shared" ref="H12" si="0">(B12-30)/2-1</f>
        <v>609</v>
      </c>
      <c r="I12" s="30">
        <f>D12*8*2</f>
        <v>16</v>
      </c>
      <c r="J12" s="30"/>
      <c r="K12" s="179">
        <f>(C12-20)/2-10-1</f>
        <v>454</v>
      </c>
      <c r="L12" s="179"/>
      <c r="M12" s="179"/>
      <c r="N12" s="30">
        <f>D12*16*2</f>
        <v>32</v>
      </c>
      <c r="O12" s="30"/>
      <c r="P12" s="31"/>
    </row>
    <row r="13" spans="1:16">
      <c r="A13" s="51" t="str">
        <f>'1. 소켓인수검사'!A11</f>
        <v>03</v>
      </c>
      <c r="B13" s="34">
        <f>'1. 소켓인수검사'!C11</f>
        <v>1250</v>
      </c>
      <c r="C13" s="34">
        <f>'1. 소켓인수검사'!D11</f>
        <v>950</v>
      </c>
      <c r="D13" s="30">
        <v>1</v>
      </c>
      <c r="E13" s="35"/>
      <c r="F13" s="62"/>
      <c r="G13" s="30"/>
      <c r="H13" s="60">
        <f t="shared" ref="H13:H45" si="1">(B13-30)/2-1</f>
        <v>609</v>
      </c>
      <c r="I13" s="30">
        <f>D13*8*2</f>
        <v>16</v>
      </c>
      <c r="J13" s="30"/>
      <c r="K13" s="179">
        <f t="shared" ref="K13:K45" si="2">(C13-20)/2-10-1</f>
        <v>454</v>
      </c>
      <c r="L13" s="179"/>
      <c r="M13" s="179"/>
      <c r="N13" s="30">
        <f>D13*16*2</f>
        <v>32</v>
      </c>
      <c r="O13" s="30"/>
      <c r="P13" s="31"/>
    </row>
    <row r="14" spans="1:16">
      <c r="A14" s="51" t="str">
        <f>'1. 소켓인수검사'!A12</f>
        <v>04</v>
      </c>
      <c r="B14" s="34">
        <f>'1. 소켓인수검사'!C12</f>
        <v>1250</v>
      </c>
      <c r="C14" s="34">
        <f>'1. 소켓인수검사'!D12</f>
        <v>950</v>
      </c>
      <c r="D14" s="30">
        <v>1</v>
      </c>
      <c r="E14" s="35"/>
      <c r="F14" s="62"/>
      <c r="G14" s="30"/>
      <c r="H14" s="60">
        <f t="shared" si="1"/>
        <v>609</v>
      </c>
      <c r="I14" s="30">
        <f t="shared" ref="I14:I20" si="3">D14*8*2</f>
        <v>16</v>
      </c>
      <c r="J14" s="30"/>
      <c r="K14" s="179">
        <f t="shared" si="2"/>
        <v>454</v>
      </c>
      <c r="L14" s="179"/>
      <c r="M14" s="179"/>
      <c r="N14" s="30">
        <f t="shared" ref="N14:N20" si="4">D14*16*2</f>
        <v>32</v>
      </c>
      <c r="O14" s="30"/>
      <c r="P14" s="31"/>
    </row>
    <row r="15" spans="1:16">
      <c r="A15" s="51" t="str">
        <f>'1. 소켓인수검사'!A13</f>
        <v>05</v>
      </c>
      <c r="B15" s="34">
        <f>'1. 소켓인수검사'!C13</f>
        <v>1250</v>
      </c>
      <c r="C15" s="34">
        <f>'1. 소켓인수검사'!D13</f>
        <v>950</v>
      </c>
      <c r="D15" s="30">
        <v>1</v>
      </c>
      <c r="E15" s="35"/>
      <c r="F15" s="62"/>
      <c r="G15" s="30"/>
      <c r="H15" s="60">
        <f t="shared" si="1"/>
        <v>609</v>
      </c>
      <c r="I15" s="30">
        <f t="shared" si="3"/>
        <v>16</v>
      </c>
      <c r="J15" s="30"/>
      <c r="K15" s="179">
        <f t="shared" si="2"/>
        <v>454</v>
      </c>
      <c r="L15" s="179"/>
      <c r="M15" s="179"/>
      <c r="N15" s="30">
        <f t="shared" si="4"/>
        <v>32</v>
      </c>
      <c r="O15" s="30"/>
      <c r="P15" s="31"/>
    </row>
    <row r="16" spans="1:16">
      <c r="A16" s="51" t="str">
        <f>'1. 소켓인수검사'!A14</f>
        <v>06</v>
      </c>
      <c r="B16" s="34">
        <f>'1. 소켓인수검사'!C14</f>
        <v>1400</v>
      </c>
      <c r="C16" s="34">
        <f>'1. 소켓인수검사'!D14</f>
        <v>900</v>
      </c>
      <c r="D16" s="30">
        <v>1</v>
      </c>
      <c r="E16" s="35"/>
      <c r="F16" s="62"/>
      <c r="G16" s="30"/>
      <c r="H16" s="60">
        <f t="shared" si="1"/>
        <v>684</v>
      </c>
      <c r="I16" s="30">
        <f t="shared" si="3"/>
        <v>16</v>
      </c>
      <c r="J16" s="30"/>
      <c r="K16" s="179">
        <f t="shared" si="2"/>
        <v>429</v>
      </c>
      <c r="L16" s="179"/>
      <c r="M16" s="179"/>
      <c r="N16" s="30">
        <f t="shared" si="4"/>
        <v>32</v>
      </c>
      <c r="O16" s="30"/>
      <c r="P16" s="31"/>
    </row>
    <row r="17" spans="1:16">
      <c r="A17" s="51" t="str">
        <f>'1. 소켓인수검사'!A15</f>
        <v>07</v>
      </c>
      <c r="B17" s="34">
        <f>'1. 소켓인수검사'!C15</f>
        <v>1400</v>
      </c>
      <c r="C17" s="34">
        <f>'1. 소켓인수검사'!D15</f>
        <v>900</v>
      </c>
      <c r="D17" s="30">
        <v>1</v>
      </c>
      <c r="E17" s="35"/>
      <c r="F17" s="62"/>
      <c r="G17" s="30"/>
      <c r="H17" s="60">
        <f t="shared" si="1"/>
        <v>684</v>
      </c>
      <c r="I17" s="30">
        <f t="shared" si="3"/>
        <v>16</v>
      </c>
      <c r="J17" s="30"/>
      <c r="K17" s="179">
        <f t="shared" si="2"/>
        <v>429</v>
      </c>
      <c r="L17" s="179"/>
      <c r="M17" s="179"/>
      <c r="N17" s="30">
        <f t="shared" si="4"/>
        <v>32</v>
      </c>
      <c r="O17" s="30"/>
      <c r="P17" s="31"/>
    </row>
    <row r="18" spans="1:16">
      <c r="A18" s="51" t="str">
        <f>'1. 소켓인수검사'!A16</f>
        <v>08</v>
      </c>
      <c r="B18" s="34">
        <f>'1. 소켓인수검사'!C16</f>
        <v>1400</v>
      </c>
      <c r="C18" s="34">
        <f>'1. 소켓인수검사'!D16</f>
        <v>900</v>
      </c>
      <c r="D18" s="30">
        <v>1</v>
      </c>
      <c r="E18" s="35"/>
      <c r="F18" s="62"/>
      <c r="G18" s="30"/>
      <c r="H18" s="60">
        <f t="shared" si="1"/>
        <v>684</v>
      </c>
      <c r="I18" s="30">
        <f t="shared" si="3"/>
        <v>16</v>
      </c>
      <c r="J18" s="30"/>
      <c r="K18" s="179">
        <f t="shared" si="2"/>
        <v>429</v>
      </c>
      <c r="L18" s="179"/>
      <c r="M18" s="179"/>
      <c r="N18" s="30">
        <f t="shared" si="4"/>
        <v>32</v>
      </c>
      <c r="O18" s="30"/>
      <c r="P18" s="31"/>
    </row>
    <row r="19" spans="1:16">
      <c r="A19" s="51" t="str">
        <f>'1. 소켓인수검사'!A17</f>
        <v>09</v>
      </c>
      <c r="B19" s="34">
        <f>'1. 소켓인수검사'!C17</f>
        <v>1400</v>
      </c>
      <c r="C19" s="34">
        <f>'1. 소켓인수검사'!D17</f>
        <v>900</v>
      </c>
      <c r="D19" s="30">
        <v>1</v>
      </c>
      <c r="E19" s="35"/>
      <c r="F19" s="62"/>
      <c r="G19" s="30"/>
      <c r="H19" s="60">
        <f t="shared" si="1"/>
        <v>684</v>
      </c>
      <c r="I19" s="30">
        <f t="shared" si="3"/>
        <v>16</v>
      </c>
      <c r="J19" s="30"/>
      <c r="K19" s="179">
        <f t="shared" si="2"/>
        <v>429</v>
      </c>
      <c r="L19" s="179"/>
      <c r="M19" s="179"/>
      <c r="N19" s="30">
        <f t="shared" si="4"/>
        <v>32</v>
      </c>
      <c r="O19" s="30"/>
      <c r="P19" s="31"/>
    </row>
    <row r="20" spans="1:16">
      <c r="A20" s="51" t="str">
        <f>'1. 소켓인수검사'!A18</f>
        <v>10</v>
      </c>
      <c r="B20" s="34">
        <f>'1. 소켓인수검사'!C18</f>
        <v>1400</v>
      </c>
      <c r="C20" s="34">
        <f>'1. 소켓인수검사'!D18</f>
        <v>900</v>
      </c>
      <c r="D20" s="30">
        <v>1</v>
      </c>
      <c r="E20" s="35"/>
      <c r="F20" s="62"/>
      <c r="G20" s="30"/>
      <c r="H20" s="60">
        <f t="shared" si="1"/>
        <v>684</v>
      </c>
      <c r="I20" s="30">
        <f t="shared" si="3"/>
        <v>16</v>
      </c>
      <c r="J20" s="30"/>
      <c r="K20" s="179">
        <f t="shared" si="2"/>
        <v>429</v>
      </c>
      <c r="L20" s="179"/>
      <c r="M20" s="179"/>
      <c r="N20" s="30">
        <f t="shared" si="4"/>
        <v>32</v>
      </c>
      <c r="O20" s="30"/>
      <c r="P20" s="31"/>
    </row>
    <row r="21" spans="1:16">
      <c r="A21" s="51" t="str">
        <f>'1. 소켓인수검사'!A19</f>
        <v>11</v>
      </c>
      <c r="B21" s="34">
        <f>'1. 소켓인수검사'!C19</f>
        <v>1400</v>
      </c>
      <c r="C21" s="34">
        <f>'1. 소켓인수검사'!D19</f>
        <v>900</v>
      </c>
      <c r="D21" s="30">
        <v>1</v>
      </c>
      <c r="E21" s="35"/>
      <c r="F21" s="62"/>
      <c r="G21" s="30"/>
      <c r="H21" s="60">
        <f t="shared" si="1"/>
        <v>684</v>
      </c>
      <c r="I21" s="30">
        <f>D21*8*2</f>
        <v>16</v>
      </c>
      <c r="J21" s="30"/>
      <c r="K21" s="179">
        <f t="shared" si="2"/>
        <v>429</v>
      </c>
      <c r="L21" s="179"/>
      <c r="M21" s="179"/>
      <c r="N21" s="30">
        <f>D21*16*2</f>
        <v>32</v>
      </c>
      <c r="O21" s="30"/>
      <c r="P21" s="31"/>
    </row>
    <row r="22" spans="1:16">
      <c r="A22" s="51" t="str">
        <f>'1. 소켓인수검사'!A20</f>
        <v>12</v>
      </c>
      <c r="B22" s="34">
        <f>'1. 소켓인수검사'!C20</f>
        <v>1400</v>
      </c>
      <c r="C22" s="34">
        <f>'1. 소켓인수검사'!D20</f>
        <v>900</v>
      </c>
      <c r="D22" s="30">
        <v>1</v>
      </c>
      <c r="E22" s="35"/>
      <c r="F22" s="62"/>
      <c r="G22" s="30"/>
      <c r="H22" s="60">
        <f t="shared" si="1"/>
        <v>684</v>
      </c>
      <c r="I22" s="30">
        <f>D22*8*2</f>
        <v>16</v>
      </c>
      <c r="J22" s="30"/>
      <c r="K22" s="179">
        <f t="shared" si="2"/>
        <v>429</v>
      </c>
      <c r="L22" s="179"/>
      <c r="M22" s="179"/>
      <c r="N22" s="30">
        <f>D22*16*2</f>
        <v>32</v>
      </c>
      <c r="O22" s="30"/>
      <c r="P22" s="31"/>
    </row>
    <row r="23" spans="1:16">
      <c r="A23" s="51" t="str">
        <f>'1. 소켓인수검사'!A21</f>
        <v>13</v>
      </c>
      <c r="B23" s="34">
        <f>'1. 소켓인수검사'!C21</f>
        <v>1400</v>
      </c>
      <c r="C23" s="34">
        <f>'1. 소켓인수검사'!D21</f>
        <v>900</v>
      </c>
      <c r="D23" s="30">
        <v>1</v>
      </c>
      <c r="E23" s="35"/>
      <c r="F23" s="62"/>
      <c r="G23" s="30"/>
      <c r="H23" s="60">
        <f t="shared" si="1"/>
        <v>684</v>
      </c>
      <c r="I23" s="30">
        <f t="shared" ref="I23:I29" si="5">D23*8*2</f>
        <v>16</v>
      </c>
      <c r="J23" s="30"/>
      <c r="K23" s="179">
        <f t="shared" si="2"/>
        <v>429</v>
      </c>
      <c r="L23" s="179"/>
      <c r="M23" s="179"/>
      <c r="N23" s="30">
        <f t="shared" ref="N23:N29" si="6">D23*16*2</f>
        <v>32</v>
      </c>
      <c r="O23" s="30"/>
      <c r="P23" s="31"/>
    </row>
    <row r="24" spans="1:16">
      <c r="A24" s="51" t="str">
        <f>'1. 소켓인수검사'!A22</f>
        <v>14</v>
      </c>
      <c r="B24" s="34">
        <f>'1. 소켓인수검사'!C22</f>
        <v>1400</v>
      </c>
      <c r="C24" s="34">
        <f>'1. 소켓인수검사'!D22</f>
        <v>900</v>
      </c>
      <c r="D24" s="30">
        <v>1</v>
      </c>
      <c r="E24" s="35"/>
      <c r="F24" s="62"/>
      <c r="G24" s="30"/>
      <c r="H24" s="60">
        <f t="shared" si="1"/>
        <v>684</v>
      </c>
      <c r="I24" s="30">
        <f t="shared" si="5"/>
        <v>16</v>
      </c>
      <c r="J24" s="30"/>
      <c r="K24" s="179">
        <f t="shared" si="2"/>
        <v>429</v>
      </c>
      <c r="L24" s="179"/>
      <c r="M24" s="179"/>
      <c r="N24" s="30">
        <f t="shared" si="6"/>
        <v>32</v>
      </c>
      <c r="O24" s="30"/>
      <c r="P24" s="31"/>
    </row>
    <row r="25" spans="1:16">
      <c r="A25" s="51" t="str">
        <f>'1. 소켓인수검사'!A23</f>
        <v>15</v>
      </c>
      <c r="B25" s="34">
        <f>'1. 소켓인수검사'!C23</f>
        <v>1400</v>
      </c>
      <c r="C25" s="34">
        <f>'1. 소켓인수검사'!D23</f>
        <v>900</v>
      </c>
      <c r="D25" s="30">
        <v>1</v>
      </c>
      <c r="E25" s="35"/>
      <c r="F25" s="62"/>
      <c r="G25" s="30"/>
      <c r="H25" s="60">
        <f t="shared" si="1"/>
        <v>684</v>
      </c>
      <c r="I25" s="30">
        <f t="shared" si="5"/>
        <v>16</v>
      </c>
      <c r="J25" s="30"/>
      <c r="K25" s="179">
        <f t="shared" si="2"/>
        <v>429</v>
      </c>
      <c r="L25" s="179"/>
      <c r="M25" s="179"/>
      <c r="N25" s="30">
        <f t="shared" si="6"/>
        <v>32</v>
      </c>
      <c r="O25" s="30"/>
      <c r="P25" s="31"/>
    </row>
    <row r="26" spans="1:16">
      <c r="A26" s="51" t="str">
        <f>'1. 소켓인수검사'!A24</f>
        <v>16</v>
      </c>
      <c r="B26" s="34">
        <f>'1. 소켓인수검사'!C24</f>
        <v>1400</v>
      </c>
      <c r="C26" s="34">
        <f>'1. 소켓인수검사'!D24</f>
        <v>900</v>
      </c>
      <c r="D26" s="30">
        <v>1</v>
      </c>
      <c r="E26" s="35"/>
      <c r="F26" s="62"/>
      <c r="G26" s="30"/>
      <c r="H26" s="60">
        <f t="shared" si="1"/>
        <v>684</v>
      </c>
      <c r="I26" s="30">
        <f t="shared" si="5"/>
        <v>16</v>
      </c>
      <c r="J26" s="30"/>
      <c r="K26" s="179">
        <f t="shared" si="2"/>
        <v>429</v>
      </c>
      <c r="L26" s="179"/>
      <c r="M26" s="179"/>
      <c r="N26" s="30">
        <f t="shared" si="6"/>
        <v>32</v>
      </c>
      <c r="O26" s="30"/>
      <c r="P26" s="31"/>
    </row>
    <row r="27" spans="1:16">
      <c r="A27" s="51" t="str">
        <f>'1. 소켓인수검사'!A25</f>
        <v>17</v>
      </c>
      <c r="B27" s="34">
        <f>'1. 소켓인수검사'!C25</f>
        <v>1400</v>
      </c>
      <c r="C27" s="34">
        <f>'1. 소켓인수검사'!D25</f>
        <v>900</v>
      </c>
      <c r="D27" s="30">
        <v>1</v>
      </c>
      <c r="E27" s="35"/>
      <c r="F27" s="62"/>
      <c r="G27" s="30"/>
      <c r="H27" s="60">
        <f t="shared" si="1"/>
        <v>684</v>
      </c>
      <c r="I27" s="30">
        <f t="shared" si="5"/>
        <v>16</v>
      </c>
      <c r="J27" s="30"/>
      <c r="K27" s="179">
        <f t="shared" si="2"/>
        <v>429</v>
      </c>
      <c r="L27" s="179"/>
      <c r="M27" s="179"/>
      <c r="N27" s="30">
        <f t="shared" si="6"/>
        <v>32</v>
      </c>
      <c r="O27" s="30"/>
      <c r="P27" s="31"/>
    </row>
    <row r="28" spans="1:16">
      <c r="A28" s="51" t="str">
        <f>'1. 소켓인수검사'!A26</f>
        <v>18</v>
      </c>
      <c r="B28" s="34">
        <f>'1. 소켓인수검사'!C26</f>
        <v>1400</v>
      </c>
      <c r="C28" s="34">
        <f>'1. 소켓인수검사'!D26</f>
        <v>900</v>
      </c>
      <c r="D28" s="30">
        <v>1</v>
      </c>
      <c r="E28" s="35"/>
      <c r="F28" s="62"/>
      <c r="G28" s="30"/>
      <c r="H28" s="60">
        <f t="shared" si="1"/>
        <v>684</v>
      </c>
      <c r="I28" s="30">
        <f t="shared" si="5"/>
        <v>16</v>
      </c>
      <c r="J28" s="30"/>
      <c r="K28" s="179">
        <f t="shared" si="2"/>
        <v>429</v>
      </c>
      <c r="L28" s="179"/>
      <c r="M28" s="179"/>
      <c r="N28" s="30">
        <f t="shared" si="6"/>
        <v>32</v>
      </c>
      <c r="O28" s="30"/>
      <c r="P28" s="31"/>
    </row>
    <row r="29" spans="1:16">
      <c r="A29" s="51" t="str">
        <f>'1. 소켓인수검사'!A27</f>
        <v>19</v>
      </c>
      <c r="B29" s="34">
        <f>'1. 소켓인수검사'!C27</f>
        <v>1400</v>
      </c>
      <c r="C29" s="34">
        <f>'1. 소켓인수검사'!D27</f>
        <v>900</v>
      </c>
      <c r="D29" s="30">
        <v>1</v>
      </c>
      <c r="E29" s="35"/>
      <c r="F29" s="62"/>
      <c r="G29" s="30"/>
      <c r="H29" s="60">
        <f t="shared" si="1"/>
        <v>684</v>
      </c>
      <c r="I29" s="30">
        <f t="shared" si="5"/>
        <v>16</v>
      </c>
      <c r="J29" s="30"/>
      <c r="K29" s="179">
        <f t="shared" si="2"/>
        <v>429</v>
      </c>
      <c r="L29" s="179"/>
      <c r="M29" s="179"/>
      <c r="N29" s="30">
        <f t="shared" si="6"/>
        <v>32</v>
      </c>
      <c r="O29" s="30"/>
      <c r="P29" s="31"/>
    </row>
    <row r="30" spans="1:16">
      <c r="A30" s="51" t="str">
        <f>'1. 소켓인수검사'!A28</f>
        <v>20</v>
      </c>
      <c r="B30" s="34">
        <f>'1. 소켓인수검사'!C28</f>
        <v>1400</v>
      </c>
      <c r="C30" s="34">
        <f>'1. 소켓인수검사'!D28</f>
        <v>900</v>
      </c>
      <c r="D30" s="30">
        <v>1</v>
      </c>
      <c r="E30" s="35"/>
      <c r="F30" s="62"/>
      <c r="G30" s="30"/>
      <c r="H30" s="60">
        <f t="shared" si="1"/>
        <v>684</v>
      </c>
      <c r="I30" s="30">
        <f>D30*8*2</f>
        <v>16</v>
      </c>
      <c r="J30" s="30"/>
      <c r="K30" s="179">
        <f t="shared" si="2"/>
        <v>429</v>
      </c>
      <c r="L30" s="179"/>
      <c r="M30" s="179"/>
      <c r="N30" s="30">
        <f>D30*16*2</f>
        <v>32</v>
      </c>
      <c r="O30" s="30"/>
      <c r="P30" s="31"/>
    </row>
    <row r="31" spans="1:16">
      <c r="A31" s="51" t="str">
        <f>'1. 소켓인수검사'!A29</f>
        <v>21</v>
      </c>
      <c r="B31" s="34">
        <f>'1. 소켓인수검사'!C29</f>
        <v>1600</v>
      </c>
      <c r="C31" s="34">
        <f>'1. 소켓인수검사'!D29</f>
        <v>950</v>
      </c>
      <c r="D31" s="30">
        <v>1</v>
      </c>
      <c r="E31" s="35"/>
      <c r="F31" s="62"/>
      <c r="G31" s="30"/>
      <c r="H31" s="60">
        <f t="shared" si="1"/>
        <v>784</v>
      </c>
      <c r="I31" s="30">
        <f>D31*8*2</f>
        <v>16</v>
      </c>
      <c r="J31" s="30"/>
      <c r="K31" s="179">
        <f t="shared" si="2"/>
        <v>454</v>
      </c>
      <c r="L31" s="179"/>
      <c r="M31" s="179"/>
      <c r="N31" s="30">
        <f>D31*16*2</f>
        <v>32</v>
      </c>
      <c r="O31" s="30"/>
      <c r="P31" s="31"/>
    </row>
    <row r="32" spans="1:16">
      <c r="A32" s="51" t="str">
        <f>'1. 소켓인수검사'!A30</f>
        <v>22</v>
      </c>
      <c r="B32" s="34">
        <f>'1. 소켓인수검사'!C30</f>
        <v>1600</v>
      </c>
      <c r="C32" s="34">
        <f>'1. 소켓인수검사'!D30</f>
        <v>950</v>
      </c>
      <c r="D32" s="30">
        <v>1</v>
      </c>
      <c r="E32" s="35"/>
      <c r="F32" s="62"/>
      <c r="G32" s="30"/>
      <c r="H32" s="60">
        <f t="shared" si="1"/>
        <v>784</v>
      </c>
      <c r="I32" s="30">
        <f t="shared" ref="I32:I38" si="7">D32*8*2</f>
        <v>16</v>
      </c>
      <c r="J32" s="30"/>
      <c r="K32" s="179">
        <f t="shared" si="2"/>
        <v>454</v>
      </c>
      <c r="L32" s="179"/>
      <c r="M32" s="179"/>
      <c r="N32" s="30">
        <f t="shared" ref="N32:N38" si="8">D32*16*2</f>
        <v>32</v>
      </c>
      <c r="O32" s="30"/>
      <c r="P32" s="31"/>
    </row>
    <row r="33" spans="1:16">
      <c r="A33" s="51" t="str">
        <f>'1. 소켓인수검사'!A31</f>
        <v>23</v>
      </c>
      <c r="B33" s="34">
        <f>'1. 소켓인수검사'!C31</f>
        <v>1600</v>
      </c>
      <c r="C33" s="34">
        <f>'1. 소켓인수검사'!D31</f>
        <v>950</v>
      </c>
      <c r="D33" s="30">
        <v>1</v>
      </c>
      <c r="E33" s="35"/>
      <c r="F33" s="62"/>
      <c r="G33" s="30"/>
      <c r="H33" s="60">
        <f t="shared" si="1"/>
        <v>784</v>
      </c>
      <c r="I33" s="30">
        <f t="shared" si="7"/>
        <v>16</v>
      </c>
      <c r="J33" s="30"/>
      <c r="K33" s="179">
        <f t="shared" si="2"/>
        <v>454</v>
      </c>
      <c r="L33" s="179"/>
      <c r="M33" s="179"/>
      <c r="N33" s="30">
        <f t="shared" si="8"/>
        <v>32</v>
      </c>
      <c r="O33" s="30"/>
      <c r="P33" s="31"/>
    </row>
    <row r="34" spans="1:16">
      <c r="A34" s="51" t="str">
        <f>'1. 소켓인수검사'!A32</f>
        <v>24</v>
      </c>
      <c r="B34" s="34">
        <f>'1. 소켓인수검사'!C32</f>
        <v>1600</v>
      </c>
      <c r="C34" s="34">
        <f>'1. 소켓인수검사'!D32</f>
        <v>950</v>
      </c>
      <c r="D34" s="30">
        <v>1</v>
      </c>
      <c r="E34" s="35"/>
      <c r="F34" s="62"/>
      <c r="G34" s="30"/>
      <c r="H34" s="60">
        <f t="shared" si="1"/>
        <v>784</v>
      </c>
      <c r="I34" s="30">
        <f t="shared" si="7"/>
        <v>16</v>
      </c>
      <c r="J34" s="30"/>
      <c r="K34" s="179">
        <f t="shared" si="2"/>
        <v>454</v>
      </c>
      <c r="L34" s="179"/>
      <c r="M34" s="179"/>
      <c r="N34" s="30">
        <f t="shared" si="8"/>
        <v>32</v>
      </c>
      <c r="O34" s="30"/>
      <c r="P34" s="31"/>
    </row>
    <row r="35" spans="1:16">
      <c r="A35" s="51" t="str">
        <f>'1. 소켓인수검사'!A33</f>
        <v>25</v>
      </c>
      <c r="B35" s="34">
        <f>'1. 소켓인수검사'!C33</f>
        <v>1600</v>
      </c>
      <c r="C35" s="34">
        <f>'1. 소켓인수검사'!D33</f>
        <v>950</v>
      </c>
      <c r="D35" s="30">
        <v>1</v>
      </c>
      <c r="E35" s="35"/>
      <c r="F35" s="62"/>
      <c r="G35" s="30"/>
      <c r="H35" s="60">
        <f t="shared" si="1"/>
        <v>784</v>
      </c>
      <c r="I35" s="30">
        <f t="shared" si="7"/>
        <v>16</v>
      </c>
      <c r="J35" s="30"/>
      <c r="K35" s="179">
        <f t="shared" si="2"/>
        <v>454</v>
      </c>
      <c r="L35" s="179"/>
      <c r="M35" s="179"/>
      <c r="N35" s="30">
        <f t="shared" si="8"/>
        <v>32</v>
      </c>
      <c r="O35" s="30"/>
      <c r="P35" s="31"/>
    </row>
    <row r="36" spans="1:16">
      <c r="A36" s="51" t="str">
        <f>'1. 소켓인수검사'!A34</f>
        <v>26</v>
      </c>
      <c r="B36" s="34">
        <f>'1. 소켓인수검사'!C34</f>
        <v>1600</v>
      </c>
      <c r="C36" s="34">
        <f>'1. 소켓인수검사'!D34</f>
        <v>950</v>
      </c>
      <c r="D36" s="30">
        <v>1</v>
      </c>
      <c r="E36" s="35"/>
      <c r="F36" s="62"/>
      <c r="G36" s="30"/>
      <c r="H36" s="60">
        <f t="shared" si="1"/>
        <v>784</v>
      </c>
      <c r="I36" s="30">
        <f t="shared" si="7"/>
        <v>16</v>
      </c>
      <c r="J36" s="30"/>
      <c r="K36" s="179">
        <f t="shared" si="2"/>
        <v>454</v>
      </c>
      <c r="L36" s="179"/>
      <c r="M36" s="179"/>
      <c r="N36" s="30">
        <f t="shared" si="8"/>
        <v>32</v>
      </c>
      <c r="O36" s="30"/>
      <c r="P36" s="31"/>
    </row>
    <row r="37" spans="1:16">
      <c r="A37" s="51" t="str">
        <f>'1. 소켓인수검사'!A35</f>
        <v>27</v>
      </c>
      <c r="B37" s="34">
        <f>'1. 소켓인수검사'!C35</f>
        <v>1600</v>
      </c>
      <c r="C37" s="34">
        <f>'1. 소켓인수검사'!D35</f>
        <v>950</v>
      </c>
      <c r="D37" s="30">
        <v>1</v>
      </c>
      <c r="E37" s="35"/>
      <c r="F37" s="62"/>
      <c r="G37" s="30"/>
      <c r="H37" s="60">
        <f t="shared" si="1"/>
        <v>784</v>
      </c>
      <c r="I37" s="30">
        <f t="shared" si="7"/>
        <v>16</v>
      </c>
      <c r="J37" s="30"/>
      <c r="K37" s="179">
        <f t="shared" si="2"/>
        <v>454</v>
      </c>
      <c r="L37" s="179"/>
      <c r="M37" s="179"/>
      <c r="N37" s="30">
        <f t="shared" si="8"/>
        <v>32</v>
      </c>
      <c r="O37" s="30"/>
      <c r="P37" s="31"/>
    </row>
    <row r="38" spans="1:16">
      <c r="A38" s="51" t="str">
        <f>'1. 소켓인수검사'!A36</f>
        <v>28</v>
      </c>
      <c r="B38" s="34">
        <f>'1. 소켓인수검사'!C36</f>
        <v>1600</v>
      </c>
      <c r="C38" s="34">
        <f>'1. 소켓인수검사'!D36</f>
        <v>950</v>
      </c>
      <c r="D38" s="30">
        <v>1</v>
      </c>
      <c r="E38" s="35"/>
      <c r="F38" s="62"/>
      <c r="G38" s="30"/>
      <c r="H38" s="60">
        <f t="shared" si="1"/>
        <v>784</v>
      </c>
      <c r="I38" s="30">
        <f t="shared" si="7"/>
        <v>16</v>
      </c>
      <c r="J38" s="30"/>
      <c r="K38" s="179">
        <f t="shared" si="2"/>
        <v>454</v>
      </c>
      <c r="L38" s="179"/>
      <c r="M38" s="179"/>
      <c r="N38" s="30">
        <f t="shared" si="8"/>
        <v>32</v>
      </c>
      <c r="O38" s="30"/>
      <c r="P38" s="31"/>
    </row>
    <row r="39" spans="1:16">
      <c r="A39" s="51" t="str">
        <f>'1. 소켓인수검사'!A37</f>
        <v>29</v>
      </c>
      <c r="B39" s="34">
        <f>'1. 소켓인수검사'!C37</f>
        <v>1600</v>
      </c>
      <c r="C39" s="34">
        <f>'1. 소켓인수검사'!D37</f>
        <v>950</v>
      </c>
      <c r="D39" s="30">
        <v>1</v>
      </c>
      <c r="E39" s="35"/>
      <c r="F39" s="62"/>
      <c r="G39" s="30"/>
      <c r="H39" s="60">
        <f t="shared" si="1"/>
        <v>784</v>
      </c>
      <c r="I39" s="30">
        <f>D39*8*2</f>
        <v>16</v>
      </c>
      <c r="J39" s="30"/>
      <c r="K39" s="179">
        <f t="shared" si="2"/>
        <v>454</v>
      </c>
      <c r="L39" s="179"/>
      <c r="M39" s="179"/>
      <c r="N39" s="30">
        <f>D39*16*2</f>
        <v>32</v>
      </c>
      <c r="O39" s="30"/>
      <c r="P39" s="31"/>
    </row>
    <row r="40" spans="1:16">
      <c r="A40" s="51" t="str">
        <f>'1. 소켓인수검사'!A38</f>
        <v>30</v>
      </c>
      <c r="B40" s="34">
        <f>'1. 소켓인수검사'!C38</f>
        <v>1600</v>
      </c>
      <c r="C40" s="34">
        <f>'1. 소켓인수검사'!D38</f>
        <v>950</v>
      </c>
      <c r="D40" s="30">
        <v>1</v>
      </c>
      <c r="E40" s="35"/>
      <c r="F40" s="62"/>
      <c r="G40" s="30"/>
      <c r="H40" s="60">
        <f t="shared" si="1"/>
        <v>784</v>
      </c>
      <c r="I40" s="30">
        <f>D40*8*2</f>
        <v>16</v>
      </c>
      <c r="J40" s="30"/>
      <c r="K40" s="179">
        <f t="shared" si="2"/>
        <v>454</v>
      </c>
      <c r="L40" s="179"/>
      <c r="M40" s="179"/>
      <c r="N40" s="30">
        <f>D40*16*2</f>
        <v>32</v>
      </c>
      <c r="O40" s="30"/>
      <c r="P40" s="31"/>
    </row>
    <row r="41" spans="1:16">
      <c r="A41" s="51" t="str">
        <f>'1. 소켓인수검사'!A39</f>
        <v>31</v>
      </c>
      <c r="B41" s="34">
        <v>2800</v>
      </c>
      <c r="C41" s="34">
        <f>'1. 소켓인수검사'!D39</f>
        <v>1000</v>
      </c>
      <c r="D41" s="30">
        <v>1</v>
      </c>
      <c r="E41" s="35"/>
      <c r="F41" s="62"/>
      <c r="G41" s="30"/>
      <c r="H41" s="102">
        <f t="shared" si="1"/>
        <v>1384</v>
      </c>
      <c r="I41" s="30">
        <f t="shared" ref="I41:I45" si="9">D41*8*2</f>
        <v>16</v>
      </c>
      <c r="J41" s="30"/>
      <c r="K41" s="179">
        <f t="shared" si="2"/>
        <v>479</v>
      </c>
      <c r="L41" s="179"/>
      <c r="M41" s="179"/>
      <c r="N41" s="30">
        <f t="shared" ref="N41:N45" si="10">D41*16*2</f>
        <v>32</v>
      </c>
      <c r="O41" s="30"/>
      <c r="P41" s="31" t="s">
        <v>151</v>
      </c>
    </row>
    <row r="42" spans="1:16">
      <c r="A42" s="51" t="str">
        <f>'1. 소켓인수검사'!A40</f>
        <v>32</v>
      </c>
      <c r="B42" s="34">
        <v>2800</v>
      </c>
      <c r="C42" s="34">
        <f>'1. 소켓인수검사'!D40</f>
        <v>1000</v>
      </c>
      <c r="D42" s="30">
        <v>1</v>
      </c>
      <c r="E42" s="35"/>
      <c r="F42" s="62"/>
      <c r="G42" s="30"/>
      <c r="H42" s="102">
        <f t="shared" si="1"/>
        <v>1384</v>
      </c>
      <c r="I42" s="30">
        <f t="shared" si="9"/>
        <v>16</v>
      </c>
      <c r="J42" s="30"/>
      <c r="K42" s="179">
        <f t="shared" si="2"/>
        <v>479</v>
      </c>
      <c r="L42" s="179"/>
      <c r="M42" s="179"/>
      <c r="N42" s="30">
        <f t="shared" si="10"/>
        <v>32</v>
      </c>
      <c r="O42" s="30"/>
      <c r="P42" s="31" t="s">
        <v>151</v>
      </c>
    </row>
    <row r="43" spans="1:16">
      <c r="A43" s="51" t="str">
        <f>'1. 소켓인수검사'!A41</f>
        <v>33</v>
      </c>
      <c r="B43" s="34">
        <v>2800</v>
      </c>
      <c r="C43" s="34">
        <f>'1. 소켓인수검사'!D41</f>
        <v>1000</v>
      </c>
      <c r="D43" s="30">
        <v>1</v>
      </c>
      <c r="E43" s="35"/>
      <c r="F43" s="62"/>
      <c r="G43" s="30"/>
      <c r="H43" s="102">
        <f t="shared" si="1"/>
        <v>1384</v>
      </c>
      <c r="I43" s="30">
        <f t="shared" si="9"/>
        <v>16</v>
      </c>
      <c r="J43" s="30"/>
      <c r="K43" s="179">
        <f t="shared" si="2"/>
        <v>479</v>
      </c>
      <c r="L43" s="179"/>
      <c r="M43" s="179"/>
      <c r="N43" s="30">
        <f t="shared" si="10"/>
        <v>32</v>
      </c>
      <c r="O43" s="30"/>
      <c r="P43" s="31" t="s">
        <v>151</v>
      </c>
    </row>
    <row r="44" spans="1:16">
      <c r="A44" s="51" t="str">
        <f>'1. 소켓인수검사'!A42</f>
        <v>34</v>
      </c>
      <c r="B44" s="34">
        <v>2800</v>
      </c>
      <c r="C44" s="34">
        <f>'1. 소켓인수검사'!D42</f>
        <v>1000</v>
      </c>
      <c r="D44" s="30">
        <v>1</v>
      </c>
      <c r="E44" s="35"/>
      <c r="F44" s="62"/>
      <c r="G44" s="30"/>
      <c r="H44" s="102">
        <f t="shared" si="1"/>
        <v>1384</v>
      </c>
      <c r="I44" s="30">
        <f t="shared" si="9"/>
        <v>16</v>
      </c>
      <c r="J44" s="30"/>
      <c r="K44" s="179">
        <f t="shared" si="2"/>
        <v>479</v>
      </c>
      <c r="L44" s="179"/>
      <c r="M44" s="179"/>
      <c r="N44" s="30">
        <f t="shared" si="10"/>
        <v>32</v>
      </c>
      <c r="O44" s="30"/>
      <c r="P44" s="31" t="s">
        <v>151</v>
      </c>
    </row>
    <row r="45" spans="1:16">
      <c r="A45" s="51" t="str">
        <f>'1. 소켓인수검사'!A43</f>
        <v>35</v>
      </c>
      <c r="B45" s="34">
        <v>2800</v>
      </c>
      <c r="C45" s="34">
        <f>'1. 소켓인수검사'!D43</f>
        <v>1000</v>
      </c>
      <c r="D45" s="30">
        <v>1</v>
      </c>
      <c r="E45" s="35"/>
      <c r="F45" s="62"/>
      <c r="G45" s="30"/>
      <c r="H45" s="102">
        <f t="shared" si="1"/>
        <v>1384</v>
      </c>
      <c r="I45" s="30">
        <f t="shared" si="9"/>
        <v>16</v>
      </c>
      <c r="J45" s="30"/>
      <c r="K45" s="179">
        <f t="shared" si="2"/>
        <v>479</v>
      </c>
      <c r="L45" s="179"/>
      <c r="M45" s="179"/>
      <c r="N45" s="30">
        <f t="shared" si="10"/>
        <v>32</v>
      </c>
      <c r="O45" s="30"/>
      <c r="P45" s="31" t="s">
        <v>151</v>
      </c>
    </row>
    <row r="46" spans="1:16" ht="8.1" customHeight="1">
      <c r="A46" s="18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81"/>
    </row>
    <row r="47" spans="1:16">
      <c r="A47" s="182" t="s">
        <v>45</v>
      </c>
      <c r="B47" s="18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82"/>
      <c r="B48" s="18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82"/>
      <c r="B49" s="18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82"/>
      <c r="B50" s="18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82"/>
      <c r="B51" s="18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82"/>
      <c r="B52" s="18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</sheetData>
  <mergeCells count="66"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8:A10"/>
    <mergeCell ref="B8:C8"/>
    <mergeCell ref="D8:D10"/>
    <mergeCell ref="E8:E10"/>
    <mergeCell ref="F8:F10"/>
    <mergeCell ref="E1:P4"/>
    <mergeCell ref="A7:P7"/>
    <mergeCell ref="K11:M11"/>
    <mergeCell ref="K12:M12"/>
    <mergeCell ref="K13:M13"/>
    <mergeCell ref="F5:G5"/>
    <mergeCell ref="H5:H6"/>
    <mergeCell ref="I5:J6"/>
    <mergeCell ref="K5:M6"/>
    <mergeCell ref="N5:P6"/>
    <mergeCell ref="F6:G6"/>
    <mergeCell ref="A1:D3"/>
    <mergeCell ref="A4:B4"/>
    <mergeCell ref="C4:D4"/>
    <mergeCell ref="A5:B6"/>
    <mergeCell ref="C5:D6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A46:P46"/>
    <mergeCell ref="A47:B52"/>
    <mergeCell ref="C47:P52"/>
    <mergeCell ref="K41:M41"/>
    <mergeCell ref="K42:M42"/>
    <mergeCell ref="K43:M43"/>
    <mergeCell ref="K44:M44"/>
    <mergeCell ref="K45:M45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51"/>
  <sheetViews>
    <sheetView showGridLines="0" topLeftCell="A25" zoomScaleNormal="100" zoomScaleSheetLayoutView="100" workbookViewId="0">
      <selection activeCell="A46" sqref="A46:Q46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1"/>
      <c r="B1" s="1"/>
      <c r="C1" s="1"/>
      <c r="D1" s="1"/>
      <c r="E1" s="183" t="s">
        <v>14</v>
      </c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5"/>
    </row>
    <row r="2" spans="1:17" ht="16.5" customHeight="1">
      <c r="A2" s="1"/>
      <c r="B2" s="1"/>
      <c r="C2" s="1"/>
      <c r="D2" s="1"/>
      <c r="E2" s="186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8"/>
    </row>
    <row r="3" spans="1:17" ht="16.5" customHeight="1">
      <c r="A3" s="1"/>
      <c r="B3" s="1"/>
      <c r="C3" s="1"/>
      <c r="D3" s="1"/>
      <c r="E3" s="186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8"/>
    </row>
    <row r="4" spans="1:17" ht="16.5" customHeight="1">
      <c r="A4" s="1" t="s">
        <v>16</v>
      </c>
      <c r="B4" s="1"/>
      <c r="C4" s="1"/>
      <c r="D4" s="1"/>
      <c r="E4" s="189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1"/>
    </row>
    <row r="5" spans="1:17" ht="16.5" customHeight="1">
      <c r="A5" s="1" t="s">
        <v>26</v>
      </c>
      <c r="B5" s="1"/>
      <c r="C5" s="1"/>
      <c r="D5" s="1"/>
      <c r="E5" s="6" t="s">
        <v>32</v>
      </c>
      <c r="F5" s="1"/>
      <c r="G5" s="1"/>
      <c r="H5" s="1" t="s">
        <v>59</v>
      </c>
      <c r="I5" s="1"/>
      <c r="J5" s="1"/>
      <c r="K5" s="180" t="s">
        <v>55</v>
      </c>
      <c r="L5" s="1"/>
      <c r="M5" s="1"/>
      <c r="N5" s="181"/>
      <c r="O5" s="196" t="str">
        <f>'1. 소켓인수검사'!R2</f>
        <v>26.06.05 엘티엔지니어링_신세계건설_대현기건(주)_트레이더스 의정부</v>
      </c>
      <c r="P5" s="196"/>
      <c r="Q5" s="196"/>
    </row>
    <row r="6" spans="1:17">
      <c r="A6" s="1"/>
      <c r="B6" s="1"/>
      <c r="C6" s="1"/>
      <c r="D6" s="1"/>
      <c r="E6" s="6" t="s">
        <v>29</v>
      </c>
      <c r="F6" s="1"/>
      <c r="G6" s="1"/>
      <c r="H6" s="1"/>
      <c r="I6" s="1"/>
      <c r="J6" s="1"/>
      <c r="K6" s="192"/>
      <c r="L6" s="193"/>
      <c r="M6" s="193"/>
      <c r="N6" s="194"/>
      <c r="O6" s="196"/>
      <c r="P6" s="196"/>
      <c r="Q6" s="196"/>
    </row>
    <row r="7" spans="1:17" ht="8.1" customHeight="1">
      <c r="A7" s="192"/>
      <c r="B7" s="193"/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4"/>
    </row>
    <row r="8" spans="1:17">
      <c r="A8" s="1" t="s">
        <v>56</v>
      </c>
      <c r="B8" s="198" t="s">
        <v>4</v>
      </c>
      <c r="C8" s="198"/>
      <c r="D8" s="198" t="s">
        <v>28</v>
      </c>
      <c r="E8" s="198" t="s">
        <v>24</v>
      </c>
      <c r="F8" s="198" t="s">
        <v>60</v>
      </c>
      <c r="G8" s="200" t="s">
        <v>27</v>
      </c>
      <c r="H8" s="201"/>
      <c r="I8" s="201"/>
      <c r="J8" s="201"/>
      <c r="K8" s="200"/>
      <c r="L8" s="201"/>
      <c r="M8" s="201"/>
      <c r="N8" s="201"/>
      <c r="O8" s="201"/>
      <c r="P8" s="202"/>
      <c r="Q8" s="198" t="s">
        <v>2</v>
      </c>
    </row>
    <row r="9" spans="1:17" ht="16.5" customHeight="1">
      <c r="A9" s="1"/>
      <c r="B9" s="200" t="s">
        <v>63</v>
      </c>
      <c r="C9" s="198" t="s">
        <v>61</v>
      </c>
      <c r="D9" s="198"/>
      <c r="E9" s="198"/>
      <c r="F9" s="198"/>
      <c r="G9" s="198" t="s">
        <v>57</v>
      </c>
      <c r="H9" s="198" t="s">
        <v>49</v>
      </c>
      <c r="I9" s="198"/>
      <c r="J9" s="199" t="s">
        <v>10</v>
      </c>
      <c r="K9" s="199" t="s">
        <v>57</v>
      </c>
      <c r="L9" s="198" t="s">
        <v>18</v>
      </c>
      <c r="M9" s="198"/>
      <c r="N9" s="198"/>
      <c r="O9" s="198"/>
      <c r="P9" s="199" t="s">
        <v>10</v>
      </c>
      <c r="Q9" s="198"/>
    </row>
    <row r="10" spans="1:17">
      <c r="A10" s="197"/>
      <c r="B10" s="203"/>
      <c r="C10" s="199"/>
      <c r="D10" s="199"/>
      <c r="E10" s="199"/>
      <c r="F10" s="199"/>
      <c r="G10" s="199"/>
      <c r="H10" s="23" t="s">
        <v>4</v>
      </c>
      <c r="I10" s="23" t="s">
        <v>31</v>
      </c>
      <c r="J10" s="204"/>
      <c r="K10" s="204"/>
      <c r="L10" s="205" t="s">
        <v>4</v>
      </c>
      <c r="M10" s="206"/>
      <c r="N10" s="207"/>
      <c r="O10" s="24" t="s">
        <v>31</v>
      </c>
      <c r="P10" s="204"/>
      <c r="Q10" s="199"/>
    </row>
    <row r="11" spans="1:17" ht="20.100000000000001" customHeight="1">
      <c r="A11" s="47" t="str">
        <f>'1. 소켓인수검사'!A9</f>
        <v>01</v>
      </c>
      <c r="B11" s="48">
        <f>'1. 소켓인수검사'!C9</f>
        <v>1250</v>
      </c>
      <c r="C11" s="48">
        <f>'1. 소켓인수검사'!D9</f>
        <v>950</v>
      </c>
      <c r="D11" s="50">
        <v>1</v>
      </c>
      <c r="E11" s="63"/>
      <c r="F11" s="210" t="s">
        <v>48</v>
      </c>
      <c r="G11" s="58">
        <f>228-3</f>
        <v>225</v>
      </c>
      <c r="H11" s="50">
        <f>((B11-30)/2)-1</f>
        <v>609</v>
      </c>
      <c r="I11" s="50">
        <f t="shared" ref="I11:I45" si="0">D11*4*2</f>
        <v>8</v>
      </c>
      <c r="J11" s="50"/>
      <c r="K11" s="58">
        <f>240-3</f>
        <v>237</v>
      </c>
      <c r="L11" s="212">
        <f t="shared" ref="L11:L21" si="1">C11</f>
        <v>950</v>
      </c>
      <c r="M11" s="213"/>
      <c r="N11" s="213"/>
      <c r="O11" s="50">
        <f t="shared" ref="O11:O21" si="2">D11*2*2</f>
        <v>4</v>
      </c>
      <c r="P11" s="25"/>
      <c r="Q11" s="26"/>
    </row>
    <row r="12" spans="1:17" ht="19.5" customHeight="1">
      <c r="A12" s="51" t="str">
        <f>'1. 소켓인수검사'!A10</f>
        <v>02</v>
      </c>
      <c r="B12" s="34">
        <f>'1. 소켓인수검사'!C10</f>
        <v>1250</v>
      </c>
      <c r="C12" s="34">
        <f>'1. 소켓인수검사'!D10</f>
        <v>950</v>
      </c>
      <c r="D12" s="30">
        <v>1</v>
      </c>
      <c r="E12" s="64"/>
      <c r="F12" s="211"/>
      <c r="G12" s="60">
        <f t="shared" ref="G12:G45" si="3">228-3</f>
        <v>225</v>
      </c>
      <c r="H12" s="30">
        <f>((B12-30)/2)-1</f>
        <v>609</v>
      </c>
      <c r="I12" s="30">
        <f t="shared" si="0"/>
        <v>8</v>
      </c>
      <c r="J12" s="30"/>
      <c r="K12" s="60">
        <f t="shared" ref="K12:K40" si="4">240-3</f>
        <v>237</v>
      </c>
      <c r="L12" s="208">
        <f t="shared" si="1"/>
        <v>950</v>
      </c>
      <c r="M12" s="209"/>
      <c r="N12" s="209"/>
      <c r="O12" s="30">
        <f t="shared" si="2"/>
        <v>4</v>
      </c>
      <c r="P12" s="27"/>
      <c r="Q12" s="28"/>
    </row>
    <row r="13" spans="1:17" ht="20.100000000000001" customHeight="1">
      <c r="A13" s="51" t="str">
        <f>'1. 소켓인수검사'!A11</f>
        <v>03</v>
      </c>
      <c r="B13" s="34">
        <f>'1. 소켓인수검사'!C11</f>
        <v>1250</v>
      </c>
      <c r="C13" s="34">
        <f>'1. 소켓인수검사'!D11</f>
        <v>950</v>
      </c>
      <c r="D13" s="30">
        <v>1</v>
      </c>
      <c r="E13" s="64"/>
      <c r="F13" s="211"/>
      <c r="G13" s="60">
        <f t="shared" si="3"/>
        <v>225</v>
      </c>
      <c r="H13" s="30">
        <f t="shared" ref="H13:H21" si="5">((B13-30)/2)-1</f>
        <v>609</v>
      </c>
      <c r="I13" s="30">
        <f t="shared" si="0"/>
        <v>8</v>
      </c>
      <c r="J13" s="30"/>
      <c r="K13" s="60">
        <f t="shared" si="4"/>
        <v>237</v>
      </c>
      <c r="L13" s="208">
        <f t="shared" si="1"/>
        <v>950</v>
      </c>
      <c r="M13" s="209"/>
      <c r="N13" s="209"/>
      <c r="O13" s="30">
        <f t="shared" si="2"/>
        <v>4</v>
      </c>
      <c r="P13" s="27"/>
      <c r="Q13" s="28"/>
    </row>
    <row r="14" spans="1:17" ht="20.100000000000001" customHeight="1">
      <c r="A14" s="51" t="str">
        <f>'1. 소켓인수검사'!A12</f>
        <v>04</v>
      </c>
      <c r="B14" s="34">
        <f>'1. 소켓인수검사'!C12</f>
        <v>1250</v>
      </c>
      <c r="C14" s="34">
        <f>'1. 소켓인수검사'!D12</f>
        <v>950</v>
      </c>
      <c r="D14" s="30">
        <v>1</v>
      </c>
      <c r="E14" s="64"/>
      <c r="F14" s="211"/>
      <c r="G14" s="60">
        <f t="shared" si="3"/>
        <v>225</v>
      </c>
      <c r="H14" s="30">
        <f t="shared" si="5"/>
        <v>609</v>
      </c>
      <c r="I14" s="30">
        <f t="shared" si="0"/>
        <v>8</v>
      </c>
      <c r="J14" s="30"/>
      <c r="K14" s="60">
        <f t="shared" si="4"/>
        <v>237</v>
      </c>
      <c r="L14" s="208">
        <f t="shared" si="1"/>
        <v>950</v>
      </c>
      <c r="M14" s="209"/>
      <c r="N14" s="209"/>
      <c r="O14" s="30">
        <f t="shared" si="2"/>
        <v>4</v>
      </c>
      <c r="P14" s="27"/>
      <c r="Q14" s="28"/>
    </row>
    <row r="15" spans="1:17" ht="20.100000000000001" customHeight="1">
      <c r="A15" s="51" t="str">
        <f>'1. 소켓인수검사'!A13</f>
        <v>05</v>
      </c>
      <c r="B15" s="34">
        <f>'1. 소켓인수검사'!C13</f>
        <v>1250</v>
      </c>
      <c r="C15" s="34">
        <f>'1. 소켓인수검사'!D13</f>
        <v>950</v>
      </c>
      <c r="D15" s="30">
        <v>1</v>
      </c>
      <c r="E15" s="64"/>
      <c r="F15" s="211"/>
      <c r="G15" s="60">
        <f t="shared" si="3"/>
        <v>225</v>
      </c>
      <c r="H15" s="30">
        <f t="shared" si="5"/>
        <v>609</v>
      </c>
      <c r="I15" s="30">
        <f t="shared" si="0"/>
        <v>8</v>
      </c>
      <c r="J15" s="30"/>
      <c r="K15" s="60">
        <f t="shared" si="4"/>
        <v>237</v>
      </c>
      <c r="L15" s="208">
        <f t="shared" si="1"/>
        <v>950</v>
      </c>
      <c r="M15" s="209"/>
      <c r="N15" s="209"/>
      <c r="O15" s="30">
        <f t="shared" si="2"/>
        <v>4</v>
      </c>
      <c r="P15" s="27"/>
      <c r="Q15" s="65"/>
    </row>
    <row r="16" spans="1:17" ht="20.100000000000001" customHeight="1">
      <c r="A16" s="51" t="str">
        <f>'1. 소켓인수검사'!A14</f>
        <v>06</v>
      </c>
      <c r="B16" s="34">
        <f>'1. 소켓인수검사'!C14</f>
        <v>1400</v>
      </c>
      <c r="C16" s="34">
        <f>'1. 소켓인수검사'!D14</f>
        <v>900</v>
      </c>
      <c r="D16" s="30">
        <v>1</v>
      </c>
      <c r="E16" s="64"/>
      <c r="F16" s="211"/>
      <c r="G16" s="60">
        <f t="shared" si="3"/>
        <v>225</v>
      </c>
      <c r="H16" s="30">
        <f t="shared" si="5"/>
        <v>684</v>
      </c>
      <c r="I16" s="30">
        <f t="shared" si="0"/>
        <v>8</v>
      </c>
      <c r="J16" s="30"/>
      <c r="K16" s="60">
        <f t="shared" si="4"/>
        <v>237</v>
      </c>
      <c r="L16" s="208">
        <f t="shared" si="1"/>
        <v>900</v>
      </c>
      <c r="M16" s="209"/>
      <c r="N16" s="209"/>
      <c r="O16" s="30">
        <f t="shared" si="2"/>
        <v>4</v>
      </c>
      <c r="P16" s="27"/>
      <c r="Q16" s="65"/>
    </row>
    <row r="17" spans="1:17" ht="20.100000000000001" customHeight="1">
      <c r="A17" s="51" t="str">
        <f>'1. 소켓인수검사'!A15</f>
        <v>07</v>
      </c>
      <c r="B17" s="34">
        <f>'1. 소켓인수검사'!C15</f>
        <v>1400</v>
      </c>
      <c r="C17" s="34">
        <f>'1. 소켓인수검사'!D15</f>
        <v>900</v>
      </c>
      <c r="D17" s="30">
        <v>1</v>
      </c>
      <c r="E17" s="64"/>
      <c r="F17" s="211"/>
      <c r="G17" s="60">
        <f t="shared" si="3"/>
        <v>225</v>
      </c>
      <c r="H17" s="30">
        <f t="shared" si="5"/>
        <v>684</v>
      </c>
      <c r="I17" s="30">
        <f t="shared" si="0"/>
        <v>8</v>
      </c>
      <c r="J17" s="30"/>
      <c r="K17" s="60">
        <f t="shared" si="4"/>
        <v>237</v>
      </c>
      <c r="L17" s="208">
        <f t="shared" si="1"/>
        <v>900</v>
      </c>
      <c r="M17" s="209"/>
      <c r="N17" s="209"/>
      <c r="O17" s="30">
        <f t="shared" si="2"/>
        <v>4</v>
      </c>
      <c r="P17" s="27"/>
      <c r="Q17" s="28"/>
    </row>
    <row r="18" spans="1:17" ht="20.100000000000001" customHeight="1">
      <c r="A18" s="51" t="str">
        <f>'1. 소켓인수검사'!A16</f>
        <v>08</v>
      </c>
      <c r="B18" s="34">
        <f>'1. 소켓인수검사'!C16</f>
        <v>1400</v>
      </c>
      <c r="C18" s="34">
        <f>'1. 소켓인수검사'!D16</f>
        <v>900</v>
      </c>
      <c r="D18" s="30">
        <v>1</v>
      </c>
      <c r="E18" s="64"/>
      <c r="F18" s="211"/>
      <c r="G18" s="60">
        <f t="shared" si="3"/>
        <v>225</v>
      </c>
      <c r="H18" s="30">
        <f t="shared" si="5"/>
        <v>684</v>
      </c>
      <c r="I18" s="30">
        <f t="shared" si="0"/>
        <v>8</v>
      </c>
      <c r="J18" s="30"/>
      <c r="K18" s="60">
        <f t="shared" si="4"/>
        <v>237</v>
      </c>
      <c r="L18" s="208">
        <f t="shared" si="1"/>
        <v>900</v>
      </c>
      <c r="M18" s="209"/>
      <c r="N18" s="209"/>
      <c r="O18" s="30">
        <f t="shared" si="2"/>
        <v>4</v>
      </c>
      <c r="P18" s="27"/>
      <c r="Q18" s="28"/>
    </row>
    <row r="19" spans="1:17" ht="20.100000000000001" customHeight="1">
      <c r="A19" s="51" t="str">
        <f>'1. 소켓인수검사'!A17</f>
        <v>09</v>
      </c>
      <c r="B19" s="34">
        <f>'1. 소켓인수검사'!C17</f>
        <v>1400</v>
      </c>
      <c r="C19" s="34">
        <f>'1. 소켓인수검사'!D17</f>
        <v>900</v>
      </c>
      <c r="D19" s="30">
        <v>1</v>
      </c>
      <c r="E19" s="64"/>
      <c r="F19" s="211"/>
      <c r="G19" s="60">
        <f t="shared" si="3"/>
        <v>225</v>
      </c>
      <c r="H19" s="30">
        <f t="shared" si="5"/>
        <v>684</v>
      </c>
      <c r="I19" s="30">
        <f t="shared" si="0"/>
        <v>8</v>
      </c>
      <c r="J19" s="30"/>
      <c r="K19" s="60">
        <f t="shared" si="4"/>
        <v>237</v>
      </c>
      <c r="L19" s="208">
        <f t="shared" si="1"/>
        <v>900</v>
      </c>
      <c r="M19" s="209"/>
      <c r="N19" s="209"/>
      <c r="O19" s="30">
        <f t="shared" si="2"/>
        <v>4</v>
      </c>
      <c r="P19" s="27"/>
      <c r="Q19" s="28"/>
    </row>
    <row r="20" spans="1:17" ht="20.100000000000001" customHeight="1">
      <c r="A20" s="51" t="str">
        <f>'1. 소켓인수검사'!A18</f>
        <v>10</v>
      </c>
      <c r="B20" s="34">
        <f>'1. 소켓인수검사'!C18</f>
        <v>1400</v>
      </c>
      <c r="C20" s="34">
        <f>'1. 소켓인수검사'!D18</f>
        <v>900</v>
      </c>
      <c r="D20" s="30">
        <v>1</v>
      </c>
      <c r="E20" s="64"/>
      <c r="F20" s="211"/>
      <c r="G20" s="60">
        <f t="shared" si="3"/>
        <v>225</v>
      </c>
      <c r="H20" s="30">
        <f t="shared" si="5"/>
        <v>684</v>
      </c>
      <c r="I20" s="30">
        <f t="shared" si="0"/>
        <v>8</v>
      </c>
      <c r="J20" s="30"/>
      <c r="K20" s="60">
        <f t="shared" si="4"/>
        <v>237</v>
      </c>
      <c r="L20" s="208">
        <f t="shared" si="1"/>
        <v>900</v>
      </c>
      <c r="M20" s="209"/>
      <c r="N20" s="209"/>
      <c r="O20" s="30">
        <f t="shared" si="2"/>
        <v>4</v>
      </c>
      <c r="P20" s="27"/>
      <c r="Q20" s="28"/>
    </row>
    <row r="21" spans="1:17" ht="20.100000000000001" customHeight="1">
      <c r="A21" s="51" t="str">
        <f>'1. 소켓인수검사'!A19</f>
        <v>11</v>
      </c>
      <c r="B21" s="34">
        <f>'1. 소켓인수검사'!C19</f>
        <v>1400</v>
      </c>
      <c r="C21" s="34">
        <f>'1. 소켓인수검사'!D19</f>
        <v>900</v>
      </c>
      <c r="D21" s="30">
        <v>1</v>
      </c>
      <c r="E21" s="64"/>
      <c r="F21" s="211"/>
      <c r="G21" s="60">
        <f t="shared" si="3"/>
        <v>225</v>
      </c>
      <c r="H21" s="30">
        <f t="shared" si="5"/>
        <v>684</v>
      </c>
      <c r="I21" s="30">
        <f t="shared" si="0"/>
        <v>8</v>
      </c>
      <c r="J21" s="30"/>
      <c r="K21" s="60">
        <f t="shared" si="4"/>
        <v>237</v>
      </c>
      <c r="L21" s="208">
        <f t="shared" si="1"/>
        <v>900</v>
      </c>
      <c r="M21" s="209"/>
      <c r="N21" s="209"/>
      <c r="O21" s="30">
        <f t="shared" si="2"/>
        <v>4</v>
      </c>
      <c r="P21" s="27"/>
      <c r="Q21" s="28"/>
    </row>
    <row r="22" spans="1:17" ht="20.100000000000001" customHeight="1">
      <c r="A22" s="51" t="str">
        <f>'1. 소켓인수검사'!A20</f>
        <v>12</v>
      </c>
      <c r="B22" s="34">
        <f>'1. 소켓인수검사'!C20</f>
        <v>1400</v>
      </c>
      <c r="C22" s="34">
        <f>'1. 소켓인수검사'!D20</f>
        <v>900</v>
      </c>
      <c r="D22" s="30">
        <v>1</v>
      </c>
      <c r="E22" s="64"/>
      <c r="F22" s="211"/>
      <c r="G22" s="60">
        <f t="shared" si="3"/>
        <v>225</v>
      </c>
      <c r="H22" s="30">
        <f>((B22-30)/2)-1</f>
        <v>684</v>
      </c>
      <c r="I22" s="30">
        <f t="shared" si="0"/>
        <v>8</v>
      </c>
      <c r="J22" s="30"/>
      <c r="K22" s="60">
        <f t="shared" si="4"/>
        <v>237</v>
      </c>
      <c r="L22" s="208">
        <f t="shared" ref="L22:L37" si="6">C22</f>
        <v>900</v>
      </c>
      <c r="M22" s="209"/>
      <c r="N22" s="209"/>
      <c r="O22" s="30">
        <f t="shared" ref="O22:O37" si="7">D22*2*2</f>
        <v>4</v>
      </c>
      <c r="P22" s="27"/>
      <c r="Q22" s="28"/>
    </row>
    <row r="23" spans="1:17" ht="20.100000000000001" customHeight="1">
      <c r="A23" s="51" t="str">
        <f>'1. 소켓인수검사'!A21</f>
        <v>13</v>
      </c>
      <c r="B23" s="34">
        <f>'1. 소켓인수검사'!C21</f>
        <v>1400</v>
      </c>
      <c r="C23" s="34">
        <f>'1. 소켓인수검사'!D21</f>
        <v>900</v>
      </c>
      <c r="D23" s="30">
        <v>1</v>
      </c>
      <c r="E23" s="64"/>
      <c r="F23" s="211"/>
      <c r="G23" s="60">
        <f t="shared" si="3"/>
        <v>225</v>
      </c>
      <c r="H23" s="30">
        <f t="shared" ref="H23:H27" si="8">((B23-30)/2)-1</f>
        <v>684</v>
      </c>
      <c r="I23" s="30">
        <f t="shared" si="0"/>
        <v>8</v>
      </c>
      <c r="J23" s="30"/>
      <c r="K23" s="60">
        <f t="shared" si="4"/>
        <v>237</v>
      </c>
      <c r="L23" s="208">
        <f t="shared" si="6"/>
        <v>900</v>
      </c>
      <c r="M23" s="209"/>
      <c r="N23" s="209"/>
      <c r="O23" s="30">
        <f t="shared" si="7"/>
        <v>4</v>
      </c>
      <c r="P23" s="27"/>
      <c r="Q23" s="28"/>
    </row>
    <row r="24" spans="1:17" ht="20.100000000000001" customHeight="1">
      <c r="A24" s="51" t="str">
        <f>'1. 소켓인수검사'!A22</f>
        <v>14</v>
      </c>
      <c r="B24" s="34">
        <f>'1. 소켓인수검사'!C22</f>
        <v>1400</v>
      </c>
      <c r="C24" s="34">
        <f>'1. 소켓인수검사'!D22</f>
        <v>900</v>
      </c>
      <c r="D24" s="30">
        <v>1</v>
      </c>
      <c r="E24" s="64"/>
      <c r="F24" s="211"/>
      <c r="G24" s="60">
        <f t="shared" si="3"/>
        <v>225</v>
      </c>
      <c r="H24" s="30">
        <f t="shared" si="8"/>
        <v>684</v>
      </c>
      <c r="I24" s="30">
        <f t="shared" si="0"/>
        <v>8</v>
      </c>
      <c r="J24" s="30"/>
      <c r="K24" s="60">
        <f t="shared" si="4"/>
        <v>237</v>
      </c>
      <c r="L24" s="208">
        <f t="shared" si="6"/>
        <v>900</v>
      </c>
      <c r="M24" s="209"/>
      <c r="N24" s="209"/>
      <c r="O24" s="30">
        <f t="shared" si="7"/>
        <v>4</v>
      </c>
      <c r="P24" s="27"/>
      <c r="Q24" s="28"/>
    </row>
    <row r="25" spans="1:17" ht="20.100000000000001" customHeight="1">
      <c r="A25" s="51" t="str">
        <f>'1. 소켓인수검사'!A23</f>
        <v>15</v>
      </c>
      <c r="B25" s="34">
        <f>'1. 소켓인수검사'!C23</f>
        <v>1400</v>
      </c>
      <c r="C25" s="34">
        <f>'1. 소켓인수검사'!D23</f>
        <v>900</v>
      </c>
      <c r="D25" s="30">
        <v>1</v>
      </c>
      <c r="E25" s="64"/>
      <c r="F25" s="211"/>
      <c r="G25" s="60">
        <f t="shared" si="3"/>
        <v>225</v>
      </c>
      <c r="H25" s="30">
        <f t="shared" si="8"/>
        <v>684</v>
      </c>
      <c r="I25" s="30">
        <f t="shared" si="0"/>
        <v>8</v>
      </c>
      <c r="J25" s="30"/>
      <c r="K25" s="60">
        <f t="shared" si="4"/>
        <v>237</v>
      </c>
      <c r="L25" s="208">
        <f t="shared" si="6"/>
        <v>900</v>
      </c>
      <c r="M25" s="209"/>
      <c r="N25" s="209"/>
      <c r="O25" s="30">
        <f t="shared" si="7"/>
        <v>4</v>
      </c>
      <c r="P25" s="27"/>
      <c r="Q25" s="65"/>
    </row>
    <row r="26" spans="1:17" ht="20.100000000000001" customHeight="1">
      <c r="A26" s="51" t="str">
        <f>'1. 소켓인수검사'!A24</f>
        <v>16</v>
      </c>
      <c r="B26" s="34">
        <f>'1. 소켓인수검사'!C24</f>
        <v>1400</v>
      </c>
      <c r="C26" s="34">
        <f>'1. 소켓인수검사'!D24</f>
        <v>900</v>
      </c>
      <c r="D26" s="30">
        <v>1</v>
      </c>
      <c r="E26" s="64"/>
      <c r="F26" s="211"/>
      <c r="G26" s="60">
        <f t="shared" si="3"/>
        <v>225</v>
      </c>
      <c r="H26" s="30">
        <f t="shared" si="8"/>
        <v>684</v>
      </c>
      <c r="I26" s="30">
        <f t="shared" si="0"/>
        <v>8</v>
      </c>
      <c r="J26" s="30"/>
      <c r="K26" s="60">
        <f t="shared" si="4"/>
        <v>237</v>
      </c>
      <c r="L26" s="208">
        <f t="shared" si="6"/>
        <v>900</v>
      </c>
      <c r="M26" s="209"/>
      <c r="N26" s="209"/>
      <c r="O26" s="30">
        <f t="shared" si="7"/>
        <v>4</v>
      </c>
      <c r="P26" s="27"/>
      <c r="Q26" s="65"/>
    </row>
    <row r="27" spans="1:17" ht="20.100000000000001" customHeight="1">
      <c r="A27" s="51" t="str">
        <f>'1. 소켓인수검사'!A25</f>
        <v>17</v>
      </c>
      <c r="B27" s="34">
        <f>'1. 소켓인수검사'!C25</f>
        <v>1400</v>
      </c>
      <c r="C27" s="34">
        <f>'1. 소켓인수검사'!D25</f>
        <v>900</v>
      </c>
      <c r="D27" s="30">
        <v>1</v>
      </c>
      <c r="E27" s="64"/>
      <c r="F27" s="211"/>
      <c r="G27" s="60">
        <f t="shared" si="3"/>
        <v>225</v>
      </c>
      <c r="H27" s="30">
        <f t="shared" si="8"/>
        <v>684</v>
      </c>
      <c r="I27" s="30">
        <f t="shared" si="0"/>
        <v>8</v>
      </c>
      <c r="J27" s="30"/>
      <c r="K27" s="60">
        <f t="shared" si="4"/>
        <v>237</v>
      </c>
      <c r="L27" s="208">
        <f t="shared" si="6"/>
        <v>900</v>
      </c>
      <c r="M27" s="209"/>
      <c r="N27" s="209"/>
      <c r="O27" s="30">
        <f t="shared" si="7"/>
        <v>4</v>
      </c>
      <c r="P27" s="27"/>
      <c r="Q27" s="28"/>
    </row>
    <row r="28" spans="1:17" ht="19.5" customHeight="1">
      <c r="A28" s="51" t="str">
        <f>'1. 소켓인수검사'!A26</f>
        <v>18</v>
      </c>
      <c r="B28" s="34">
        <f>'1. 소켓인수검사'!C26</f>
        <v>1400</v>
      </c>
      <c r="C28" s="34">
        <f>'1. 소켓인수검사'!D26</f>
        <v>900</v>
      </c>
      <c r="D28" s="30">
        <v>1</v>
      </c>
      <c r="E28" s="64"/>
      <c r="F28" s="211"/>
      <c r="G28" s="60">
        <f t="shared" si="3"/>
        <v>225</v>
      </c>
      <c r="H28" s="30">
        <f>((B28-30)/2)-1</f>
        <v>684</v>
      </c>
      <c r="I28" s="30">
        <f t="shared" si="0"/>
        <v>8</v>
      </c>
      <c r="J28" s="30"/>
      <c r="K28" s="60">
        <f t="shared" si="4"/>
        <v>237</v>
      </c>
      <c r="L28" s="208">
        <f t="shared" si="6"/>
        <v>900</v>
      </c>
      <c r="M28" s="209"/>
      <c r="N28" s="209"/>
      <c r="O28" s="30">
        <f t="shared" si="7"/>
        <v>4</v>
      </c>
      <c r="P28" s="27"/>
      <c r="Q28" s="28"/>
    </row>
    <row r="29" spans="1:17" ht="20.100000000000001" customHeight="1">
      <c r="A29" s="51" t="str">
        <f>'1. 소켓인수검사'!A27</f>
        <v>19</v>
      </c>
      <c r="B29" s="34">
        <f>'1. 소켓인수검사'!C27</f>
        <v>1400</v>
      </c>
      <c r="C29" s="34">
        <f>'1. 소켓인수검사'!D27</f>
        <v>900</v>
      </c>
      <c r="D29" s="30">
        <v>1</v>
      </c>
      <c r="E29" s="64"/>
      <c r="F29" s="211"/>
      <c r="G29" s="60">
        <f t="shared" si="3"/>
        <v>225</v>
      </c>
      <c r="H29" s="30">
        <f t="shared" ref="H29:H41" si="9">((B29-30)/2)-1</f>
        <v>684</v>
      </c>
      <c r="I29" s="30">
        <f t="shared" si="0"/>
        <v>8</v>
      </c>
      <c r="J29" s="30"/>
      <c r="K29" s="60">
        <f t="shared" si="4"/>
        <v>237</v>
      </c>
      <c r="L29" s="208">
        <f t="shared" si="6"/>
        <v>900</v>
      </c>
      <c r="M29" s="209"/>
      <c r="N29" s="209"/>
      <c r="O29" s="30">
        <f t="shared" si="7"/>
        <v>4</v>
      </c>
      <c r="P29" s="27"/>
      <c r="Q29" s="28"/>
    </row>
    <row r="30" spans="1:17" ht="20.100000000000001" customHeight="1">
      <c r="A30" s="51" t="str">
        <f>'1. 소켓인수검사'!A28</f>
        <v>20</v>
      </c>
      <c r="B30" s="34">
        <f>'1. 소켓인수검사'!C28</f>
        <v>1400</v>
      </c>
      <c r="C30" s="34">
        <f>'1. 소켓인수검사'!D28</f>
        <v>900</v>
      </c>
      <c r="D30" s="30">
        <v>1</v>
      </c>
      <c r="E30" s="64"/>
      <c r="F30" s="211"/>
      <c r="G30" s="60">
        <f t="shared" si="3"/>
        <v>225</v>
      </c>
      <c r="H30" s="30">
        <f t="shared" si="9"/>
        <v>684</v>
      </c>
      <c r="I30" s="30">
        <f t="shared" si="0"/>
        <v>8</v>
      </c>
      <c r="J30" s="30"/>
      <c r="K30" s="60">
        <f t="shared" si="4"/>
        <v>237</v>
      </c>
      <c r="L30" s="208">
        <f t="shared" si="6"/>
        <v>900</v>
      </c>
      <c r="M30" s="209"/>
      <c r="N30" s="209"/>
      <c r="O30" s="30">
        <f t="shared" si="7"/>
        <v>4</v>
      </c>
      <c r="P30" s="27"/>
      <c r="Q30" s="28"/>
    </row>
    <row r="31" spans="1:17" ht="20.100000000000001" customHeight="1">
      <c r="A31" s="51" t="str">
        <f>'1. 소켓인수검사'!A29</f>
        <v>21</v>
      </c>
      <c r="B31" s="34">
        <f>'1. 소켓인수검사'!C29</f>
        <v>1600</v>
      </c>
      <c r="C31" s="34">
        <f>'1. 소켓인수검사'!D29</f>
        <v>950</v>
      </c>
      <c r="D31" s="30">
        <v>1</v>
      </c>
      <c r="E31" s="64"/>
      <c r="F31" s="211"/>
      <c r="G31" s="60">
        <f t="shared" si="3"/>
        <v>225</v>
      </c>
      <c r="H31" s="30">
        <f t="shared" si="9"/>
        <v>784</v>
      </c>
      <c r="I31" s="30">
        <f t="shared" si="0"/>
        <v>8</v>
      </c>
      <c r="J31" s="30"/>
      <c r="K31" s="60">
        <f t="shared" si="4"/>
        <v>237</v>
      </c>
      <c r="L31" s="208">
        <f t="shared" si="6"/>
        <v>950</v>
      </c>
      <c r="M31" s="209"/>
      <c r="N31" s="209"/>
      <c r="O31" s="30">
        <f t="shared" si="7"/>
        <v>4</v>
      </c>
      <c r="P31" s="27"/>
      <c r="Q31" s="65"/>
    </row>
    <row r="32" spans="1:17" ht="20.100000000000001" customHeight="1">
      <c r="A32" s="51" t="str">
        <f>'1. 소켓인수검사'!A30</f>
        <v>22</v>
      </c>
      <c r="B32" s="34">
        <f>'1. 소켓인수검사'!C30</f>
        <v>1600</v>
      </c>
      <c r="C32" s="34">
        <f>'1. 소켓인수검사'!D30</f>
        <v>950</v>
      </c>
      <c r="D32" s="30">
        <v>1</v>
      </c>
      <c r="E32" s="64"/>
      <c r="F32" s="211"/>
      <c r="G32" s="60">
        <f t="shared" si="3"/>
        <v>225</v>
      </c>
      <c r="H32" s="30">
        <f t="shared" si="9"/>
        <v>784</v>
      </c>
      <c r="I32" s="30">
        <f t="shared" si="0"/>
        <v>8</v>
      </c>
      <c r="J32" s="30"/>
      <c r="K32" s="60">
        <f t="shared" si="4"/>
        <v>237</v>
      </c>
      <c r="L32" s="208">
        <f t="shared" si="6"/>
        <v>950</v>
      </c>
      <c r="M32" s="209"/>
      <c r="N32" s="209"/>
      <c r="O32" s="30">
        <f t="shared" si="7"/>
        <v>4</v>
      </c>
      <c r="P32" s="27"/>
      <c r="Q32" s="65"/>
    </row>
    <row r="33" spans="1:17" ht="20.100000000000001" customHeight="1">
      <c r="A33" s="51" t="str">
        <f>'1. 소켓인수검사'!A31</f>
        <v>23</v>
      </c>
      <c r="B33" s="34">
        <f>'1. 소켓인수검사'!C31</f>
        <v>1600</v>
      </c>
      <c r="C33" s="34">
        <f>'1. 소켓인수검사'!D31</f>
        <v>950</v>
      </c>
      <c r="D33" s="30">
        <v>1</v>
      </c>
      <c r="E33" s="64"/>
      <c r="F33" s="211"/>
      <c r="G33" s="60">
        <f t="shared" si="3"/>
        <v>225</v>
      </c>
      <c r="H33" s="30">
        <f t="shared" si="9"/>
        <v>784</v>
      </c>
      <c r="I33" s="30">
        <f t="shared" si="0"/>
        <v>8</v>
      </c>
      <c r="J33" s="30"/>
      <c r="K33" s="60">
        <f t="shared" si="4"/>
        <v>237</v>
      </c>
      <c r="L33" s="208">
        <f t="shared" si="6"/>
        <v>950</v>
      </c>
      <c r="M33" s="209"/>
      <c r="N33" s="209"/>
      <c r="O33" s="30">
        <f t="shared" si="7"/>
        <v>4</v>
      </c>
      <c r="P33" s="27"/>
      <c r="Q33" s="28"/>
    </row>
    <row r="34" spans="1:17" ht="20.100000000000001" customHeight="1">
      <c r="A34" s="51" t="str">
        <f>'1. 소켓인수검사'!A32</f>
        <v>24</v>
      </c>
      <c r="B34" s="34">
        <f>'1. 소켓인수검사'!C32</f>
        <v>1600</v>
      </c>
      <c r="C34" s="34">
        <f>'1. 소켓인수검사'!D32</f>
        <v>950</v>
      </c>
      <c r="D34" s="30">
        <v>1</v>
      </c>
      <c r="E34" s="64"/>
      <c r="F34" s="211"/>
      <c r="G34" s="60">
        <f t="shared" si="3"/>
        <v>225</v>
      </c>
      <c r="H34" s="30">
        <f t="shared" si="9"/>
        <v>784</v>
      </c>
      <c r="I34" s="30">
        <f t="shared" si="0"/>
        <v>8</v>
      </c>
      <c r="J34" s="30"/>
      <c r="K34" s="60">
        <f t="shared" si="4"/>
        <v>237</v>
      </c>
      <c r="L34" s="208">
        <f t="shared" si="6"/>
        <v>950</v>
      </c>
      <c r="M34" s="209"/>
      <c r="N34" s="209"/>
      <c r="O34" s="30">
        <f t="shared" si="7"/>
        <v>4</v>
      </c>
      <c r="P34" s="27"/>
      <c r="Q34" s="28"/>
    </row>
    <row r="35" spans="1:17" ht="20.100000000000001" customHeight="1">
      <c r="A35" s="51" t="str">
        <f>'1. 소켓인수검사'!A33</f>
        <v>25</v>
      </c>
      <c r="B35" s="34">
        <f>'1. 소켓인수검사'!C33</f>
        <v>1600</v>
      </c>
      <c r="C35" s="34">
        <f>'1. 소켓인수검사'!D33</f>
        <v>950</v>
      </c>
      <c r="D35" s="30">
        <v>1</v>
      </c>
      <c r="E35" s="64"/>
      <c r="F35" s="211"/>
      <c r="G35" s="60">
        <f t="shared" si="3"/>
        <v>225</v>
      </c>
      <c r="H35" s="30">
        <f t="shared" si="9"/>
        <v>784</v>
      </c>
      <c r="I35" s="30">
        <f t="shared" si="0"/>
        <v>8</v>
      </c>
      <c r="J35" s="30"/>
      <c r="K35" s="60">
        <f t="shared" si="4"/>
        <v>237</v>
      </c>
      <c r="L35" s="208">
        <f t="shared" si="6"/>
        <v>950</v>
      </c>
      <c r="M35" s="209"/>
      <c r="N35" s="209"/>
      <c r="O35" s="30">
        <f t="shared" si="7"/>
        <v>4</v>
      </c>
      <c r="P35" s="27"/>
      <c r="Q35" s="28"/>
    </row>
    <row r="36" spans="1:17" ht="20.100000000000001" customHeight="1">
      <c r="A36" s="51" t="str">
        <f>'1. 소켓인수검사'!A34</f>
        <v>26</v>
      </c>
      <c r="B36" s="34">
        <f>'1. 소켓인수검사'!C34</f>
        <v>1600</v>
      </c>
      <c r="C36" s="34">
        <f>'1. 소켓인수검사'!D34</f>
        <v>950</v>
      </c>
      <c r="D36" s="30">
        <v>1</v>
      </c>
      <c r="E36" s="64"/>
      <c r="F36" s="211"/>
      <c r="G36" s="60">
        <f t="shared" si="3"/>
        <v>225</v>
      </c>
      <c r="H36" s="30">
        <f t="shared" si="9"/>
        <v>784</v>
      </c>
      <c r="I36" s="30">
        <f t="shared" si="0"/>
        <v>8</v>
      </c>
      <c r="J36" s="30"/>
      <c r="K36" s="60">
        <f t="shared" si="4"/>
        <v>237</v>
      </c>
      <c r="L36" s="208">
        <f t="shared" si="6"/>
        <v>950</v>
      </c>
      <c r="M36" s="209"/>
      <c r="N36" s="209"/>
      <c r="O36" s="30">
        <f t="shared" si="7"/>
        <v>4</v>
      </c>
      <c r="P36" s="27"/>
      <c r="Q36" s="28"/>
    </row>
    <row r="37" spans="1:17" ht="20.100000000000001" customHeight="1">
      <c r="A37" s="51" t="str">
        <f>'1. 소켓인수검사'!A35</f>
        <v>27</v>
      </c>
      <c r="B37" s="34">
        <f>'1. 소켓인수검사'!C35</f>
        <v>1600</v>
      </c>
      <c r="C37" s="34">
        <f>'1. 소켓인수검사'!D35</f>
        <v>950</v>
      </c>
      <c r="D37" s="30">
        <v>1</v>
      </c>
      <c r="E37" s="64"/>
      <c r="F37" s="211"/>
      <c r="G37" s="60">
        <f t="shared" si="3"/>
        <v>225</v>
      </c>
      <c r="H37" s="30">
        <f t="shared" si="9"/>
        <v>784</v>
      </c>
      <c r="I37" s="30">
        <f t="shared" si="0"/>
        <v>8</v>
      </c>
      <c r="J37" s="30"/>
      <c r="K37" s="60">
        <f t="shared" si="4"/>
        <v>237</v>
      </c>
      <c r="L37" s="208">
        <f t="shared" si="6"/>
        <v>950</v>
      </c>
      <c r="M37" s="209"/>
      <c r="N37" s="209"/>
      <c r="O37" s="30">
        <f t="shared" si="7"/>
        <v>4</v>
      </c>
      <c r="P37" s="27"/>
      <c r="Q37" s="28"/>
    </row>
    <row r="38" spans="1:17" ht="20.100000000000001" customHeight="1">
      <c r="A38" s="51" t="str">
        <f>'1. 소켓인수검사'!A36</f>
        <v>28</v>
      </c>
      <c r="B38" s="34">
        <f>'1. 소켓인수검사'!C36</f>
        <v>1600</v>
      </c>
      <c r="C38" s="34">
        <f>'1. 소켓인수검사'!D36</f>
        <v>950</v>
      </c>
      <c r="D38" s="30">
        <v>1</v>
      </c>
      <c r="E38" s="64"/>
      <c r="F38" s="211"/>
      <c r="G38" s="60">
        <f t="shared" si="3"/>
        <v>225</v>
      </c>
      <c r="H38" s="30">
        <f t="shared" si="9"/>
        <v>784</v>
      </c>
      <c r="I38" s="30">
        <f t="shared" si="0"/>
        <v>8</v>
      </c>
      <c r="J38" s="30"/>
      <c r="K38" s="60">
        <f t="shared" si="4"/>
        <v>237</v>
      </c>
      <c r="L38" s="208">
        <f t="shared" ref="L38:L40" si="10">C38</f>
        <v>950</v>
      </c>
      <c r="M38" s="209"/>
      <c r="N38" s="209"/>
      <c r="O38" s="30">
        <f t="shared" ref="O38:O40" si="11">D38*2*2</f>
        <v>4</v>
      </c>
      <c r="P38" s="27"/>
      <c r="Q38" s="28"/>
    </row>
    <row r="39" spans="1:17" ht="20.100000000000001" customHeight="1">
      <c r="A39" s="51" t="str">
        <f>'1. 소켓인수검사'!A37</f>
        <v>29</v>
      </c>
      <c r="B39" s="34">
        <f>'1. 소켓인수검사'!C37</f>
        <v>1600</v>
      </c>
      <c r="C39" s="34">
        <f>'1. 소켓인수검사'!D37</f>
        <v>950</v>
      </c>
      <c r="D39" s="30">
        <v>1</v>
      </c>
      <c r="E39" s="64"/>
      <c r="F39" s="211"/>
      <c r="G39" s="60">
        <f t="shared" si="3"/>
        <v>225</v>
      </c>
      <c r="H39" s="30">
        <f t="shared" si="9"/>
        <v>784</v>
      </c>
      <c r="I39" s="30">
        <f t="shared" si="0"/>
        <v>8</v>
      </c>
      <c r="J39" s="30"/>
      <c r="K39" s="60">
        <f t="shared" si="4"/>
        <v>237</v>
      </c>
      <c r="L39" s="208">
        <f t="shared" si="10"/>
        <v>950</v>
      </c>
      <c r="M39" s="209"/>
      <c r="N39" s="209"/>
      <c r="O39" s="30">
        <f t="shared" si="11"/>
        <v>4</v>
      </c>
      <c r="P39" s="27"/>
      <c r="Q39" s="65"/>
    </row>
    <row r="40" spans="1:17" ht="20.100000000000001" customHeight="1">
      <c r="A40" s="51" t="str">
        <f>'1. 소켓인수검사'!A38</f>
        <v>30</v>
      </c>
      <c r="B40" s="34">
        <f>'1. 소켓인수검사'!C38</f>
        <v>1600</v>
      </c>
      <c r="C40" s="34">
        <f>'1. 소켓인수검사'!D38</f>
        <v>950</v>
      </c>
      <c r="D40" s="30">
        <v>1</v>
      </c>
      <c r="E40" s="64"/>
      <c r="F40" s="211"/>
      <c r="G40" s="60">
        <f t="shared" si="3"/>
        <v>225</v>
      </c>
      <c r="H40" s="30">
        <f t="shared" si="9"/>
        <v>784</v>
      </c>
      <c r="I40" s="30">
        <f t="shared" si="0"/>
        <v>8</v>
      </c>
      <c r="J40" s="30"/>
      <c r="K40" s="60">
        <f t="shared" si="4"/>
        <v>237</v>
      </c>
      <c r="L40" s="208">
        <f t="shared" si="10"/>
        <v>950</v>
      </c>
      <c r="M40" s="209"/>
      <c r="N40" s="209"/>
      <c r="O40" s="30">
        <f t="shared" si="11"/>
        <v>4</v>
      </c>
      <c r="P40" s="27"/>
      <c r="Q40" s="65"/>
    </row>
    <row r="41" spans="1:17" ht="20.100000000000001" customHeight="1">
      <c r="A41" s="51" t="str">
        <f>'1. 소켓인수검사'!A39</f>
        <v>31</v>
      </c>
      <c r="B41" s="34">
        <v>2800</v>
      </c>
      <c r="C41" s="34">
        <f>'1. 소켓인수검사'!D39</f>
        <v>1000</v>
      </c>
      <c r="D41" s="30">
        <v>1</v>
      </c>
      <c r="E41" s="64"/>
      <c r="F41" s="211"/>
      <c r="G41" s="60">
        <f t="shared" si="3"/>
        <v>225</v>
      </c>
      <c r="H41" s="103">
        <f t="shared" si="9"/>
        <v>1384</v>
      </c>
      <c r="I41" s="30">
        <f t="shared" si="0"/>
        <v>8</v>
      </c>
      <c r="J41" s="30"/>
      <c r="K41" s="60"/>
      <c r="L41" s="208"/>
      <c r="M41" s="209"/>
      <c r="N41" s="209"/>
      <c r="O41" s="30"/>
      <c r="P41" s="27"/>
      <c r="Q41" s="28" t="s">
        <v>151</v>
      </c>
    </row>
    <row r="42" spans="1:17" ht="19.5" customHeight="1">
      <c r="A42" s="51" t="str">
        <f>'1. 소켓인수검사'!A40</f>
        <v>32</v>
      </c>
      <c r="B42" s="34">
        <v>2800</v>
      </c>
      <c r="C42" s="34">
        <f>'1. 소켓인수검사'!D40</f>
        <v>1000</v>
      </c>
      <c r="D42" s="30">
        <v>1</v>
      </c>
      <c r="E42" s="64"/>
      <c r="F42" s="211"/>
      <c r="G42" s="60">
        <f t="shared" si="3"/>
        <v>225</v>
      </c>
      <c r="H42" s="103">
        <f>((B42-30)/2)-1</f>
        <v>1384</v>
      </c>
      <c r="I42" s="30">
        <f t="shared" si="0"/>
        <v>8</v>
      </c>
      <c r="J42" s="30"/>
      <c r="K42" s="60"/>
      <c r="L42" s="208"/>
      <c r="M42" s="209"/>
      <c r="N42" s="209"/>
      <c r="O42" s="30"/>
      <c r="P42" s="27"/>
      <c r="Q42" s="28" t="s">
        <v>151</v>
      </c>
    </row>
    <row r="43" spans="1:17" ht="20.100000000000001" customHeight="1">
      <c r="A43" s="51" t="str">
        <f>'1. 소켓인수검사'!A41</f>
        <v>33</v>
      </c>
      <c r="B43" s="34">
        <v>2800</v>
      </c>
      <c r="C43" s="34">
        <f>'1. 소켓인수검사'!D41</f>
        <v>1000</v>
      </c>
      <c r="D43" s="30">
        <v>1</v>
      </c>
      <c r="E43" s="64"/>
      <c r="F43" s="211"/>
      <c r="G43" s="60">
        <f t="shared" si="3"/>
        <v>225</v>
      </c>
      <c r="H43" s="103">
        <f t="shared" ref="H43:H45" si="12">((B43-30)/2)-1</f>
        <v>1384</v>
      </c>
      <c r="I43" s="30">
        <f t="shared" si="0"/>
        <v>8</v>
      </c>
      <c r="J43" s="30"/>
      <c r="K43" s="60"/>
      <c r="L43" s="208"/>
      <c r="M43" s="209"/>
      <c r="N43" s="209"/>
      <c r="O43" s="30"/>
      <c r="P43" s="27"/>
      <c r="Q43" s="28" t="s">
        <v>151</v>
      </c>
    </row>
    <row r="44" spans="1:17" ht="20.100000000000001" customHeight="1">
      <c r="A44" s="51" t="str">
        <f>'1. 소켓인수검사'!A42</f>
        <v>34</v>
      </c>
      <c r="B44" s="34">
        <v>2800</v>
      </c>
      <c r="C44" s="34">
        <f>'1. 소켓인수검사'!D42</f>
        <v>1000</v>
      </c>
      <c r="D44" s="30">
        <v>1</v>
      </c>
      <c r="E44" s="64"/>
      <c r="F44" s="211"/>
      <c r="G44" s="60">
        <f t="shared" si="3"/>
        <v>225</v>
      </c>
      <c r="H44" s="103">
        <f t="shared" si="12"/>
        <v>1384</v>
      </c>
      <c r="I44" s="30">
        <f t="shared" si="0"/>
        <v>8</v>
      </c>
      <c r="J44" s="30"/>
      <c r="K44" s="60"/>
      <c r="L44" s="208"/>
      <c r="M44" s="209"/>
      <c r="N44" s="209"/>
      <c r="O44" s="30"/>
      <c r="P44" s="27"/>
      <c r="Q44" s="28" t="s">
        <v>151</v>
      </c>
    </row>
    <row r="45" spans="1:17" ht="20.100000000000001" customHeight="1">
      <c r="A45" s="51" t="str">
        <f>'1. 소켓인수검사'!A43</f>
        <v>35</v>
      </c>
      <c r="B45" s="34">
        <v>2800</v>
      </c>
      <c r="C45" s="34">
        <f>'1. 소켓인수검사'!D43</f>
        <v>1000</v>
      </c>
      <c r="D45" s="30">
        <v>1</v>
      </c>
      <c r="E45" s="64"/>
      <c r="F45" s="211"/>
      <c r="G45" s="60">
        <f t="shared" si="3"/>
        <v>225</v>
      </c>
      <c r="H45" s="103">
        <f t="shared" si="12"/>
        <v>1384</v>
      </c>
      <c r="I45" s="30">
        <f t="shared" si="0"/>
        <v>8</v>
      </c>
      <c r="J45" s="30"/>
      <c r="K45" s="60"/>
      <c r="L45" s="208"/>
      <c r="M45" s="209"/>
      <c r="N45" s="209"/>
      <c r="O45" s="30"/>
      <c r="P45" s="27"/>
      <c r="Q45" s="100" t="s">
        <v>151</v>
      </c>
    </row>
    <row r="46" spans="1:17" ht="8.1" customHeight="1">
      <c r="A46" s="18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81"/>
    </row>
    <row r="47" spans="1:17">
      <c r="A47" s="182" t="s">
        <v>45</v>
      </c>
      <c r="B47" s="18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82"/>
      <c r="B48" s="18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82"/>
      <c r="B49" s="18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82"/>
      <c r="B50" s="18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82"/>
      <c r="B51" s="18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</sheetData>
  <mergeCells count="68">
    <mergeCell ref="A1:D3"/>
    <mergeCell ref="A4:B4"/>
    <mergeCell ref="C4:D4"/>
    <mergeCell ref="A5:B6"/>
    <mergeCell ref="C5:D6"/>
    <mergeCell ref="F5:G5"/>
    <mergeCell ref="H5:H6"/>
    <mergeCell ref="I5:J6"/>
    <mergeCell ref="K5:N6"/>
    <mergeCell ref="O5:Q6"/>
    <mergeCell ref="F6:G6"/>
    <mergeCell ref="E1:Q4"/>
    <mergeCell ref="L29:N29"/>
    <mergeCell ref="L30:N30"/>
    <mergeCell ref="L31:N31"/>
    <mergeCell ref="L32:N32"/>
    <mergeCell ref="P9:P10"/>
    <mergeCell ref="L10:N10"/>
    <mergeCell ref="L20:N20"/>
    <mergeCell ref="L21:N21"/>
    <mergeCell ref="L22:N22"/>
    <mergeCell ref="L23:N23"/>
    <mergeCell ref="L24:N24"/>
    <mergeCell ref="L25:N25"/>
    <mergeCell ref="L26:N26"/>
    <mergeCell ref="L27:N27"/>
    <mergeCell ref="L19:N19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K9:K10"/>
    <mergeCell ref="L9:O9"/>
    <mergeCell ref="L39:N39"/>
    <mergeCell ref="L40:N40"/>
    <mergeCell ref="L41:N41"/>
    <mergeCell ref="L42:N42"/>
    <mergeCell ref="L28:N28"/>
    <mergeCell ref="L34:N34"/>
    <mergeCell ref="L35:N35"/>
    <mergeCell ref="L36:N36"/>
    <mergeCell ref="L37:N37"/>
    <mergeCell ref="L33:N33"/>
    <mergeCell ref="L43:N43"/>
    <mergeCell ref="L44:N44"/>
    <mergeCell ref="L45:N45"/>
    <mergeCell ref="A46:Q46"/>
    <mergeCell ref="A47:B51"/>
    <mergeCell ref="C47:Q51"/>
    <mergeCell ref="F11:F45"/>
    <mergeCell ref="L11:N11"/>
    <mergeCell ref="L12:N12"/>
    <mergeCell ref="L13:N13"/>
    <mergeCell ref="L14:N14"/>
    <mergeCell ref="L15:N15"/>
    <mergeCell ref="L16:N16"/>
    <mergeCell ref="L17:N17"/>
    <mergeCell ref="L18:N18"/>
    <mergeCell ref="L38:N38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54"/>
  <sheetViews>
    <sheetView zoomScaleNormal="100" zoomScaleSheetLayoutView="100" workbookViewId="0">
      <pane ySplit="9" topLeftCell="A10" activePane="bottomLeft" state="frozen"/>
      <selection pane="bottomLeft" activeCell="X28" sqref="X28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"/>
      <c r="B1" s="1"/>
      <c r="C1" s="1"/>
      <c r="D1" s="245" t="s">
        <v>43</v>
      </c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6"/>
      <c r="R1" s="247"/>
      <c r="S1" s="14"/>
    </row>
    <row r="2" spans="1:19">
      <c r="A2" s="1"/>
      <c r="B2" s="1"/>
      <c r="C2" s="1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6"/>
      <c r="R2" s="248"/>
      <c r="S2" s="249"/>
    </row>
    <row r="3" spans="1:19" ht="24" customHeight="1">
      <c r="A3" s="1"/>
      <c r="B3" s="1"/>
      <c r="C3" s="1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6"/>
      <c r="R3" s="248"/>
      <c r="S3" s="249"/>
    </row>
    <row r="4" spans="1:19">
      <c r="A4" s="1" t="s">
        <v>16</v>
      </c>
      <c r="B4" s="1"/>
      <c r="C4" s="1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6"/>
      <c r="R4" s="248"/>
      <c r="S4" s="249"/>
    </row>
    <row r="5" spans="1:19">
      <c r="A5" s="1" t="s">
        <v>26</v>
      </c>
      <c r="B5" s="1"/>
      <c r="C5" s="1"/>
      <c r="D5" s="2" t="s">
        <v>32</v>
      </c>
      <c r="E5" s="243"/>
      <c r="F5" s="244"/>
      <c r="G5" s="235" t="s">
        <v>59</v>
      </c>
      <c r="H5" s="126"/>
      <c r="I5" s="127"/>
      <c r="J5" s="127"/>
      <c r="K5" s="128"/>
      <c r="L5" s="235" t="s">
        <v>21</v>
      </c>
      <c r="M5" s="67"/>
      <c r="N5" s="67"/>
      <c r="O5" s="235" t="s">
        <v>21</v>
      </c>
      <c r="P5" s="237" t="str">
        <f>'1. 소켓인수검사'!R2</f>
        <v>26.06.05 엘티엔지니어링_신세계건설_대현기건(주)_트레이더스 의정부</v>
      </c>
      <c r="Q5" s="238"/>
      <c r="R5" s="238"/>
      <c r="S5" s="239"/>
    </row>
    <row r="6" spans="1:19">
      <c r="A6" s="1"/>
      <c r="B6" s="1"/>
      <c r="C6" s="1"/>
      <c r="D6" s="2" t="s">
        <v>29</v>
      </c>
      <c r="E6" s="243"/>
      <c r="F6" s="244"/>
      <c r="G6" s="236"/>
      <c r="H6" s="132"/>
      <c r="I6" s="133"/>
      <c r="J6" s="133"/>
      <c r="K6" s="134"/>
      <c r="L6" s="236"/>
      <c r="M6" s="68"/>
      <c r="N6" s="68"/>
      <c r="O6" s="236"/>
      <c r="P6" s="240"/>
      <c r="Q6" s="241"/>
      <c r="R6" s="241"/>
      <c r="S6" s="242"/>
    </row>
    <row r="7" spans="1:19" ht="8.1" customHeight="1">
      <c r="A7" s="132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4"/>
    </row>
    <row r="8" spans="1:19" ht="16.5" customHeight="1">
      <c r="A8" s="120" t="s">
        <v>56</v>
      </c>
      <c r="B8" s="230" t="s">
        <v>63</v>
      </c>
      <c r="C8" s="230" t="s">
        <v>61</v>
      </c>
      <c r="D8" s="230" t="s">
        <v>66</v>
      </c>
      <c r="E8" s="230" t="s">
        <v>51</v>
      </c>
      <c r="F8" s="230" t="s">
        <v>58</v>
      </c>
      <c r="G8" s="230" t="s">
        <v>23</v>
      </c>
      <c r="H8" s="230"/>
      <c r="I8" s="230"/>
      <c r="J8" s="230" t="s">
        <v>0</v>
      </c>
      <c r="K8" s="230"/>
      <c r="L8" s="230"/>
      <c r="M8" s="230" t="s">
        <v>0</v>
      </c>
      <c r="N8" s="230"/>
      <c r="O8" s="230"/>
      <c r="P8" s="230" t="s">
        <v>0</v>
      </c>
      <c r="Q8" s="230"/>
      <c r="R8" s="230"/>
      <c r="S8" s="232"/>
    </row>
    <row r="9" spans="1:19" ht="33" customHeight="1">
      <c r="A9" s="234"/>
      <c r="B9" s="231"/>
      <c r="C9" s="231"/>
      <c r="D9" s="231"/>
      <c r="E9" s="231"/>
      <c r="F9" s="231"/>
      <c r="G9" s="70" t="s">
        <v>33</v>
      </c>
      <c r="H9" s="70" t="s">
        <v>54</v>
      </c>
      <c r="I9" s="70" t="s">
        <v>53</v>
      </c>
      <c r="J9" s="70" t="s">
        <v>19</v>
      </c>
      <c r="K9" s="70" t="s">
        <v>54</v>
      </c>
      <c r="L9" s="70" t="s">
        <v>53</v>
      </c>
      <c r="M9" s="70" t="s">
        <v>25</v>
      </c>
      <c r="N9" s="70" t="s">
        <v>54</v>
      </c>
      <c r="O9" s="70" t="s">
        <v>53</v>
      </c>
      <c r="P9" s="70" t="s">
        <v>22</v>
      </c>
      <c r="Q9" s="70" t="s">
        <v>54</v>
      </c>
      <c r="R9" s="231" t="s">
        <v>53</v>
      </c>
      <c r="S9" s="233"/>
    </row>
    <row r="10" spans="1:19">
      <c r="A10" s="51" t="str">
        <f>'1. 소켓인수검사'!A9</f>
        <v>01</v>
      </c>
      <c r="B10" s="34">
        <f>'1. 소켓인수검사'!C9</f>
        <v>1250</v>
      </c>
      <c r="C10" s="34">
        <f>'1. 소켓인수검사'!D9</f>
        <v>950</v>
      </c>
      <c r="D10" s="53" t="s">
        <v>46</v>
      </c>
      <c r="E10" s="66">
        <f t="shared" ref="E10:E16" si="0">B10*C10/1000000</f>
        <v>1.1875</v>
      </c>
      <c r="F10" s="66">
        <f t="shared" ref="F10:F16" si="1">(B10+C10)*2/1000</f>
        <v>4.4000000000000004</v>
      </c>
      <c r="G10" s="29">
        <f t="shared" ref="G10:G44" si="2">(F10+0.4)</f>
        <v>4.8000000000000007</v>
      </c>
      <c r="H10" s="34">
        <v>2</v>
      </c>
      <c r="I10" s="29">
        <f>G10*H10</f>
        <v>9.6000000000000014</v>
      </c>
      <c r="J10" s="29"/>
      <c r="K10" s="29"/>
      <c r="L10" s="29"/>
      <c r="M10" s="29"/>
      <c r="N10" s="29"/>
      <c r="O10" s="29"/>
      <c r="P10" s="29">
        <f t="shared" ref="P10:P44" si="3">F10+0.5</f>
        <v>4.9000000000000004</v>
      </c>
      <c r="Q10" s="29">
        <v>2</v>
      </c>
      <c r="R10" s="228">
        <f>P10*Q10</f>
        <v>9.8000000000000007</v>
      </c>
      <c r="S10" s="229"/>
    </row>
    <row r="11" spans="1:19">
      <c r="A11" s="51" t="str">
        <f>'1. 소켓인수검사'!A10</f>
        <v>02</v>
      </c>
      <c r="B11" s="34">
        <f>'1. 소켓인수검사'!C10</f>
        <v>1250</v>
      </c>
      <c r="C11" s="34">
        <f>'1. 소켓인수검사'!D10</f>
        <v>950</v>
      </c>
      <c r="D11" s="53" t="s">
        <v>46</v>
      </c>
      <c r="E11" s="66">
        <f t="shared" si="0"/>
        <v>1.1875</v>
      </c>
      <c r="F11" s="66">
        <f t="shared" si="1"/>
        <v>4.4000000000000004</v>
      </c>
      <c r="G11" s="29">
        <f t="shared" si="2"/>
        <v>4.8000000000000007</v>
      </c>
      <c r="H11" s="34">
        <v>2</v>
      </c>
      <c r="I11" s="29">
        <f>G11*H11</f>
        <v>9.6000000000000014</v>
      </c>
      <c r="J11" s="29"/>
      <c r="K11" s="29"/>
      <c r="L11" s="29"/>
      <c r="M11" s="29"/>
      <c r="N11" s="29"/>
      <c r="O11" s="29"/>
      <c r="P11" s="29">
        <f t="shared" si="3"/>
        <v>4.9000000000000004</v>
      </c>
      <c r="Q11" s="29">
        <v>2</v>
      </c>
      <c r="R11" s="228">
        <f t="shared" ref="R11:R44" si="4">P11*Q11</f>
        <v>9.8000000000000007</v>
      </c>
      <c r="S11" s="229"/>
    </row>
    <row r="12" spans="1:19">
      <c r="A12" s="51" t="str">
        <f>'1. 소켓인수검사'!A11</f>
        <v>03</v>
      </c>
      <c r="B12" s="34">
        <f>'1. 소켓인수검사'!C11</f>
        <v>1250</v>
      </c>
      <c r="C12" s="34">
        <f>'1. 소켓인수검사'!D11</f>
        <v>950</v>
      </c>
      <c r="D12" s="53" t="s">
        <v>46</v>
      </c>
      <c r="E12" s="66">
        <f t="shared" si="0"/>
        <v>1.1875</v>
      </c>
      <c r="F12" s="66">
        <f t="shared" si="1"/>
        <v>4.4000000000000004</v>
      </c>
      <c r="G12" s="29">
        <f t="shared" si="2"/>
        <v>4.8000000000000007</v>
      </c>
      <c r="H12" s="34">
        <v>2</v>
      </c>
      <c r="I12" s="29">
        <f t="shared" ref="I12:I44" si="5">G12*H12</f>
        <v>9.6000000000000014</v>
      </c>
      <c r="J12" s="29"/>
      <c r="K12" s="29"/>
      <c r="L12" s="29"/>
      <c r="M12" s="29"/>
      <c r="N12" s="29"/>
      <c r="O12" s="29"/>
      <c r="P12" s="29">
        <f t="shared" si="3"/>
        <v>4.9000000000000004</v>
      </c>
      <c r="Q12" s="29">
        <v>2</v>
      </c>
      <c r="R12" s="228">
        <f t="shared" si="4"/>
        <v>9.8000000000000007</v>
      </c>
      <c r="S12" s="229"/>
    </row>
    <row r="13" spans="1:19">
      <c r="A13" s="51" t="str">
        <f>'1. 소켓인수검사'!A12</f>
        <v>04</v>
      </c>
      <c r="B13" s="34">
        <f>'1. 소켓인수검사'!C12</f>
        <v>1250</v>
      </c>
      <c r="C13" s="34">
        <f>'1. 소켓인수검사'!D12</f>
        <v>950</v>
      </c>
      <c r="D13" s="53" t="s">
        <v>46</v>
      </c>
      <c r="E13" s="66">
        <f t="shared" si="0"/>
        <v>1.1875</v>
      </c>
      <c r="F13" s="66">
        <f t="shared" si="1"/>
        <v>4.4000000000000004</v>
      </c>
      <c r="G13" s="29">
        <f t="shared" si="2"/>
        <v>4.8000000000000007</v>
      </c>
      <c r="H13" s="34">
        <v>2</v>
      </c>
      <c r="I13" s="29">
        <f t="shared" si="5"/>
        <v>9.6000000000000014</v>
      </c>
      <c r="J13" s="29"/>
      <c r="K13" s="29"/>
      <c r="L13" s="29"/>
      <c r="M13" s="29"/>
      <c r="N13" s="29"/>
      <c r="O13" s="29"/>
      <c r="P13" s="29">
        <f t="shared" si="3"/>
        <v>4.9000000000000004</v>
      </c>
      <c r="Q13" s="29">
        <v>2</v>
      </c>
      <c r="R13" s="228">
        <f t="shared" si="4"/>
        <v>9.8000000000000007</v>
      </c>
      <c r="S13" s="229"/>
    </row>
    <row r="14" spans="1:19">
      <c r="A14" s="51" t="str">
        <f>'1. 소켓인수검사'!A13</f>
        <v>05</v>
      </c>
      <c r="B14" s="34">
        <f>'1. 소켓인수검사'!C13</f>
        <v>1250</v>
      </c>
      <c r="C14" s="34">
        <f>'1. 소켓인수검사'!D13</f>
        <v>950</v>
      </c>
      <c r="D14" s="53" t="s">
        <v>46</v>
      </c>
      <c r="E14" s="66">
        <f t="shared" si="0"/>
        <v>1.1875</v>
      </c>
      <c r="F14" s="66">
        <f t="shared" si="1"/>
        <v>4.4000000000000004</v>
      </c>
      <c r="G14" s="29">
        <f t="shared" si="2"/>
        <v>4.8000000000000007</v>
      </c>
      <c r="H14" s="34">
        <v>2</v>
      </c>
      <c r="I14" s="29">
        <f t="shared" si="5"/>
        <v>9.6000000000000014</v>
      </c>
      <c r="J14" s="29"/>
      <c r="K14" s="29"/>
      <c r="L14" s="29"/>
      <c r="M14" s="29"/>
      <c r="N14" s="29"/>
      <c r="O14" s="29"/>
      <c r="P14" s="29">
        <f t="shared" si="3"/>
        <v>4.9000000000000004</v>
      </c>
      <c r="Q14" s="29">
        <v>2</v>
      </c>
      <c r="R14" s="228">
        <f t="shared" si="4"/>
        <v>9.8000000000000007</v>
      </c>
      <c r="S14" s="229"/>
    </row>
    <row r="15" spans="1:19">
      <c r="A15" s="51" t="str">
        <f>'1. 소켓인수검사'!A14</f>
        <v>06</v>
      </c>
      <c r="B15" s="34">
        <f>'1. 소켓인수검사'!C14</f>
        <v>1400</v>
      </c>
      <c r="C15" s="34">
        <f>'1. 소켓인수검사'!D14</f>
        <v>900</v>
      </c>
      <c r="D15" s="53" t="s">
        <v>46</v>
      </c>
      <c r="E15" s="66">
        <f t="shared" si="0"/>
        <v>1.26</v>
      </c>
      <c r="F15" s="66">
        <f t="shared" si="1"/>
        <v>4.5999999999999996</v>
      </c>
      <c r="G15" s="29">
        <f t="shared" si="2"/>
        <v>5</v>
      </c>
      <c r="H15" s="34">
        <v>2</v>
      </c>
      <c r="I15" s="29">
        <f t="shared" si="5"/>
        <v>10</v>
      </c>
      <c r="J15" s="29"/>
      <c r="K15" s="29"/>
      <c r="L15" s="29"/>
      <c r="M15" s="29"/>
      <c r="N15" s="29"/>
      <c r="O15" s="29"/>
      <c r="P15" s="29">
        <f t="shared" si="3"/>
        <v>5.0999999999999996</v>
      </c>
      <c r="Q15" s="29">
        <v>2</v>
      </c>
      <c r="R15" s="228">
        <f t="shared" si="4"/>
        <v>10.199999999999999</v>
      </c>
      <c r="S15" s="229"/>
    </row>
    <row r="16" spans="1:19">
      <c r="A16" s="51" t="str">
        <f>'1. 소켓인수검사'!A15</f>
        <v>07</v>
      </c>
      <c r="B16" s="34">
        <f>'1. 소켓인수검사'!C15</f>
        <v>1400</v>
      </c>
      <c r="C16" s="34">
        <f>'1. 소켓인수검사'!D15</f>
        <v>900</v>
      </c>
      <c r="D16" s="53" t="s">
        <v>46</v>
      </c>
      <c r="E16" s="66">
        <f t="shared" si="0"/>
        <v>1.26</v>
      </c>
      <c r="F16" s="66">
        <f t="shared" si="1"/>
        <v>4.5999999999999996</v>
      </c>
      <c r="G16" s="29">
        <f t="shared" si="2"/>
        <v>5</v>
      </c>
      <c r="H16" s="34">
        <v>2</v>
      </c>
      <c r="I16" s="29">
        <f t="shared" si="5"/>
        <v>10</v>
      </c>
      <c r="J16" s="29"/>
      <c r="K16" s="29"/>
      <c r="L16" s="29"/>
      <c r="M16" s="29"/>
      <c r="N16" s="29"/>
      <c r="O16" s="29"/>
      <c r="P16" s="29">
        <f t="shared" si="3"/>
        <v>5.0999999999999996</v>
      </c>
      <c r="Q16" s="29">
        <v>2</v>
      </c>
      <c r="R16" s="228">
        <f t="shared" si="4"/>
        <v>10.199999999999999</v>
      </c>
      <c r="S16" s="229"/>
    </row>
    <row r="17" spans="1:19">
      <c r="A17" s="51" t="str">
        <f>'1. 소켓인수검사'!A16</f>
        <v>08</v>
      </c>
      <c r="B17" s="34">
        <f>'1. 소켓인수검사'!C16</f>
        <v>1400</v>
      </c>
      <c r="C17" s="34">
        <f>'1. 소켓인수검사'!D16</f>
        <v>900</v>
      </c>
      <c r="D17" s="53" t="s">
        <v>46</v>
      </c>
      <c r="E17" s="66">
        <f t="shared" ref="E17" si="6">B17*C17/1000000</f>
        <v>1.26</v>
      </c>
      <c r="F17" s="66">
        <f t="shared" ref="F17" si="7">(B17+C17)*2/1000</f>
        <v>4.5999999999999996</v>
      </c>
      <c r="G17" s="29">
        <f t="shared" si="2"/>
        <v>5</v>
      </c>
      <c r="H17" s="34">
        <v>2</v>
      </c>
      <c r="I17" s="29">
        <f t="shared" si="5"/>
        <v>10</v>
      </c>
      <c r="J17" s="29"/>
      <c r="K17" s="29"/>
      <c r="L17" s="29"/>
      <c r="M17" s="29"/>
      <c r="N17" s="29"/>
      <c r="O17" s="29"/>
      <c r="P17" s="29">
        <f t="shared" si="3"/>
        <v>5.0999999999999996</v>
      </c>
      <c r="Q17" s="29">
        <v>2</v>
      </c>
      <c r="R17" s="228">
        <f t="shared" si="4"/>
        <v>10.199999999999999</v>
      </c>
      <c r="S17" s="229"/>
    </row>
    <row r="18" spans="1:19">
      <c r="A18" s="51" t="str">
        <f>'1. 소켓인수검사'!A17</f>
        <v>09</v>
      </c>
      <c r="B18" s="34">
        <f>'1. 소켓인수검사'!C17</f>
        <v>1400</v>
      </c>
      <c r="C18" s="34">
        <f>'1. 소켓인수검사'!D17</f>
        <v>900</v>
      </c>
      <c r="D18" s="53" t="s">
        <v>46</v>
      </c>
      <c r="E18" s="66">
        <f t="shared" ref="E18:E44" si="8">B18*C18/1000000</f>
        <v>1.26</v>
      </c>
      <c r="F18" s="66">
        <f t="shared" ref="F18:F44" si="9">(B18+C18)*2/1000</f>
        <v>4.5999999999999996</v>
      </c>
      <c r="G18" s="29">
        <f t="shared" si="2"/>
        <v>5</v>
      </c>
      <c r="H18" s="34">
        <v>2</v>
      </c>
      <c r="I18" s="29">
        <f t="shared" si="5"/>
        <v>10</v>
      </c>
      <c r="J18" s="29"/>
      <c r="K18" s="29"/>
      <c r="L18" s="29"/>
      <c r="M18" s="29"/>
      <c r="N18" s="29"/>
      <c r="O18" s="29"/>
      <c r="P18" s="29">
        <f t="shared" si="3"/>
        <v>5.0999999999999996</v>
      </c>
      <c r="Q18" s="29">
        <v>2</v>
      </c>
      <c r="R18" s="228">
        <f t="shared" si="4"/>
        <v>10.199999999999999</v>
      </c>
      <c r="S18" s="229"/>
    </row>
    <row r="19" spans="1:19">
      <c r="A19" s="51" t="str">
        <f>'1. 소켓인수검사'!A18</f>
        <v>10</v>
      </c>
      <c r="B19" s="34">
        <f>'1. 소켓인수검사'!C18</f>
        <v>1400</v>
      </c>
      <c r="C19" s="34">
        <f>'1. 소켓인수검사'!D18</f>
        <v>900</v>
      </c>
      <c r="D19" s="53" t="s">
        <v>46</v>
      </c>
      <c r="E19" s="66">
        <f t="shared" si="8"/>
        <v>1.26</v>
      </c>
      <c r="F19" s="66">
        <f t="shared" si="9"/>
        <v>4.5999999999999996</v>
      </c>
      <c r="G19" s="29">
        <f t="shared" si="2"/>
        <v>5</v>
      </c>
      <c r="H19" s="34">
        <v>2</v>
      </c>
      <c r="I19" s="29">
        <f t="shared" si="5"/>
        <v>10</v>
      </c>
      <c r="J19" s="29"/>
      <c r="K19" s="29"/>
      <c r="L19" s="29"/>
      <c r="M19" s="29"/>
      <c r="N19" s="29"/>
      <c r="O19" s="29"/>
      <c r="P19" s="29">
        <f t="shared" si="3"/>
        <v>5.0999999999999996</v>
      </c>
      <c r="Q19" s="29">
        <v>2</v>
      </c>
      <c r="R19" s="228">
        <f t="shared" si="4"/>
        <v>10.199999999999999</v>
      </c>
      <c r="S19" s="229"/>
    </row>
    <row r="20" spans="1:19">
      <c r="A20" s="51" t="str">
        <f>'1. 소켓인수검사'!A19</f>
        <v>11</v>
      </c>
      <c r="B20" s="34">
        <f>'1. 소켓인수검사'!C19</f>
        <v>1400</v>
      </c>
      <c r="C20" s="34">
        <f>'1. 소켓인수검사'!D19</f>
        <v>900</v>
      </c>
      <c r="D20" s="53" t="s">
        <v>46</v>
      </c>
      <c r="E20" s="66">
        <f t="shared" si="8"/>
        <v>1.26</v>
      </c>
      <c r="F20" s="66">
        <f t="shared" si="9"/>
        <v>4.5999999999999996</v>
      </c>
      <c r="G20" s="29">
        <f t="shared" si="2"/>
        <v>5</v>
      </c>
      <c r="H20" s="34">
        <v>2</v>
      </c>
      <c r="I20" s="29">
        <f t="shared" si="5"/>
        <v>10</v>
      </c>
      <c r="J20" s="29"/>
      <c r="K20" s="29"/>
      <c r="L20" s="29"/>
      <c r="M20" s="29"/>
      <c r="N20" s="29"/>
      <c r="O20" s="29"/>
      <c r="P20" s="29">
        <f t="shared" si="3"/>
        <v>5.0999999999999996</v>
      </c>
      <c r="Q20" s="29">
        <v>2</v>
      </c>
      <c r="R20" s="228">
        <f t="shared" si="4"/>
        <v>10.199999999999999</v>
      </c>
      <c r="S20" s="229"/>
    </row>
    <row r="21" spans="1:19">
      <c r="A21" s="51" t="str">
        <f>'1. 소켓인수검사'!A20</f>
        <v>12</v>
      </c>
      <c r="B21" s="34">
        <f>'1. 소켓인수검사'!C20</f>
        <v>1400</v>
      </c>
      <c r="C21" s="34">
        <f>'1. 소켓인수검사'!D20</f>
        <v>900</v>
      </c>
      <c r="D21" s="53" t="s">
        <v>46</v>
      </c>
      <c r="E21" s="66">
        <f t="shared" si="8"/>
        <v>1.26</v>
      </c>
      <c r="F21" s="66">
        <f t="shared" si="9"/>
        <v>4.5999999999999996</v>
      </c>
      <c r="G21" s="29">
        <f t="shared" si="2"/>
        <v>5</v>
      </c>
      <c r="H21" s="34">
        <v>2</v>
      </c>
      <c r="I21" s="29">
        <f t="shared" si="5"/>
        <v>10</v>
      </c>
      <c r="J21" s="29"/>
      <c r="K21" s="29"/>
      <c r="L21" s="29"/>
      <c r="M21" s="29"/>
      <c r="N21" s="29"/>
      <c r="O21" s="29"/>
      <c r="P21" s="29">
        <f t="shared" si="3"/>
        <v>5.0999999999999996</v>
      </c>
      <c r="Q21" s="29">
        <v>2</v>
      </c>
      <c r="R21" s="228">
        <f t="shared" si="4"/>
        <v>10.199999999999999</v>
      </c>
      <c r="S21" s="229"/>
    </row>
    <row r="22" spans="1:19">
      <c r="A22" s="51" t="str">
        <f>'1. 소켓인수검사'!A21</f>
        <v>13</v>
      </c>
      <c r="B22" s="34">
        <f>'1. 소켓인수검사'!C21</f>
        <v>1400</v>
      </c>
      <c r="C22" s="34">
        <f>'1. 소켓인수검사'!D21</f>
        <v>900</v>
      </c>
      <c r="D22" s="53" t="s">
        <v>46</v>
      </c>
      <c r="E22" s="66">
        <f t="shared" si="8"/>
        <v>1.26</v>
      </c>
      <c r="F22" s="66">
        <f t="shared" si="9"/>
        <v>4.5999999999999996</v>
      </c>
      <c r="G22" s="29">
        <f t="shared" si="2"/>
        <v>5</v>
      </c>
      <c r="H22" s="34">
        <v>2</v>
      </c>
      <c r="I22" s="29">
        <f t="shared" si="5"/>
        <v>10</v>
      </c>
      <c r="J22" s="29"/>
      <c r="K22" s="29"/>
      <c r="L22" s="29"/>
      <c r="M22" s="29"/>
      <c r="N22" s="29"/>
      <c r="O22" s="29"/>
      <c r="P22" s="29">
        <f t="shared" si="3"/>
        <v>5.0999999999999996</v>
      </c>
      <c r="Q22" s="29">
        <v>2</v>
      </c>
      <c r="R22" s="228">
        <f t="shared" si="4"/>
        <v>10.199999999999999</v>
      </c>
      <c r="S22" s="229"/>
    </row>
    <row r="23" spans="1:19">
      <c r="A23" s="51" t="str">
        <f>'1. 소켓인수검사'!A22</f>
        <v>14</v>
      </c>
      <c r="B23" s="34">
        <f>'1. 소켓인수검사'!C22</f>
        <v>1400</v>
      </c>
      <c r="C23" s="34">
        <f>'1. 소켓인수검사'!D22</f>
        <v>900</v>
      </c>
      <c r="D23" s="53" t="s">
        <v>46</v>
      </c>
      <c r="E23" s="66">
        <f t="shared" si="8"/>
        <v>1.26</v>
      </c>
      <c r="F23" s="66">
        <f t="shared" si="9"/>
        <v>4.5999999999999996</v>
      </c>
      <c r="G23" s="29">
        <f t="shared" si="2"/>
        <v>5</v>
      </c>
      <c r="H23" s="34">
        <v>2</v>
      </c>
      <c r="I23" s="29">
        <f t="shared" si="5"/>
        <v>10</v>
      </c>
      <c r="J23" s="29"/>
      <c r="K23" s="29"/>
      <c r="L23" s="29"/>
      <c r="M23" s="29"/>
      <c r="N23" s="29"/>
      <c r="O23" s="29"/>
      <c r="P23" s="29">
        <f t="shared" si="3"/>
        <v>5.0999999999999996</v>
      </c>
      <c r="Q23" s="29">
        <v>2</v>
      </c>
      <c r="R23" s="228">
        <f t="shared" si="4"/>
        <v>10.199999999999999</v>
      </c>
      <c r="S23" s="229"/>
    </row>
    <row r="24" spans="1:19">
      <c r="A24" s="51" t="str">
        <f>'1. 소켓인수검사'!A23</f>
        <v>15</v>
      </c>
      <c r="B24" s="34">
        <f>'1. 소켓인수검사'!C23</f>
        <v>1400</v>
      </c>
      <c r="C24" s="34">
        <f>'1. 소켓인수검사'!D23</f>
        <v>900</v>
      </c>
      <c r="D24" s="53" t="s">
        <v>46</v>
      </c>
      <c r="E24" s="66">
        <f t="shared" si="8"/>
        <v>1.26</v>
      </c>
      <c r="F24" s="66">
        <f t="shared" si="9"/>
        <v>4.5999999999999996</v>
      </c>
      <c r="G24" s="29">
        <f t="shared" si="2"/>
        <v>5</v>
      </c>
      <c r="H24" s="34">
        <v>2</v>
      </c>
      <c r="I24" s="29">
        <f t="shared" si="5"/>
        <v>10</v>
      </c>
      <c r="J24" s="29"/>
      <c r="K24" s="29"/>
      <c r="L24" s="29"/>
      <c r="M24" s="29"/>
      <c r="N24" s="29"/>
      <c r="O24" s="29"/>
      <c r="P24" s="29">
        <f t="shared" si="3"/>
        <v>5.0999999999999996</v>
      </c>
      <c r="Q24" s="29">
        <v>2</v>
      </c>
      <c r="R24" s="228">
        <f t="shared" si="4"/>
        <v>10.199999999999999</v>
      </c>
      <c r="S24" s="229"/>
    </row>
    <row r="25" spans="1:19">
      <c r="A25" s="51" t="str">
        <f>'1. 소켓인수검사'!A24</f>
        <v>16</v>
      </c>
      <c r="B25" s="34">
        <f>'1. 소켓인수검사'!C24</f>
        <v>1400</v>
      </c>
      <c r="C25" s="34">
        <f>'1. 소켓인수검사'!D24</f>
        <v>900</v>
      </c>
      <c r="D25" s="53" t="s">
        <v>46</v>
      </c>
      <c r="E25" s="66">
        <f t="shared" si="8"/>
        <v>1.26</v>
      </c>
      <c r="F25" s="66">
        <f t="shared" si="9"/>
        <v>4.5999999999999996</v>
      </c>
      <c r="G25" s="29">
        <f t="shared" si="2"/>
        <v>5</v>
      </c>
      <c r="H25" s="34">
        <v>2</v>
      </c>
      <c r="I25" s="29">
        <f t="shared" si="5"/>
        <v>10</v>
      </c>
      <c r="J25" s="29"/>
      <c r="K25" s="29"/>
      <c r="L25" s="29"/>
      <c r="M25" s="29"/>
      <c r="N25" s="29"/>
      <c r="O25" s="29"/>
      <c r="P25" s="29">
        <f t="shared" si="3"/>
        <v>5.0999999999999996</v>
      </c>
      <c r="Q25" s="29">
        <v>2</v>
      </c>
      <c r="R25" s="228">
        <f t="shared" si="4"/>
        <v>10.199999999999999</v>
      </c>
      <c r="S25" s="229"/>
    </row>
    <row r="26" spans="1:19">
      <c r="A26" s="51" t="str">
        <f>'1. 소켓인수검사'!A25</f>
        <v>17</v>
      </c>
      <c r="B26" s="34">
        <f>'1. 소켓인수검사'!C25</f>
        <v>1400</v>
      </c>
      <c r="C26" s="34">
        <f>'1. 소켓인수검사'!D25</f>
        <v>900</v>
      </c>
      <c r="D26" s="53" t="s">
        <v>46</v>
      </c>
      <c r="E26" s="66">
        <f t="shared" si="8"/>
        <v>1.26</v>
      </c>
      <c r="F26" s="66">
        <f t="shared" si="9"/>
        <v>4.5999999999999996</v>
      </c>
      <c r="G26" s="29">
        <f t="shared" si="2"/>
        <v>5</v>
      </c>
      <c r="H26" s="34">
        <v>2</v>
      </c>
      <c r="I26" s="29">
        <f t="shared" si="5"/>
        <v>10</v>
      </c>
      <c r="J26" s="29"/>
      <c r="K26" s="29"/>
      <c r="L26" s="29"/>
      <c r="M26" s="29"/>
      <c r="N26" s="29"/>
      <c r="O26" s="29"/>
      <c r="P26" s="29">
        <f t="shared" si="3"/>
        <v>5.0999999999999996</v>
      </c>
      <c r="Q26" s="29">
        <v>2</v>
      </c>
      <c r="R26" s="228">
        <f t="shared" si="4"/>
        <v>10.199999999999999</v>
      </c>
      <c r="S26" s="229"/>
    </row>
    <row r="27" spans="1:19">
      <c r="A27" s="51" t="str">
        <f>'1. 소켓인수검사'!A26</f>
        <v>18</v>
      </c>
      <c r="B27" s="34">
        <f>'1. 소켓인수검사'!C26</f>
        <v>1400</v>
      </c>
      <c r="C27" s="34">
        <f>'1. 소켓인수검사'!D26</f>
        <v>900</v>
      </c>
      <c r="D27" s="53" t="s">
        <v>46</v>
      </c>
      <c r="E27" s="66">
        <f t="shared" si="8"/>
        <v>1.26</v>
      </c>
      <c r="F27" s="66">
        <f t="shared" si="9"/>
        <v>4.5999999999999996</v>
      </c>
      <c r="G27" s="29">
        <f t="shared" si="2"/>
        <v>5</v>
      </c>
      <c r="H27" s="34">
        <v>2</v>
      </c>
      <c r="I27" s="29">
        <f t="shared" si="5"/>
        <v>10</v>
      </c>
      <c r="J27" s="29"/>
      <c r="K27" s="29"/>
      <c r="L27" s="29"/>
      <c r="M27" s="29"/>
      <c r="N27" s="29"/>
      <c r="O27" s="29"/>
      <c r="P27" s="29">
        <f t="shared" si="3"/>
        <v>5.0999999999999996</v>
      </c>
      <c r="Q27" s="29">
        <v>2</v>
      </c>
      <c r="R27" s="228">
        <f t="shared" si="4"/>
        <v>10.199999999999999</v>
      </c>
      <c r="S27" s="229"/>
    </row>
    <row r="28" spans="1:19">
      <c r="A28" s="51" t="str">
        <f>'1. 소켓인수검사'!A27</f>
        <v>19</v>
      </c>
      <c r="B28" s="34">
        <f>'1. 소켓인수검사'!C27</f>
        <v>1400</v>
      </c>
      <c r="C28" s="34">
        <f>'1. 소켓인수검사'!D27</f>
        <v>900</v>
      </c>
      <c r="D28" s="53" t="s">
        <v>46</v>
      </c>
      <c r="E28" s="66">
        <f t="shared" si="8"/>
        <v>1.26</v>
      </c>
      <c r="F28" s="66">
        <f t="shared" si="9"/>
        <v>4.5999999999999996</v>
      </c>
      <c r="G28" s="29">
        <f t="shared" si="2"/>
        <v>5</v>
      </c>
      <c r="H28" s="34">
        <v>2</v>
      </c>
      <c r="I28" s="29">
        <f t="shared" si="5"/>
        <v>10</v>
      </c>
      <c r="J28" s="29"/>
      <c r="K28" s="29"/>
      <c r="L28" s="29"/>
      <c r="M28" s="29"/>
      <c r="N28" s="29"/>
      <c r="O28" s="29"/>
      <c r="P28" s="29">
        <f t="shared" si="3"/>
        <v>5.0999999999999996</v>
      </c>
      <c r="Q28" s="29">
        <v>2</v>
      </c>
      <c r="R28" s="228">
        <f t="shared" si="4"/>
        <v>10.199999999999999</v>
      </c>
      <c r="S28" s="229"/>
    </row>
    <row r="29" spans="1:19">
      <c r="A29" s="51" t="str">
        <f>'1. 소켓인수검사'!A28</f>
        <v>20</v>
      </c>
      <c r="B29" s="34">
        <f>'1. 소켓인수검사'!C28</f>
        <v>1400</v>
      </c>
      <c r="C29" s="34">
        <f>'1. 소켓인수검사'!D28</f>
        <v>900</v>
      </c>
      <c r="D29" s="53" t="s">
        <v>46</v>
      </c>
      <c r="E29" s="66">
        <f t="shared" si="8"/>
        <v>1.26</v>
      </c>
      <c r="F29" s="66">
        <f t="shared" si="9"/>
        <v>4.5999999999999996</v>
      </c>
      <c r="G29" s="29">
        <f t="shared" si="2"/>
        <v>5</v>
      </c>
      <c r="H29" s="34">
        <v>2</v>
      </c>
      <c r="I29" s="29">
        <f t="shared" si="5"/>
        <v>10</v>
      </c>
      <c r="J29" s="29"/>
      <c r="K29" s="29"/>
      <c r="L29" s="29"/>
      <c r="M29" s="29"/>
      <c r="N29" s="29"/>
      <c r="O29" s="29"/>
      <c r="P29" s="29">
        <f t="shared" si="3"/>
        <v>5.0999999999999996</v>
      </c>
      <c r="Q29" s="29">
        <v>2</v>
      </c>
      <c r="R29" s="228">
        <f t="shared" si="4"/>
        <v>10.199999999999999</v>
      </c>
      <c r="S29" s="229"/>
    </row>
    <row r="30" spans="1:19">
      <c r="A30" s="51" t="str">
        <f>'1. 소켓인수검사'!A29</f>
        <v>21</v>
      </c>
      <c r="B30" s="34">
        <f>'1. 소켓인수검사'!C29</f>
        <v>1600</v>
      </c>
      <c r="C30" s="34">
        <f>'1. 소켓인수검사'!D29</f>
        <v>950</v>
      </c>
      <c r="D30" s="53" t="s">
        <v>46</v>
      </c>
      <c r="E30" s="66">
        <f t="shared" si="8"/>
        <v>1.52</v>
      </c>
      <c r="F30" s="66">
        <f t="shared" si="9"/>
        <v>5.0999999999999996</v>
      </c>
      <c r="G30" s="29">
        <f t="shared" si="2"/>
        <v>5.5</v>
      </c>
      <c r="H30" s="34">
        <v>2</v>
      </c>
      <c r="I30" s="29">
        <f t="shared" si="5"/>
        <v>11</v>
      </c>
      <c r="J30" s="29"/>
      <c r="K30" s="29"/>
      <c r="L30" s="29"/>
      <c r="M30" s="29"/>
      <c r="N30" s="29"/>
      <c r="O30" s="29"/>
      <c r="P30" s="29">
        <f t="shared" si="3"/>
        <v>5.6</v>
      </c>
      <c r="Q30" s="29">
        <v>2</v>
      </c>
      <c r="R30" s="228">
        <f t="shared" si="4"/>
        <v>11.2</v>
      </c>
      <c r="S30" s="229"/>
    </row>
    <row r="31" spans="1:19">
      <c r="A31" s="51" t="str">
        <f>'1. 소켓인수검사'!A30</f>
        <v>22</v>
      </c>
      <c r="B31" s="34">
        <f>'1. 소켓인수검사'!C30</f>
        <v>1600</v>
      </c>
      <c r="C31" s="34">
        <f>'1. 소켓인수검사'!D30</f>
        <v>950</v>
      </c>
      <c r="D31" s="53" t="s">
        <v>46</v>
      </c>
      <c r="E31" s="66">
        <f t="shared" si="8"/>
        <v>1.52</v>
      </c>
      <c r="F31" s="66">
        <f t="shared" si="9"/>
        <v>5.0999999999999996</v>
      </c>
      <c r="G31" s="29">
        <f t="shared" si="2"/>
        <v>5.5</v>
      </c>
      <c r="H31" s="34">
        <v>2</v>
      </c>
      <c r="I31" s="29">
        <f t="shared" si="5"/>
        <v>11</v>
      </c>
      <c r="J31" s="29"/>
      <c r="K31" s="29"/>
      <c r="L31" s="29"/>
      <c r="M31" s="29"/>
      <c r="N31" s="29"/>
      <c r="O31" s="29"/>
      <c r="P31" s="29">
        <f t="shared" si="3"/>
        <v>5.6</v>
      </c>
      <c r="Q31" s="29">
        <v>2</v>
      </c>
      <c r="R31" s="228">
        <f t="shared" si="4"/>
        <v>11.2</v>
      </c>
      <c r="S31" s="229"/>
    </row>
    <row r="32" spans="1:19">
      <c r="A32" s="51" t="str">
        <f>'1. 소켓인수검사'!A31</f>
        <v>23</v>
      </c>
      <c r="B32" s="34">
        <f>'1. 소켓인수검사'!C31</f>
        <v>1600</v>
      </c>
      <c r="C32" s="34">
        <f>'1. 소켓인수검사'!D31</f>
        <v>950</v>
      </c>
      <c r="D32" s="53" t="s">
        <v>46</v>
      </c>
      <c r="E32" s="66">
        <f t="shared" si="8"/>
        <v>1.52</v>
      </c>
      <c r="F32" s="66">
        <f t="shared" si="9"/>
        <v>5.0999999999999996</v>
      </c>
      <c r="G32" s="29">
        <f t="shared" si="2"/>
        <v>5.5</v>
      </c>
      <c r="H32" s="34">
        <v>2</v>
      </c>
      <c r="I32" s="29">
        <f t="shared" si="5"/>
        <v>11</v>
      </c>
      <c r="J32" s="29"/>
      <c r="K32" s="29"/>
      <c r="L32" s="29"/>
      <c r="M32" s="29"/>
      <c r="N32" s="29"/>
      <c r="O32" s="29"/>
      <c r="P32" s="29">
        <f t="shared" si="3"/>
        <v>5.6</v>
      </c>
      <c r="Q32" s="29">
        <v>2</v>
      </c>
      <c r="R32" s="228">
        <f t="shared" si="4"/>
        <v>11.2</v>
      </c>
      <c r="S32" s="229"/>
    </row>
    <row r="33" spans="1:19">
      <c r="A33" s="51" t="str">
        <f>'1. 소켓인수검사'!A32</f>
        <v>24</v>
      </c>
      <c r="B33" s="34">
        <f>'1. 소켓인수검사'!C32</f>
        <v>1600</v>
      </c>
      <c r="C33" s="34">
        <f>'1. 소켓인수검사'!D32</f>
        <v>950</v>
      </c>
      <c r="D33" s="53" t="s">
        <v>46</v>
      </c>
      <c r="E33" s="66">
        <f t="shared" si="8"/>
        <v>1.52</v>
      </c>
      <c r="F33" s="66">
        <f t="shared" si="9"/>
        <v>5.0999999999999996</v>
      </c>
      <c r="G33" s="29">
        <f t="shared" si="2"/>
        <v>5.5</v>
      </c>
      <c r="H33" s="34">
        <v>2</v>
      </c>
      <c r="I33" s="29">
        <f t="shared" si="5"/>
        <v>11</v>
      </c>
      <c r="J33" s="29"/>
      <c r="K33" s="29"/>
      <c r="L33" s="29"/>
      <c r="M33" s="29"/>
      <c r="N33" s="29"/>
      <c r="O33" s="29"/>
      <c r="P33" s="29">
        <f t="shared" si="3"/>
        <v>5.6</v>
      </c>
      <c r="Q33" s="29">
        <v>2</v>
      </c>
      <c r="R33" s="228">
        <f t="shared" si="4"/>
        <v>11.2</v>
      </c>
      <c r="S33" s="229"/>
    </row>
    <row r="34" spans="1:19">
      <c r="A34" s="51" t="str">
        <f>'1. 소켓인수검사'!A33</f>
        <v>25</v>
      </c>
      <c r="B34" s="34">
        <f>'1. 소켓인수검사'!C33</f>
        <v>1600</v>
      </c>
      <c r="C34" s="34">
        <f>'1. 소켓인수검사'!D33</f>
        <v>950</v>
      </c>
      <c r="D34" s="53" t="s">
        <v>46</v>
      </c>
      <c r="E34" s="66">
        <f t="shared" si="8"/>
        <v>1.52</v>
      </c>
      <c r="F34" s="66">
        <f t="shared" si="9"/>
        <v>5.0999999999999996</v>
      </c>
      <c r="G34" s="29">
        <f t="shared" si="2"/>
        <v>5.5</v>
      </c>
      <c r="H34" s="34">
        <v>2</v>
      </c>
      <c r="I34" s="29">
        <f t="shared" si="5"/>
        <v>11</v>
      </c>
      <c r="J34" s="29"/>
      <c r="K34" s="29"/>
      <c r="L34" s="29"/>
      <c r="M34" s="29"/>
      <c r="N34" s="29"/>
      <c r="O34" s="29"/>
      <c r="P34" s="29">
        <f t="shared" si="3"/>
        <v>5.6</v>
      </c>
      <c r="Q34" s="29">
        <v>2</v>
      </c>
      <c r="R34" s="228">
        <f t="shared" si="4"/>
        <v>11.2</v>
      </c>
      <c r="S34" s="229"/>
    </row>
    <row r="35" spans="1:19">
      <c r="A35" s="51" t="str">
        <f>'1. 소켓인수검사'!A34</f>
        <v>26</v>
      </c>
      <c r="B35" s="34">
        <f>'1. 소켓인수검사'!C34</f>
        <v>1600</v>
      </c>
      <c r="C35" s="34">
        <f>'1. 소켓인수검사'!D34</f>
        <v>950</v>
      </c>
      <c r="D35" s="53" t="s">
        <v>46</v>
      </c>
      <c r="E35" s="66">
        <f t="shared" si="8"/>
        <v>1.52</v>
      </c>
      <c r="F35" s="66">
        <f t="shared" si="9"/>
        <v>5.0999999999999996</v>
      </c>
      <c r="G35" s="29">
        <f t="shared" si="2"/>
        <v>5.5</v>
      </c>
      <c r="H35" s="34">
        <v>2</v>
      </c>
      <c r="I35" s="29">
        <f t="shared" si="5"/>
        <v>11</v>
      </c>
      <c r="J35" s="29"/>
      <c r="K35" s="29"/>
      <c r="L35" s="29"/>
      <c r="M35" s="29"/>
      <c r="N35" s="29"/>
      <c r="O35" s="29"/>
      <c r="P35" s="29">
        <f t="shared" si="3"/>
        <v>5.6</v>
      </c>
      <c r="Q35" s="29">
        <v>2</v>
      </c>
      <c r="R35" s="228">
        <f t="shared" si="4"/>
        <v>11.2</v>
      </c>
      <c r="S35" s="229"/>
    </row>
    <row r="36" spans="1:19">
      <c r="A36" s="51" t="str">
        <f>'1. 소켓인수검사'!A35</f>
        <v>27</v>
      </c>
      <c r="B36" s="34">
        <f>'1. 소켓인수검사'!C35</f>
        <v>1600</v>
      </c>
      <c r="C36" s="34">
        <f>'1. 소켓인수검사'!D35</f>
        <v>950</v>
      </c>
      <c r="D36" s="53" t="s">
        <v>46</v>
      </c>
      <c r="E36" s="66">
        <f t="shared" si="8"/>
        <v>1.52</v>
      </c>
      <c r="F36" s="66">
        <f t="shared" si="9"/>
        <v>5.0999999999999996</v>
      </c>
      <c r="G36" s="29">
        <f t="shared" si="2"/>
        <v>5.5</v>
      </c>
      <c r="H36" s="34">
        <v>2</v>
      </c>
      <c r="I36" s="29">
        <f t="shared" si="5"/>
        <v>11</v>
      </c>
      <c r="J36" s="29"/>
      <c r="K36" s="29"/>
      <c r="L36" s="29"/>
      <c r="M36" s="29"/>
      <c r="N36" s="29"/>
      <c r="O36" s="29"/>
      <c r="P36" s="29">
        <f t="shared" si="3"/>
        <v>5.6</v>
      </c>
      <c r="Q36" s="29">
        <v>2</v>
      </c>
      <c r="R36" s="228">
        <f t="shared" si="4"/>
        <v>11.2</v>
      </c>
      <c r="S36" s="229"/>
    </row>
    <row r="37" spans="1:19">
      <c r="A37" s="51" t="str">
        <f>'1. 소켓인수검사'!A36</f>
        <v>28</v>
      </c>
      <c r="B37" s="34">
        <f>'1. 소켓인수검사'!C36</f>
        <v>1600</v>
      </c>
      <c r="C37" s="34">
        <f>'1. 소켓인수검사'!D36</f>
        <v>950</v>
      </c>
      <c r="D37" s="53" t="s">
        <v>46</v>
      </c>
      <c r="E37" s="66">
        <f t="shared" si="8"/>
        <v>1.52</v>
      </c>
      <c r="F37" s="66">
        <f t="shared" si="9"/>
        <v>5.0999999999999996</v>
      </c>
      <c r="G37" s="29">
        <f t="shared" si="2"/>
        <v>5.5</v>
      </c>
      <c r="H37" s="34">
        <v>2</v>
      </c>
      <c r="I37" s="29">
        <f t="shared" si="5"/>
        <v>11</v>
      </c>
      <c r="J37" s="29"/>
      <c r="K37" s="29"/>
      <c r="L37" s="29"/>
      <c r="M37" s="29"/>
      <c r="N37" s="29"/>
      <c r="O37" s="29"/>
      <c r="P37" s="29">
        <f t="shared" si="3"/>
        <v>5.6</v>
      </c>
      <c r="Q37" s="29">
        <v>2</v>
      </c>
      <c r="R37" s="228">
        <f t="shared" si="4"/>
        <v>11.2</v>
      </c>
      <c r="S37" s="229"/>
    </row>
    <row r="38" spans="1:19">
      <c r="A38" s="51" t="str">
        <f>'1. 소켓인수검사'!A37</f>
        <v>29</v>
      </c>
      <c r="B38" s="34">
        <f>'1. 소켓인수검사'!C37</f>
        <v>1600</v>
      </c>
      <c r="C38" s="34">
        <f>'1. 소켓인수검사'!D37</f>
        <v>950</v>
      </c>
      <c r="D38" s="53" t="s">
        <v>46</v>
      </c>
      <c r="E38" s="66">
        <f t="shared" si="8"/>
        <v>1.52</v>
      </c>
      <c r="F38" s="66">
        <f t="shared" si="9"/>
        <v>5.0999999999999996</v>
      </c>
      <c r="G38" s="29">
        <f t="shared" si="2"/>
        <v>5.5</v>
      </c>
      <c r="H38" s="34">
        <v>2</v>
      </c>
      <c r="I38" s="29">
        <f t="shared" si="5"/>
        <v>11</v>
      </c>
      <c r="J38" s="29"/>
      <c r="K38" s="29"/>
      <c r="L38" s="29"/>
      <c r="M38" s="29"/>
      <c r="N38" s="29"/>
      <c r="O38" s="29"/>
      <c r="P38" s="29">
        <f t="shared" si="3"/>
        <v>5.6</v>
      </c>
      <c r="Q38" s="29">
        <v>2</v>
      </c>
      <c r="R38" s="228">
        <f t="shared" si="4"/>
        <v>11.2</v>
      </c>
      <c r="S38" s="229"/>
    </row>
    <row r="39" spans="1:19">
      <c r="A39" s="51" t="str">
        <f>'1. 소켓인수검사'!A38</f>
        <v>30</v>
      </c>
      <c r="B39" s="34">
        <f>'1. 소켓인수검사'!C38</f>
        <v>1600</v>
      </c>
      <c r="C39" s="34">
        <f>'1. 소켓인수검사'!D38</f>
        <v>950</v>
      </c>
      <c r="D39" s="53" t="s">
        <v>46</v>
      </c>
      <c r="E39" s="66">
        <f t="shared" si="8"/>
        <v>1.52</v>
      </c>
      <c r="F39" s="66">
        <f t="shared" si="9"/>
        <v>5.0999999999999996</v>
      </c>
      <c r="G39" s="29">
        <f t="shared" si="2"/>
        <v>5.5</v>
      </c>
      <c r="H39" s="34">
        <v>2</v>
      </c>
      <c r="I39" s="29">
        <f t="shared" si="5"/>
        <v>11</v>
      </c>
      <c r="J39" s="29"/>
      <c r="K39" s="29"/>
      <c r="L39" s="29"/>
      <c r="M39" s="29"/>
      <c r="N39" s="29"/>
      <c r="O39" s="29"/>
      <c r="P39" s="29">
        <f t="shared" si="3"/>
        <v>5.6</v>
      </c>
      <c r="Q39" s="29">
        <v>2</v>
      </c>
      <c r="R39" s="228">
        <f t="shared" si="4"/>
        <v>11.2</v>
      </c>
      <c r="S39" s="229"/>
    </row>
    <row r="40" spans="1:19">
      <c r="A40" s="51" t="str">
        <f>'1. 소켓인수검사'!A39</f>
        <v>31</v>
      </c>
      <c r="B40" s="34">
        <v>2800</v>
      </c>
      <c r="C40" s="34">
        <f>'1. 소켓인수검사'!D39</f>
        <v>1000</v>
      </c>
      <c r="D40" s="53" t="s">
        <v>46</v>
      </c>
      <c r="E40" s="66">
        <f t="shared" si="8"/>
        <v>2.8</v>
      </c>
      <c r="F40" s="66">
        <f t="shared" si="9"/>
        <v>7.6</v>
      </c>
      <c r="G40" s="29">
        <f t="shared" si="2"/>
        <v>8</v>
      </c>
      <c r="H40" s="34">
        <v>2</v>
      </c>
      <c r="I40" s="29">
        <f t="shared" si="5"/>
        <v>16</v>
      </c>
      <c r="J40" s="29"/>
      <c r="K40" s="29"/>
      <c r="L40" s="29"/>
      <c r="M40" s="29"/>
      <c r="N40" s="29"/>
      <c r="O40" s="29"/>
      <c r="P40" s="29">
        <f t="shared" si="3"/>
        <v>8.1</v>
      </c>
      <c r="Q40" s="29">
        <v>2</v>
      </c>
      <c r="R40" s="228">
        <f t="shared" si="4"/>
        <v>16.2</v>
      </c>
      <c r="S40" s="229"/>
    </row>
    <row r="41" spans="1:19">
      <c r="A41" s="51" t="str">
        <f>'1. 소켓인수검사'!A40</f>
        <v>32</v>
      </c>
      <c r="B41" s="34">
        <v>2800</v>
      </c>
      <c r="C41" s="34">
        <f>'1. 소켓인수검사'!D40</f>
        <v>1000</v>
      </c>
      <c r="D41" s="53" t="s">
        <v>46</v>
      </c>
      <c r="E41" s="66">
        <f t="shared" si="8"/>
        <v>2.8</v>
      </c>
      <c r="F41" s="66">
        <f t="shared" si="9"/>
        <v>7.6</v>
      </c>
      <c r="G41" s="29">
        <f t="shared" si="2"/>
        <v>8</v>
      </c>
      <c r="H41" s="34">
        <v>2</v>
      </c>
      <c r="I41" s="29">
        <f t="shared" si="5"/>
        <v>16</v>
      </c>
      <c r="J41" s="29"/>
      <c r="K41" s="29"/>
      <c r="L41" s="29"/>
      <c r="M41" s="29"/>
      <c r="N41" s="29"/>
      <c r="O41" s="29"/>
      <c r="P41" s="29">
        <f t="shared" si="3"/>
        <v>8.1</v>
      </c>
      <c r="Q41" s="29">
        <v>2</v>
      </c>
      <c r="R41" s="228">
        <f t="shared" si="4"/>
        <v>16.2</v>
      </c>
      <c r="S41" s="229"/>
    </row>
    <row r="42" spans="1:19">
      <c r="A42" s="51" t="str">
        <f>'1. 소켓인수검사'!A41</f>
        <v>33</v>
      </c>
      <c r="B42" s="34">
        <v>2800</v>
      </c>
      <c r="C42" s="34">
        <f>'1. 소켓인수검사'!D41</f>
        <v>1000</v>
      </c>
      <c r="D42" s="53" t="s">
        <v>46</v>
      </c>
      <c r="E42" s="66">
        <f t="shared" si="8"/>
        <v>2.8</v>
      </c>
      <c r="F42" s="66">
        <f t="shared" si="9"/>
        <v>7.6</v>
      </c>
      <c r="G42" s="29">
        <f t="shared" si="2"/>
        <v>8</v>
      </c>
      <c r="H42" s="34">
        <v>2</v>
      </c>
      <c r="I42" s="29">
        <f t="shared" si="5"/>
        <v>16</v>
      </c>
      <c r="J42" s="29"/>
      <c r="K42" s="29"/>
      <c r="L42" s="29"/>
      <c r="M42" s="29"/>
      <c r="N42" s="29"/>
      <c r="O42" s="29"/>
      <c r="P42" s="29">
        <f t="shared" si="3"/>
        <v>8.1</v>
      </c>
      <c r="Q42" s="29">
        <v>2</v>
      </c>
      <c r="R42" s="228">
        <f t="shared" si="4"/>
        <v>16.2</v>
      </c>
      <c r="S42" s="229"/>
    </row>
    <row r="43" spans="1:19">
      <c r="A43" s="51" t="str">
        <f>'1. 소켓인수검사'!A42</f>
        <v>34</v>
      </c>
      <c r="B43" s="34">
        <v>2800</v>
      </c>
      <c r="C43" s="34">
        <f>'1. 소켓인수검사'!D42</f>
        <v>1000</v>
      </c>
      <c r="D43" s="53" t="s">
        <v>46</v>
      </c>
      <c r="E43" s="66">
        <f t="shared" si="8"/>
        <v>2.8</v>
      </c>
      <c r="F43" s="66">
        <f t="shared" si="9"/>
        <v>7.6</v>
      </c>
      <c r="G43" s="29">
        <f t="shared" si="2"/>
        <v>8</v>
      </c>
      <c r="H43" s="34">
        <v>2</v>
      </c>
      <c r="I43" s="29">
        <f t="shared" si="5"/>
        <v>16</v>
      </c>
      <c r="J43" s="29"/>
      <c r="K43" s="29"/>
      <c r="L43" s="29"/>
      <c r="M43" s="29"/>
      <c r="N43" s="29"/>
      <c r="O43" s="29"/>
      <c r="P43" s="29">
        <f t="shared" si="3"/>
        <v>8.1</v>
      </c>
      <c r="Q43" s="29">
        <v>2</v>
      </c>
      <c r="R43" s="228">
        <f t="shared" si="4"/>
        <v>16.2</v>
      </c>
      <c r="S43" s="229"/>
    </row>
    <row r="44" spans="1:19">
      <c r="A44" s="51" t="str">
        <f>'1. 소켓인수검사'!A43</f>
        <v>35</v>
      </c>
      <c r="B44" s="34">
        <v>2800</v>
      </c>
      <c r="C44" s="34">
        <f>'1. 소켓인수검사'!D43</f>
        <v>1000</v>
      </c>
      <c r="D44" s="53" t="s">
        <v>46</v>
      </c>
      <c r="E44" s="66">
        <f t="shared" si="8"/>
        <v>2.8</v>
      </c>
      <c r="F44" s="66">
        <f t="shared" si="9"/>
        <v>7.6</v>
      </c>
      <c r="G44" s="29">
        <f t="shared" si="2"/>
        <v>8</v>
      </c>
      <c r="H44" s="34">
        <v>2</v>
      </c>
      <c r="I44" s="29">
        <f t="shared" si="5"/>
        <v>16</v>
      </c>
      <c r="J44" s="29"/>
      <c r="K44" s="29"/>
      <c r="L44" s="29"/>
      <c r="M44" s="29"/>
      <c r="N44" s="29"/>
      <c r="O44" s="29"/>
      <c r="P44" s="29">
        <f t="shared" si="3"/>
        <v>8.1</v>
      </c>
      <c r="Q44" s="29">
        <v>2</v>
      </c>
      <c r="R44" s="228">
        <f t="shared" si="4"/>
        <v>16.2</v>
      </c>
      <c r="S44" s="229"/>
    </row>
    <row r="45" spans="1:19">
      <c r="A45" s="214" t="s">
        <v>3</v>
      </c>
      <c r="B45" s="215"/>
      <c r="C45" s="215"/>
      <c r="D45" s="215"/>
      <c r="E45" s="215"/>
      <c r="F45" s="216"/>
      <c r="G45" s="32"/>
      <c r="H45" s="43"/>
      <c r="I45" s="74">
        <f>SUM(I10:I44)</f>
        <v>388</v>
      </c>
      <c r="J45" s="32"/>
      <c r="K45" s="32"/>
      <c r="L45" s="74">
        <f>SUM(L10:L44)</f>
        <v>0</v>
      </c>
      <c r="M45" s="32"/>
      <c r="N45" s="32"/>
      <c r="O45" s="74">
        <f>SUM(O10:O44)</f>
        <v>0</v>
      </c>
      <c r="P45" s="32"/>
      <c r="Q45" s="32"/>
      <c r="R45" s="217">
        <f>SUM(R10:S44)</f>
        <v>394.99999999999977</v>
      </c>
      <c r="S45" s="218"/>
    </row>
    <row r="46" spans="1:19" ht="17.25" customHeight="1">
      <c r="A46" s="221" t="s">
        <v>12</v>
      </c>
      <c r="B46" s="222"/>
      <c r="C46" s="222"/>
      <c r="D46" s="222"/>
      <c r="E46" s="222"/>
      <c r="F46" s="223"/>
      <c r="G46" s="224">
        <f>I45/20</f>
        <v>19.399999999999999</v>
      </c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6"/>
    </row>
    <row r="47" spans="1:19">
      <c r="A47" s="221" t="s">
        <v>11</v>
      </c>
      <c r="B47" s="222"/>
      <c r="C47" s="222"/>
      <c r="D47" s="222"/>
      <c r="E47" s="222"/>
      <c r="F47" s="223"/>
      <c r="G47" s="224">
        <f>L45/3.6</f>
        <v>0</v>
      </c>
      <c r="H47" s="225"/>
      <c r="I47" s="225"/>
      <c r="J47" s="225"/>
      <c r="K47" s="225"/>
      <c r="L47" s="225"/>
      <c r="M47" s="225"/>
      <c r="N47" s="225"/>
      <c r="O47" s="225"/>
      <c r="P47" s="225"/>
      <c r="Q47" s="225"/>
      <c r="R47" s="225"/>
      <c r="S47" s="226"/>
    </row>
    <row r="48" spans="1:19">
      <c r="A48" s="227" t="s">
        <v>73</v>
      </c>
      <c r="B48" s="222"/>
      <c r="C48" s="222"/>
      <c r="D48" s="222"/>
      <c r="E48" s="222"/>
      <c r="F48" s="223"/>
      <c r="G48" s="224">
        <f>O45/7.4</f>
        <v>0</v>
      </c>
      <c r="H48" s="225"/>
      <c r="I48" s="225"/>
      <c r="J48" s="225"/>
      <c r="K48" s="225"/>
      <c r="L48" s="225"/>
      <c r="M48" s="225"/>
      <c r="N48" s="225"/>
      <c r="O48" s="225"/>
      <c r="P48" s="225"/>
      <c r="Q48" s="225"/>
      <c r="R48" s="225"/>
      <c r="S48" s="226"/>
    </row>
    <row r="49" spans="1:19">
      <c r="A49" s="221" t="s">
        <v>13</v>
      </c>
      <c r="B49" s="222"/>
      <c r="C49" s="222"/>
      <c r="D49" s="222"/>
      <c r="E49" s="222"/>
      <c r="F49" s="223"/>
      <c r="G49" s="224">
        <f>R45/3.6</f>
        <v>109.72222222222216</v>
      </c>
      <c r="H49" s="225"/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6"/>
    </row>
    <row r="50" spans="1:19" ht="8.1" customHeight="1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</row>
    <row r="51" spans="1:19">
      <c r="A51" s="1" t="s">
        <v>45</v>
      </c>
      <c r="B51" s="1"/>
      <c r="C51" s="219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</row>
    <row r="52" spans="1:19">
      <c r="A52" s="1"/>
      <c r="B52" s="1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</row>
    <row r="53" spans="1:19">
      <c r="A53" s="1"/>
      <c r="B53" s="1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</row>
    <row r="54" spans="1:19">
      <c r="A54" s="1"/>
      <c r="B54" s="1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</row>
  </sheetData>
  <mergeCells count="74">
    <mergeCell ref="A1:C3"/>
    <mergeCell ref="D1:Q4"/>
    <mergeCell ref="R1:R4"/>
    <mergeCell ref="S2:S4"/>
    <mergeCell ref="A4:B4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A45:F45"/>
    <mergeCell ref="R45:S45"/>
    <mergeCell ref="A51:B54"/>
    <mergeCell ref="C51:S54"/>
    <mergeCell ref="A46:F46"/>
    <mergeCell ref="G46:S46"/>
    <mergeCell ref="A47:F47"/>
    <mergeCell ref="G47:S47"/>
    <mergeCell ref="A48:F48"/>
    <mergeCell ref="G48:S48"/>
    <mergeCell ref="A49:F49"/>
    <mergeCell ref="G49:S49"/>
    <mergeCell ref="A50:S50"/>
  </mergeCells>
  <phoneticPr fontId="25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49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A42" sqref="A42:C42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"/>
      <c r="B1" s="1"/>
      <c r="C1" s="1"/>
      <c r="D1" s="1"/>
      <c r="E1" s="93" t="s">
        <v>7</v>
      </c>
      <c r="F1" s="257" t="s">
        <v>70</v>
      </c>
      <c r="G1" s="257"/>
      <c r="H1" s="257"/>
      <c r="I1" s="257"/>
      <c r="J1" s="257"/>
      <c r="K1" s="173" t="str">
        <f>'1. 소켓인수검사'!R2</f>
        <v>26.06.05 엘티엔지니어링_신세계건설_대현기건(주)_트레이더스 의정부</v>
      </c>
      <c r="L1" s="173"/>
      <c r="M1" s="173"/>
      <c r="N1" s="173"/>
      <c r="O1" s="173"/>
      <c r="P1" s="173"/>
      <c r="Q1" s="173"/>
      <c r="R1" s="173"/>
      <c r="S1" s="173"/>
      <c r="T1" s="173"/>
      <c r="U1" s="174"/>
    </row>
    <row r="2" spans="1:21" ht="16.5" customHeight="1">
      <c r="A2" s="1"/>
      <c r="B2" s="1"/>
      <c r="C2" s="1"/>
      <c r="D2" s="1"/>
      <c r="E2" s="92"/>
      <c r="F2" s="258"/>
      <c r="G2" s="258"/>
      <c r="H2" s="258"/>
      <c r="I2" s="258"/>
      <c r="J2" s="258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6"/>
    </row>
    <row r="3" spans="1:21" ht="24" customHeight="1">
      <c r="A3" s="1"/>
      <c r="B3" s="1"/>
      <c r="C3" s="1"/>
      <c r="D3" s="1"/>
      <c r="E3" s="94"/>
      <c r="F3" s="259"/>
      <c r="G3" s="259"/>
      <c r="H3" s="259"/>
      <c r="I3" s="259"/>
      <c r="J3" s="259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</row>
    <row r="4" spans="1:21" ht="8.1" customHeight="1">
      <c r="A4" s="132"/>
      <c r="B4" s="133"/>
      <c r="C4" s="133"/>
      <c r="D4" s="133"/>
      <c r="E4" s="133"/>
      <c r="F4" s="133"/>
      <c r="G4" s="133"/>
      <c r="H4" s="132"/>
      <c r="I4" s="133"/>
      <c r="J4" s="133"/>
      <c r="K4" s="133"/>
      <c r="L4" s="133"/>
      <c r="M4" s="133"/>
      <c r="N4" s="133"/>
      <c r="O4" s="133"/>
      <c r="P4" s="133"/>
      <c r="Q4" s="3"/>
      <c r="S4" s="3"/>
      <c r="T4" s="3"/>
      <c r="U4" s="3"/>
    </row>
    <row r="5" spans="1:21" ht="16.5" customHeight="1">
      <c r="A5" s="120" t="s">
        <v>56</v>
      </c>
      <c r="B5" s="269" t="s">
        <v>36</v>
      </c>
      <c r="C5" s="230" t="s">
        <v>63</v>
      </c>
      <c r="D5" s="230" t="s">
        <v>61</v>
      </c>
      <c r="E5" s="230" t="s">
        <v>24</v>
      </c>
      <c r="F5" s="230" t="s">
        <v>51</v>
      </c>
      <c r="G5" s="230" t="s">
        <v>58</v>
      </c>
      <c r="H5" s="230" t="s">
        <v>40</v>
      </c>
      <c r="I5" s="230" t="s">
        <v>23</v>
      </c>
      <c r="J5" s="230"/>
      <c r="K5" s="230" t="s">
        <v>0</v>
      </c>
      <c r="L5" s="230"/>
      <c r="M5" s="230" t="s">
        <v>0</v>
      </c>
      <c r="N5" s="230"/>
      <c r="O5" s="230" t="s">
        <v>0</v>
      </c>
      <c r="P5" s="230"/>
      <c r="Q5" s="250" t="s">
        <v>50</v>
      </c>
      <c r="R5" s="250"/>
      <c r="S5" s="251" t="s">
        <v>30</v>
      </c>
      <c r="T5" s="251" t="s">
        <v>55</v>
      </c>
      <c r="U5" s="253" t="s">
        <v>17</v>
      </c>
    </row>
    <row r="6" spans="1:21" ht="26.45" customHeight="1">
      <c r="A6" s="234"/>
      <c r="B6" s="270"/>
      <c r="C6" s="231"/>
      <c r="D6" s="231"/>
      <c r="E6" s="231"/>
      <c r="F6" s="231"/>
      <c r="G6" s="231"/>
      <c r="H6" s="231"/>
      <c r="I6" s="70" t="s">
        <v>8</v>
      </c>
      <c r="J6" s="33" t="s">
        <v>54</v>
      </c>
      <c r="K6" s="70" t="s">
        <v>71</v>
      </c>
      <c r="L6" s="33" t="s">
        <v>54</v>
      </c>
      <c r="M6" s="70" t="s">
        <v>35</v>
      </c>
      <c r="N6" s="33" t="s">
        <v>54</v>
      </c>
      <c r="O6" s="70" t="s">
        <v>37</v>
      </c>
      <c r="P6" s="33" t="s">
        <v>54</v>
      </c>
      <c r="Q6" s="70" t="s">
        <v>52</v>
      </c>
      <c r="R6" s="33" t="s">
        <v>64</v>
      </c>
      <c r="S6" s="252"/>
      <c r="T6" s="252"/>
      <c r="U6" s="254"/>
    </row>
    <row r="7" spans="1:21">
      <c r="A7" s="51" t="str">
        <f>'1. 소켓인수검사'!A9</f>
        <v>01</v>
      </c>
      <c r="B7" s="71" t="s">
        <v>39</v>
      </c>
      <c r="C7" s="34">
        <f>'1. 소켓인수검사'!C9</f>
        <v>1250</v>
      </c>
      <c r="D7" s="34">
        <f>'1. 소켓인수검사'!D9</f>
        <v>950</v>
      </c>
      <c r="E7" s="35"/>
      <c r="F7" s="36">
        <f t="shared" ref="F7:F41" si="0">C7*D7/1000000</f>
        <v>1.1875</v>
      </c>
      <c r="G7" s="36">
        <f t="shared" ref="G7:G41" si="1">(C7+D7)*2/1000</f>
        <v>4.4000000000000004</v>
      </c>
      <c r="H7" s="39">
        <v>2</v>
      </c>
      <c r="I7" s="70">
        <f t="shared" ref="I7:I38" si="2">(G7+0.4)</f>
        <v>4.8000000000000007</v>
      </c>
      <c r="J7" s="40">
        <v>2</v>
      </c>
      <c r="K7" s="29"/>
      <c r="L7" s="33"/>
      <c r="M7" s="29"/>
      <c r="N7" s="33"/>
      <c r="O7" s="70">
        <f t="shared" ref="O7:O38" si="3">(G7+0.5)</f>
        <v>4.9000000000000004</v>
      </c>
      <c r="P7" s="40">
        <v>2</v>
      </c>
      <c r="Q7" s="37">
        <f t="shared" ref="Q7:Q41" si="4">(((C7+60)+250+(D7+60))*2/1000)*2</f>
        <v>10.28</v>
      </c>
      <c r="R7" s="97">
        <f t="shared" ref="R7:R41" si="5">Q7</f>
        <v>10.28</v>
      </c>
      <c r="S7" s="41" t="s">
        <v>42</v>
      </c>
      <c r="T7" s="42" t="s">
        <v>6</v>
      </c>
      <c r="U7" s="38" t="str">
        <f>'1. 소켓인수검사'!G9</f>
        <v>55~59 AHU-4</v>
      </c>
    </row>
    <row r="8" spans="1:21">
      <c r="A8" s="51" t="str">
        <f>'1. 소켓인수검사'!A10</f>
        <v>02</v>
      </c>
      <c r="B8" s="71" t="s">
        <v>39</v>
      </c>
      <c r="C8" s="34">
        <f>'1. 소켓인수검사'!C10</f>
        <v>1250</v>
      </c>
      <c r="D8" s="34">
        <f>'1. 소켓인수검사'!D10</f>
        <v>950</v>
      </c>
      <c r="E8" s="35"/>
      <c r="F8" s="36">
        <f t="shared" si="0"/>
        <v>1.1875</v>
      </c>
      <c r="G8" s="36">
        <f t="shared" si="1"/>
        <v>4.4000000000000004</v>
      </c>
      <c r="H8" s="39">
        <v>2</v>
      </c>
      <c r="I8" s="70">
        <f t="shared" si="2"/>
        <v>4.8000000000000007</v>
      </c>
      <c r="J8" s="40">
        <v>2</v>
      </c>
      <c r="K8" s="29"/>
      <c r="L8" s="33"/>
      <c r="M8" s="29"/>
      <c r="N8" s="33"/>
      <c r="O8" s="70">
        <f t="shared" si="3"/>
        <v>4.9000000000000004</v>
      </c>
      <c r="P8" s="40">
        <v>2</v>
      </c>
      <c r="Q8" s="37">
        <f t="shared" si="4"/>
        <v>10.28</v>
      </c>
      <c r="R8" s="97">
        <f t="shared" si="5"/>
        <v>10.28</v>
      </c>
      <c r="S8" s="41" t="s">
        <v>42</v>
      </c>
      <c r="T8" s="42" t="s">
        <v>6</v>
      </c>
      <c r="U8" s="38" t="str">
        <f>'1. 소켓인수검사'!G10</f>
        <v>55~59 AHU-4</v>
      </c>
    </row>
    <row r="9" spans="1:21">
      <c r="A9" s="51" t="str">
        <f>'1. 소켓인수검사'!A11</f>
        <v>03</v>
      </c>
      <c r="B9" s="71" t="s">
        <v>39</v>
      </c>
      <c r="C9" s="34">
        <f>'1. 소켓인수검사'!C11</f>
        <v>1250</v>
      </c>
      <c r="D9" s="34">
        <f>'1. 소켓인수검사'!D11</f>
        <v>950</v>
      </c>
      <c r="E9" s="35"/>
      <c r="F9" s="36">
        <f t="shared" si="0"/>
        <v>1.1875</v>
      </c>
      <c r="G9" s="36">
        <f t="shared" si="1"/>
        <v>4.4000000000000004</v>
      </c>
      <c r="H9" s="39">
        <v>2</v>
      </c>
      <c r="I9" s="70">
        <f t="shared" si="2"/>
        <v>4.8000000000000007</v>
      </c>
      <c r="J9" s="40">
        <v>2</v>
      </c>
      <c r="K9" s="29"/>
      <c r="L9" s="33"/>
      <c r="M9" s="29"/>
      <c r="N9" s="33"/>
      <c r="O9" s="70">
        <f t="shared" si="3"/>
        <v>4.9000000000000004</v>
      </c>
      <c r="P9" s="40">
        <v>2</v>
      </c>
      <c r="Q9" s="37">
        <f t="shared" si="4"/>
        <v>10.28</v>
      </c>
      <c r="R9" s="97">
        <f t="shared" si="5"/>
        <v>10.28</v>
      </c>
      <c r="S9" s="41" t="s">
        <v>42</v>
      </c>
      <c r="T9" s="42" t="s">
        <v>6</v>
      </c>
      <c r="U9" s="38" t="str">
        <f>'1. 소켓인수검사'!G11</f>
        <v>55~59 AHU-4</v>
      </c>
    </row>
    <row r="10" spans="1:21">
      <c r="A10" s="51" t="str">
        <f>'1. 소켓인수검사'!A12</f>
        <v>04</v>
      </c>
      <c r="B10" s="71" t="s">
        <v>39</v>
      </c>
      <c r="C10" s="34">
        <f>'1. 소켓인수검사'!C12</f>
        <v>1250</v>
      </c>
      <c r="D10" s="34">
        <f>'1. 소켓인수검사'!D12</f>
        <v>950</v>
      </c>
      <c r="E10" s="35"/>
      <c r="F10" s="36">
        <f t="shared" si="0"/>
        <v>1.1875</v>
      </c>
      <c r="G10" s="36">
        <f t="shared" si="1"/>
        <v>4.4000000000000004</v>
      </c>
      <c r="H10" s="39">
        <v>2</v>
      </c>
      <c r="I10" s="70">
        <f t="shared" si="2"/>
        <v>4.8000000000000007</v>
      </c>
      <c r="J10" s="40">
        <v>2</v>
      </c>
      <c r="K10" s="29"/>
      <c r="L10" s="33"/>
      <c r="M10" s="29"/>
      <c r="N10" s="33"/>
      <c r="O10" s="70">
        <f t="shared" si="3"/>
        <v>4.9000000000000004</v>
      </c>
      <c r="P10" s="40">
        <v>2</v>
      </c>
      <c r="Q10" s="37">
        <f t="shared" si="4"/>
        <v>10.28</v>
      </c>
      <c r="R10" s="97">
        <f t="shared" si="5"/>
        <v>10.28</v>
      </c>
      <c r="S10" s="41" t="s">
        <v>42</v>
      </c>
      <c r="T10" s="42" t="s">
        <v>6</v>
      </c>
      <c r="U10" s="38" t="str">
        <f>'1. 소켓인수검사'!G12</f>
        <v>55~59 AHU-4</v>
      </c>
    </row>
    <row r="11" spans="1:21">
      <c r="A11" s="51" t="str">
        <f>'1. 소켓인수검사'!A13</f>
        <v>05</v>
      </c>
      <c r="B11" s="71" t="s">
        <v>39</v>
      </c>
      <c r="C11" s="34">
        <f>'1. 소켓인수검사'!C13</f>
        <v>1250</v>
      </c>
      <c r="D11" s="34">
        <f>'1. 소켓인수검사'!D13</f>
        <v>950</v>
      </c>
      <c r="E11" s="35"/>
      <c r="F11" s="36">
        <f t="shared" si="0"/>
        <v>1.1875</v>
      </c>
      <c r="G11" s="36">
        <f t="shared" si="1"/>
        <v>4.4000000000000004</v>
      </c>
      <c r="H11" s="39">
        <v>2</v>
      </c>
      <c r="I11" s="70">
        <f t="shared" si="2"/>
        <v>4.8000000000000007</v>
      </c>
      <c r="J11" s="40">
        <v>2</v>
      </c>
      <c r="K11" s="29"/>
      <c r="L11" s="33"/>
      <c r="M11" s="29"/>
      <c r="N11" s="33"/>
      <c r="O11" s="70">
        <f t="shared" si="3"/>
        <v>4.9000000000000004</v>
      </c>
      <c r="P11" s="40">
        <v>2</v>
      </c>
      <c r="Q11" s="37">
        <f t="shared" si="4"/>
        <v>10.28</v>
      </c>
      <c r="R11" s="97">
        <f t="shared" si="5"/>
        <v>10.28</v>
      </c>
      <c r="S11" s="41" t="s">
        <v>42</v>
      </c>
      <c r="T11" s="42" t="s">
        <v>6</v>
      </c>
      <c r="U11" s="38" t="str">
        <f>'1. 소켓인수검사'!G13</f>
        <v>55~59 AHU-4</v>
      </c>
    </row>
    <row r="12" spans="1:21">
      <c r="A12" s="51" t="str">
        <f>'1. 소켓인수검사'!A14</f>
        <v>06</v>
      </c>
      <c r="B12" s="71" t="s">
        <v>39</v>
      </c>
      <c r="C12" s="34">
        <f>'1. 소켓인수검사'!C14</f>
        <v>1400</v>
      </c>
      <c r="D12" s="34">
        <f>'1. 소켓인수검사'!D14</f>
        <v>900</v>
      </c>
      <c r="E12" s="35"/>
      <c r="F12" s="36">
        <f t="shared" si="0"/>
        <v>1.26</v>
      </c>
      <c r="G12" s="36">
        <f t="shared" si="1"/>
        <v>4.5999999999999996</v>
      </c>
      <c r="H12" s="39">
        <v>2</v>
      </c>
      <c r="I12" s="70">
        <f t="shared" si="2"/>
        <v>5</v>
      </c>
      <c r="J12" s="40">
        <v>2</v>
      </c>
      <c r="K12" s="29"/>
      <c r="L12" s="33"/>
      <c r="M12" s="29"/>
      <c r="N12" s="33"/>
      <c r="O12" s="70">
        <f t="shared" si="3"/>
        <v>5.0999999999999996</v>
      </c>
      <c r="P12" s="40">
        <v>2</v>
      </c>
      <c r="Q12" s="37">
        <f t="shared" si="4"/>
        <v>10.68</v>
      </c>
      <c r="R12" s="97">
        <f t="shared" si="5"/>
        <v>10.68</v>
      </c>
      <c r="S12" s="41" t="s">
        <v>42</v>
      </c>
      <c r="T12" s="42" t="s">
        <v>6</v>
      </c>
      <c r="U12" s="38" t="str">
        <f>'1. 소켓인수검사'!G14</f>
        <v>40~49 AHU1-2</v>
      </c>
    </row>
    <row r="13" spans="1:21">
      <c r="A13" s="51" t="str">
        <f>'1. 소켓인수검사'!A15</f>
        <v>07</v>
      </c>
      <c r="B13" s="71" t="s">
        <v>39</v>
      </c>
      <c r="C13" s="34">
        <f>'1. 소켓인수검사'!C15</f>
        <v>1400</v>
      </c>
      <c r="D13" s="34">
        <f>'1. 소켓인수검사'!D15</f>
        <v>900</v>
      </c>
      <c r="E13" s="35"/>
      <c r="F13" s="36">
        <f t="shared" si="0"/>
        <v>1.26</v>
      </c>
      <c r="G13" s="36">
        <f t="shared" si="1"/>
        <v>4.5999999999999996</v>
      </c>
      <c r="H13" s="39">
        <v>2</v>
      </c>
      <c r="I13" s="70">
        <f t="shared" si="2"/>
        <v>5</v>
      </c>
      <c r="J13" s="40">
        <v>2</v>
      </c>
      <c r="K13" s="29"/>
      <c r="L13" s="33"/>
      <c r="M13" s="29"/>
      <c r="N13" s="33"/>
      <c r="O13" s="70">
        <f t="shared" si="3"/>
        <v>5.0999999999999996</v>
      </c>
      <c r="P13" s="40">
        <v>2</v>
      </c>
      <c r="Q13" s="37">
        <f t="shared" si="4"/>
        <v>10.68</v>
      </c>
      <c r="R13" s="97">
        <f t="shared" si="5"/>
        <v>10.68</v>
      </c>
      <c r="S13" s="41" t="s">
        <v>42</v>
      </c>
      <c r="T13" s="42" t="s">
        <v>6</v>
      </c>
      <c r="U13" s="38" t="str">
        <f>'1. 소켓인수검사'!G15</f>
        <v>40~49 AHU1-2</v>
      </c>
    </row>
    <row r="14" spans="1:21">
      <c r="A14" s="51" t="str">
        <f>'1. 소켓인수검사'!A16</f>
        <v>08</v>
      </c>
      <c r="B14" s="71" t="s">
        <v>39</v>
      </c>
      <c r="C14" s="34">
        <f>'1. 소켓인수검사'!C16</f>
        <v>1400</v>
      </c>
      <c r="D14" s="34">
        <f>'1. 소켓인수검사'!D16</f>
        <v>900</v>
      </c>
      <c r="E14" s="35"/>
      <c r="F14" s="36">
        <f t="shared" si="0"/>
        <v>1.26</v>
      </c>
      <c r="G14" s="36">
        <f t="shared" si="1"/>
        <v>4.5999999999999996</v>
      </c>
      <c r="H14" s="39">
        <v>2</v>
      </c>
      <c r="I14" s="70">
        <f t="shared" si="2"/>
        <v>5</v>
      </c>
      <c r="J14" s="40">
        <v>2</v>
      </c>
      <c r="K14" s="29"/>
      <c r="L14" s="33"/>
      <c r="M14" s="29"/>
      <c r="N14" s="33"/>
      <c r="O14" s="70">
        <f t="shared" si="3"/>
        <v>5.0999999999999996</v>
      </c>
      <c r="P14" s="40">
        <v>2</v>
      </c>
      <c r="Q14" s="37">
        <f t="shared" si="4"/>
        <v>10.68</v>
      </c>
      <c r="R14" s="97">
        <f t="shared" si="5"/>
        <v>10.68</v>
      </c>
      <c r="S14" s="41" t="s">
        <v>42</v>
      </c>
      <c r="T14" s="42" t="s">
        <v>6</v>
      </c>
      <c r="U14" s="38" t="str">
        <f>'1. 소켓인수검사'!G16</f>
        <v>40~49 AHU1-2</v>
      </c>
    </row>
    <row r="15" spans="1:21">
      <c r="A15" s="51" t="str">
        <f>'1. 소켓인수검사'!A17</f>
        <v>09</v>
      </c>
      <c r="B15" s="71" t="s">
        <v>39</v>
      </c>
      <c r="C15" s="34">
        <f>'1. 소켓인수검사'!C17</f>
        <v>1400</v>
      </c>
      <c r="D15" s="34">
        <f>'1. 소켓인수검사'!D17</f>
        <v>900</v>
      </c>
      <c r="E15" s="35"/>
      <c r="F15" s="36">
        <f t="shared" si="0"/>
        <v>1.26</v>
      </c>
      <c r="G15" s="36">
        <f t="shared" si="1"/>
        <v>4.5999999999999996</v>
      </c>
      <c r="H15" s="39">
        <v>2</v>
      </c>
      <c r="I15" s="70">
        <f t="shared" si="2"/>
        <v>5</v>
      </c>
      <c r="J15" s="40">
        <v>2</v>
      </c>
      <c r="K15" s="29"/>
      <c r="L15" s="33"/>
      <c r="M15" s="29"/>
      <c r="N15" s="33"/>
      <c r="O15" s="70">
        <f t="shared" si="3"/>
        <v>5.0999999999999996</v>
      </c>
      <c r="P15" s="40">
        <v>2</v>
      </c>
      <c r="Q15" s="37">
        <f t="shared" si="4"/>
        <v>10.68</v>
      </c>
      <c r="R15" s="97">
        <f t="shared" si="5"/>
        <v>10.68</v>
      </c>
      <c r="S15" s="41" t="s">
        <v>42</v>
      </c>
      <c r="T15" s="42" t="s">
        <v>6</v>
      </c>
      <c r="U15" s="38" t="str">
        <f>'1. 소켓인수검사'!G17</f>
        <v>40~49 AHU1-2</v>
      </c>
    </row>
    <row r="16" spans="1:21">
      <c r="A16" s="51" t="str">
        <f>'1. 소켓인수검사'!A18</f>
        <v>10</v>
      </c>
      <c r="B16" s="71" t="s">
        <v>39</v>
      </c>
      <c r="C16" s="34">
        <f>'1. 소켓인수검사'!C18</f>
        <v>1400</v>
      </c>
      <c r="D16" s="34">
        <f>'1. 소켓인수검사'!D18</f>
        <v>900</v>
      </c>
      <c r="E16" s="35"/>
      <c r="F16" s="36">
        <f t="shared" si="0"/>
        <v>1.26</v>
      </c>
      <c r="G16" s="36">
        <f t="shared" si="1"/>
        <v>4.5999999999999996</v>
      </c>
      <c r="H16" s="39">
        <v>2</v>
      </c>
      <c r="I16" s="70">
        <f t="shared" si="2"/>
        <v>5</v>
      </c>
      <c r="J16" s="40">
        <v>2</v>
      </c>
      <c r="K16" s="29"/>
      <c r="L16" s="33"/>
      <c r="M16" s="29"/>
      <c r="N16" s="33"/>
      <c r="O16" s="70">
        <f t="shared" si="3"/>
        <v>5.0999999999999996</v>
      </c>
      <c r="P16" s="40">
        <v>2</v>
      </c>
      <c r="Q16" s="37">
        <f t="shared" si="4"/>
        <v>10.68</v>
      </c>
      <c r="R16" s="97">
        <f t="shared" si="5"/>
        <v>10.68</v>
      </c>
      <c r="S16" s="41" t="s">
        <v>42</v>
      </c>
      <c r="T16" s="42" t="s">
        <v>6</v>
      </c>
      <c r="U16" s="38" t="str">
        <f>'1. 소켓인수검사'!G18</f>
        <v>40~49 AHU1-2</v>
      </c>
    </row>
    <row r="17" spans="1:21">
      <c r="A17" s="51" t="str">
        <f>'1. 소켓인수검사'!A19</f>
        <v>11</v>
      </c>
      <c r="B17" s="71" t="s">
        <v>39</v>
      </c>
      <c r="C17" s="34">
        <f>'1. 소켓인수검사'!C19</f>
        <v>1400</v>
      </c>
      <c r="D17" s="34">
        <f>'1. 소켓인수검사'!D19</f>
        <v>900</v>
      </c>
      <c r="E17" s="35"/>
      <c r="F17" s="36">
        <f t="shared" si="0"/>
        <v>1.26</v>
      </c>
      <c r="G17" s="36">
        <f t="shared" si="1"/>
        <v>4.5999999999999996</v>
      </c>
      <c r="H17" s="39">
        <v>2</v>
      </c>
      <c r="I17" s="70">
        <f t="shared" si="2"/>
        <v>5</v>
      </c>
      <c r="J17" s="40">
        <v>2</v>
      </c>
      <c r="K17" s="29"/>
      <c r="L17" s="33"/>
      <c r="M17" s="29"/>
      <c r="N17" s="33"/>
      <c r="O17" s="70">
        <f t="shared" si="3"/>
        <v>5.0999999999999996</v>
      </c>
      <c r="P17" s="40">
        <v>2</v>
      </c>
      <c r="Q17" s="37">
        <f t="shared" si="4"/>
        <v>10.68</v>
      </c>
      <c r="R17" s="97">
        <f t="shared" si="5"/>
        <v>10.68</v>
      </c>
      <c r="S17" s="41" t="s">
        <v>42</v>
      </c>
      <c r="T17" s="42" t="s">
        <v>6</v>
      </c>
      <c r="U17" s="38" t="str">
        <f>'1. 소켓인수검사'!G19</f>
        <v>40~49 AHU1-2</v>
      </c>
    </row>
    <row r="18" spans="1:21">
      <c r="A18" s="51" t="str">
        <f>'1. 소켓인수검사'!A20</f>
        <v>12</v>
      </c>
      <c r="B18" s="71" t="s">
        <v>39</v>
      </c>
      <c r="C18" s="34">
        <f>'1. 소켓인수검사'!C20</f>
        <v>1400</v>
      </c>
      <c r="D18" s="34">
        <f>'1. 소켓인수검사'!D20</f>
        <v>900</v>
      </c>
      <c r="E18" s="35"/>
      <c r="F18" s="36">
        <f t="shared" si="0"/>
        <v>1.26</v>
      </c>
      <c r="G18" s="36">
        <f t="shared" si="1"/>
        <v>4.5999999999999996</v>
      </c>
      <c r="H18" s="39">
        <v>2</v>
      </c>
      <c r="I18" s="70">
        <f t="shared" si="2"/>
        <v>5</v>
      </c>
      <c r="J18" s="40">
        <v>2</v>
      </c>
      <c r="K18" s="29"/>
      <c r="L18" s="33"/>
      <c r="M18" s="29"/>
      <c r="N18" s="33"/>
      <c r="O18" s="70">
        <f t="shared" si="3"/>
        <v>5.0999999999999996</v>
      </c>
      <c r="P18" s="40">
        <v>2</v>
      </c>
      <c r="Q18" s="37">
        <f t="shared" si="4"/>
        <v>10.68</v>
      </c>
      <c r="R18" s="97">
        <f t="shared" si="5"/>
        <v>10.68</v>
      </c>
      <c r="S18" s="41" t="s">
        <v>42</v>
      </c>
      <c r="T18" s="42" t="s">
        <v>6</v>
      </c>
      <c r="U18" s="38" t="str">
        <f>'1. 소켓인수검사'!G20</f>
        <v>40~49 AHU1-2</v>
      </c>
    </row>
    <row r="19" spans="1:21">
      <c r="A19" s="51" t="str">
        <f>'1. 소켓인수검사'!A21</f>
        <v>13</v>
      </c>
      <c r="B19" s="71" t="s">
        <v>39</v>
      </c>
      <c r="C19" s="34">
        <f>'1. 소켓인수검사'!C21</f>
        <v>1400</v>
      </c>
      <c r="D19" s="34">
        <f>'1. 소켓인수검사'!D21</f>
        <v>900</v>
      </c>
      <c r="E19" s="35"/>
      <c r="F19" s="36">
        <f t="shared" si="0"/>
        <v>1.26</v>
      </c>
      <c r="G19" s="36">
        <f t="shared" si="1"/>
        <v>4.5999999999999996</v>
      </c>
      <c r="H19" s="39">
        <v>2</v>
      </c>
      <c r="I19" s="70">
        <f t="shared" si="2"/>
        <v>5</v>
      </c>
      <c r="J19" s="40">
        <v>2</v>
      </c>
      <c r="K19" s="29"/>
      <c r="L19" s="33"/>
      <c r="M19" s="29"/>
      <c r="N19" s="33"/>
      <c r="O19" s="70">
        <f t="shared" si="3"/>
        <v>5.0999999999999996</v>
      </c>
      <c r="P19" s="40">
        <v>2</v>
      </c>
      <c r="Q19" s="37">
        <f t="shared" si="4"/>
        <v>10.68</v>
      </c>
      <c r="R19" s="97">
        <f t="shared" si="5"/>
        <v>10.68</v>
      </c>
      <c r="S19" s="41" t="s">
        <v>42</v>
      </c>
      <c r="T19" s="42" t="s">
        <v>6</v>
      </c>
      <c r="U19" s="38" t="str">
        <f>'1. 소켓인수검사'!G21</f>
        <v>40~49 AHU1-2</v>
      </c>
    </row>
    <row r="20" spans="1:21">
      <c r="A20" s="51" t="str">
        <f>'1. 소켓인수검사'!A22</f>
        <v>14</v>
      </c>
      <c r="B20" s="71" t="s">
        <v>39</v>
      </c>
      <c r="C20" s="34">
        <f>'1. 소켓인수검사'!C22</f>
        <v>1400</v>
      </c>
      <c r="D20" s="34">
        <f>'1. 소켓인수검사'!D22</f>
        <v>900</v>
      </c>
      <c r="E20" s="35"/>
      <c r="F20" s="36">
        <f t="shared" si="0"/>
        <v>1.26</v>
      </c>
      <c r="G20" s="36">
        <f t="shared" si="1"/>
        <v>4.5999999999999996</v>
      </c>
      <c r="H20" s="39">
        <v>2</v>
      </c>
      <c r="I20" s="70">
        <f t="shared" si="2"/>
        <v>5</v>
      </c>
      <c r="J20" s="40">
        <v>2</v>
      </c>
      <c r="K20" s="29"/>
      <c r="L20" s="33"/>
      <c r="M20" s="29"/>
      <c r="N20" s="33"/>
      <c r="O20" s="70">
        <f t="shared" si="3"/>
        <v>5.0999999999999996</v>
      </c>
      <c r="P20" s="40">
        <v>2</v>
      </c>
      <c r="Q20" s="37">
        <f t="shared" si="4"/>
        <v>10.68</v>
      </c>
      <c r="R20" s="97">
        <f t="shared" si="5"/>
        <v>10.68</v>
      </c>
      <c r="S20" s="41" t="s">
        <v>42</v>
      </c>
      <c r="T20" s="42" t="s">
        <v>6</v>
      </c>
      <c r="U20" s="38" t="str">
        <f>'1. 소켓인수검사'!G22</f>
        <v>40~49 AHU1-2</v>
      </c>
    </row>
    <row r="21" spans="1:21">
      <c r="A21" s="51" t="str">
        <f>'1. 소켓인수검사'!A23</f>
        <v>15</v>
      </c>
      <c r="B21" s="71" t="s">
        <v>39</v>
      </c>
      <c r="C21" s="34">
        <f>'1. 소켓인수검사'!C23</f>
        <v>1400</v>
      </c>
      <c r="D21" s="34">
        <f>'1. 소켓인수검사'!D23</f>
        <v>900</v>
      </c>
      <c r="E21" s="35"/>
      <c r="F21" s="36">
        <f t="shared" si="0"/>
        <v>1.26</v>
      </c>
      <c r="G21" s="36">
        <f t="shared" si="1"/>
        <v>4.5999999999999996</v>
      </c>
      <c r="H21" s="39">
        <v>2</v>
      </c>
      <c r="I21" s="70">
        <f t="shared" si="2"/>
        <v>5</v>
      </c>
      <c r="J21" s="40">
        <v>2</v>
      </c>
      <c r="K21" s="29"/>
      <c r="L21" s="33"/>
      <c r="M21" s="29"/>
      <c r="N21" s="33"/>
      <c r="O21" s="70">
        <f t="shared" si="3"/>
        <v>5.0999999999999996</v>
      </c>
      <c r="P21" s="40">
        <v>2</v>
      </c>
      <c r="Q21" s="37">
        <f t="shared" si="4"/>
        <v>10.68</v>
      </c>
      <c r="R21" s="97">
        <f t="shared" si="5"/>
        <v>10.68</v>
      </c>
      <c r="S21" s="41" t="s">
        <v>42</v>
      </c>
      <c r="T21" s="42" t="s">
        <v>6</v>
      </c>
      <c r="U21" s="38" t="str">
        <f>'1. 소켓인수검사'!G23</f>
        <v>40~49 AHU1-2</v>
      </c>
    </row>
    <row r="22" spans="1:21">
      <c r="A22" s="51" t="str">
        <f>'1. 소켓인수검사'!A24</f>
        <v>16</v>
      </c>
      <c r="B22" s="71" t="s">
        <v>39</v>
      </c>
      <c r="C22" s="34">
        <f>'1. 소켓인수검사'!C24</f>
        <v>1400</v>
      </c>
      <c r="D22" s="34">
        <f>'1. 소켓인수검사'!D24</f>
        <v>900</v>
      </c>
      <c r="E22" s="35"/>
      <c r="F22" s="36">
        <f t="shared" si="0"/>
        <v>1.26</v>
      </c>
      <c r="G22" s="36">
        <f t="shared" si="1"/>
        <v>4.5999999999999996</v>
      </c>
      <c r="H22" s="39">
        <v>2</v>
      </c>
      <c r="I22" s="70">
        <f t="shared" si="2"/>
        <v>5</v>
      </c>
      <c r="J22" s="40">
        <v>2</v>
      </c>
      <c r="K22" s="29"/>
      <c r="L22" s="33"/>
      <c r="M22" s="29"/>
      <c r="N22" s="33"/>
      <c r="O22" s="70">
        <f t="shared" si="3"/>
        <v>5.0999999999999996</v>
      </c>
      <c r="P22" s="40">
        <v>2</v>
      </c>
      <c r="Q22" s="37">
        <f t="shared" si="4"/>
        <v>10.68</v>
      </c>
      <c r="R22" s="97">
        <f t="shared" si="5"/>
        <v>10.68</v>
      </c>
      <c r="S22" s="41" t="s">
        <v>42</v>
      </c>
      <c r="T22" s="42" t="s">
        <v>6</v>
      </c>
      <c r="U22" s="38" t="str">
        <f>'1. 소켓인수검사'!G24</f>
        <v>50~54 AHU-3</v>
      </c>
    </row>
    <row r="23" spans="1:21">
      <c r="A23" s="51" t="str">
        <f>'1. 소켓인수검사'!A25</f>
        <v>17</v>
      </c>
      <c r="B23" s="71" t="s">
        <v>39</v>
      </c>
      <c r="C23" s="34">
        <f>'1. 소켓인수검사'!C25</f>
        <v>1400</v>
      </c>
      <c r="D23" s="34">
        <f>'1. 소켓인수검사'!D25</f>
        <v>900</v>
      </c>
      <c r="E23" s="35"/>
      <c r="F23" s="36">
        <f t="shared" si="0"/>
        <v>1.26</v>
      </c>
      <c r="G23" s="36">
        <f t="shared" si="1"/>
        <v>4.5999999999999996</v>
      </c>
      <c r="H23" s="39">
        <v>2</v>
      </c>
      <c r="I23" s="70">
        <f t="shared" si="2"/>
        <v>5</v>
      </c>
      <c r="J23" s="40">
        <v>2</v>
      </c>
      <c r="K23" s="29"/>
      <c r="L23" s="33"/>
      <c r="M23" s="29"/>
      <c r="N23" s="33"/>
      <c r="O23" s="70">
        <f t="shared" si="3"/>
        <v>5.0999999999999996</v>
      </c>
      <c r="P23" s="40">
        <v>2</v>
      </c>
      <c r="Q23" s="37">
        <f t="shared" si="4"/>
        <v>10.68</v>
      </c>
      <c r="R23" s="97">
        <f t="shared" si="5"/>
        <v>10.68</v>
      </c>
      <c r="S23" s="41" t="s">
        <v>42</v>
      </c>
      <c r="T23" s="42" t="s">
        <v>6</v>
      </c>
      <c r="U23" s="38" t="str">
        <f>'1. 소켓인수검사'!G25</f>
        <v>50~54 AHU-3</v>
      </c>
    </row>
    <row r="24" spans="1:21">
      <c r="A24" s="51" t="str">
        <f>'1. 소켓인수검사'!A26</f>
        <v>18</v>
      </c>
      <c r="B24" s="71" t="s">
        <v>39</v>
      </c>
      <c r="C24" s="34">
        <f>'1. 소켓인수검사'!C26</f>
        <v>1400</v>
      </c>
      <c r="D24" s="34">
        <f>'1. 소켓인수검사'!D26</f>
        <v>900</v>
      </c>
      <c r="E24" s="35"/>
      <c r="F24" s="36">
        <f t="shared" si="0"/>
        <v>1.26</v>
      </c>
      <c r="G24" s="36">
        <f t="shared" si="1"/>
        <v>4.5999999999999996</v>
      </c>
      <c r="H24" s="39">
        <v>2</v>
      </c>
      <c r="I24" s="70">
        <f t="shared" si="2"/>
        <v>5</v>
      </c>
      <c r="J24" s="40">
        <v>2</v>
      </c>
      <c r="K24" s="29"/>
      <c r="L24" s="33"/>
      <c r="M24" s="29"/>
      <c r="N24" s="33"/>
      <c r="O24" s="70">
        <f t="shared" si="3"/>
        <v>5.0999999999999996</v>
      </c>
      <c r="P24" s="40">
        <v>2</v>
      </c>
      <c r="Q24" s="37">
        <f t="shared" si="4"/>
        <v>10.68</v>
      </c>
      <c r="R24" s="97">
        <f t="shared" si="5"/>
        <v>10.68</v>
      </c>
      <c r="S24" s="41" t="s">
        <v>42</v>
      </c>
      <c r="T24" s="42" t="s">
        <v>6</v>
      </c>
      <c r="U24" s="38" t="str">
        <f>'1. 소켓인수검사'!G26</f>
        <v>50~54 AHU-3</v>
      </c>
    </row>
    <row r="25" spans="1:21">
      <c r="A25" s="51" t="str">
        <f>'1. 소켓인수검사'!A27</f>
        <v>19</v>
      </c>
      <c r="B25" s="71" t="s">
        <v>39</v>
      </c>
      <c r="C25" s="34">
        <f>'1. 소켓인수검사'!C27</f>
        <v>1400</v>
      </c>
      <c r="D25" s="34">
        <f>'1. 소켓인수검사'!D27</f>
        <v>900</v>
      </c>
      <c r="E25" s="35"/>
      <c r="F25" s="36">
        <f t="shared" si="0"/>
        <v>1.26</v>
      </c>
      <c r="G25" s="36">
        <f t="shared" si="1"/>
        <v>4.5999999999999996</v>
      </c>
      <c r="H25" s="39">
        <v>2</v>
      </c>
      <c r="I25" s="70">
        <f t="shared" si="2"/>
        <v>5</v>
      </c>
      <c r="J25" s="40">
        <v>2</v>
      </c>
      <c r="K25" s="29"/>
      <c r="L25" s="33"/>
      <c r="M25" s="29"/>
      <c r="N25" s="33"/>
      <c r="O25" s="70">
        <f t="shared" si="3"/>
        <v>5.0999999999999996</v>
      </c>
      <c r="P25" s="40">
        <v>2</v>
      </c>
      <c r="Q25" s="37">
        <f t="shared" si="4"/>
        <v>10.68</v>
      </c>
      <c r="R25" s="97">
        <f t="shared" si="5"/>
        <v>10.68</v>
      </c>
      <c r="S25" s="41" t="s">
        <v>42</v>
      </c>
      <c r="T25" s="42" t="s">
        <v>6</v>
      </c>
      <c r="U25" s="38" t="str">
        <f>'1. 소켓인수검사'!G27</f>
        <v>50~54 AHU-3</v>
      </c>
    </row>
    <row r="26" spans="1:21">
      <c r="A26" s="51" t="str">
        <f>'1. 소켓인수검사'!A28</f>
        <v>20</v>
      </c>
      <c r="B26" s="71" t="s">
        <v>39</v>
      </c>
      <c r="C26" s="34">
        <f>'1. 소켓인수검사'!C28</f>
        <v>1400</v>
      </c>
      <c r="D26" s="34">
        <f>'1. 소켓인수검사'!D28</f>
        <v>900</v>
      </c>
      <c r="E26" s="35"/>
      <c r="F26" s="36">
        <f t="shared" si="0"/>
        <v>1.26</v>
      </c>
      <c r="G26" s="36">
        <f t="shared" si="1"/>
        <v>4.5999999999999996</v>
      </c>
      <c r="H26" s="39">
        <v>2</v>
      </c>
      <c r="I26" s="70">
        <f t="shared" si="2"/>
        <v>5</v>
      </c>
      <c r="J26" s="40">
        <v>2</v>
      </c>
      <c r="K26" s="29"/>
      <c r="L26" s="33"/>
      <c r="M26" s="29"/>
      <c r="N26" s="33"/>
      <c r="O26" s="70">
        <f t="shared" si="3"/>
        <v>5.0999999999999996</v>
      </c>
      <c r="P26" s="40">
        <v>2</v>
      </c>
      <c r="Q26" s="37">
        <f t="shared" si="4"/>
        <v>10.68</v>
      </c>
      <c r="R26" s="97">
        <f t="shared" si="5"/>
        <v>10.68</v>
      </c>
      <c r="S26" s="41" t="s">
        <v>42</v>
      </c>
      <c r="T26" s="42" t="s">
        <v>6</v>
      </c>
      <c r="U26" s="38" t="str">
        <f>'1. 소켓인수검사'!G28</f>
        <v>50~54 AHU-3</v>
      </c>
    </row>
    <row r="27" spans="1:21">
      <c r="A27" s="51" t="str">
        <f>'1. 소켓인수검사'!A29</f>
        <v>21</v>
      </c>
      <c r="B27" s="71" t="s">
        <v>39</v>
      </c>
      <c r="C27" s="34">
        <f>'1. 소켓인수검사'!C29</f>
        <v>1600</v>
      </c>
      <c r="D27" s="34">
        <f>'1. 소켓인수검사'!D29</f>
        <v>950</v>
      </c>
      <c r="E27" s="35"/>
      <c r="F27" s="36">
        <f t="shared" si="0"/>
        <v>1.52</v>
      </c>
      <c r="G27" s="36">
        <f t="shared" si="1"/>
        <v>5.0999999999999996</v>
      </c>
      <c r="H27" s="39">
        <v>2</v>
      </c>
      <c r="I27" s="70">
        <f t="shared" si="2"/>
        <v>5.5</v>
      </c>
      <c r="J27" s="40">
        <v>2</v>
      </c>
      <c r="K27" s="29"/>
      <c r="L27" s="33"/>
      <c r="M27" s="29"/>
      <c r="N27" s="33"/>
      <c r="O27" s="70">
        <f t="shared" si="3"/>
        <v>5.6</v>
      </c>
      <c r="P27" s="40">
        <v>2</v>
      </c>
      <c r="Q27" s="37">
        <f t="shared" si="4"/>
        <v>11.68</v>
      </c>
      <c r="R27" s="97">
        <f t="shared" si="5"/>
        <v>11.68</v>
      </c>
      <c r="S27" s="41" t="s">
        <v>42</v>
      </c>
      <c r="T27" s="42" t="s">
        <v>6</v>
      </c>
      <c r="U27" s="38" t="str">
        <f>'1. 소켓인수검사'!G29</f>
        <v>1층 매장</v>
      </c>
    </row>
    <row r="28" spans="1:21">
      <c r="A28" s="51" t="str">
        <f>'1. 소켓인수검사'!A30</f>
        <v>22</v>
      </c>
      <c r="B28" s="71" t="s">
        <v>39</v>
      </c>
      <c r="C28" s="34">
        <f>'1. 소켓인수검사'!C30</f>
        <v>1600</v>
      </c>
      <c r="D28" s="34">
        <f>'1. 소켓인수검사'!D30</f>
        <v>950</v>
      </c>
      <c r="E28" s="35"/>
      <c r="F28" s="36">
        <f t="shared" si="0"/>
        <v>1.52</v>
      </c>
      <c r="G28" s="36">
        <f t="shared" si="1"/>
        <v>5.0999999999999996</v>
      </c>
      <c r="H28" s="39">
        <v>2</v>
      </c>
      <c r="I28" s="70">
        <f t="shared" si="2"/>
        <v>5.5</v>
      </c>
      <c r="J28" s="40">
        <v>2</v>
      </c>
      <c r="K28" s="29"/>
      <c r="L28" s="33"/>
      <c r="M28" s="29"/>
      <c r="N28" s="33"/>
      <c r="O28" s="70">
        <f t="shared" si="3"/>
        <v>5.6</v>
      </c>
      <c r="P28" s="40">
        <v>2</v>
      </c>
      <c r="Q28" s="37">
        <f t="shared" si="4"/>
        <v>11.68</v>
      </c>
      <c r="R28" s="97">
        <f t="shared" si="5"/>
        <v>11.68</v>
      </c>
      <c r="S28" s="41" t="s">
        <v>42</v>
      </c>
      <c r="T28" s="42" t="s">
        <v>6</v>
      </c>
      <c r="U28" s="38" t="str">
        <f>'1. 소켓인수검사'!G30</f>
        <v>1층 매장</v>
      </c>
    </row>
    <row r="29" spans="1:21">
      <c r="A29" s="51" t="str">
        <f>'1. 소켓인수검사'!A31</f>
        <v>23</v>
      </c>
      <c r="B29" s="71" t="s">
        <v>39</v>
      </c>
      <c r="C29" s="34">
        <f>'1. 소켓인수검사'!C31</f>
        <v>1600</v>
      </c>
      <c r="D29" s="34">
        <f>'1. 소켓인수검사'!D31</f>
        <v>950</v>
      </c>
      <c r="E29" s="35"/>
      <c r="F29" s="36">
        <f t="shared" si="0"/>
        <v>1.52</v>
      </c>
      <c r="G29" s="36">
        <f t="shared" si="1"/>
        <v>5.0999999999999996</v>
      </c>
      <c r="H29" s="39">
        <v>2</v>
      </c>
      <c r="I29" s="70">
        <f t="shared" si="2"/>
        <v>5.5</v>
      </c>
      <c r="J29" s="40">
        <v>2</v>
      </c>
      <c r="K29" s="29"/>
      <c r="L29" s="33"/>
      <c r="M29" s="29"/>
      <c r="N29" s="33"/>
      <c r="O29" s="70">
        <f t="shared" si="3"/>
        <v>5.6</v>
      </c>
      <c r="P29" s="40">
        <v>2</v>
      </c>
      <c r="Q29" s="37">
        <f t="shared" si="4"/>
        <v>11.68</v>
      </c>
      <c r="R29" s="97">
        <f t="shared" si="5"/>
        <v>11.68</v>
      </c>
      <c r="S29" s="41" t="s">
        <v>42</v>
      </c>
      <c r="T29" s="42" t="s">
        <v>6</v>
      </c>
      <c r="U29" s="38" t="str">
        <f>'1. 소켓인수검사'!G31</f>
        <v>1층 매장</v>
      </c>
    </row>
    <row r="30" spans="1:21">
      <c r="A30" s="51" t="str">
        <f>'1. 소켓인수검사'!A32</f>
        <v>24</v>
      </c>
      <c r="B30" s="71" t="s">
        <v>39</v>
      </c>
      <c r="C30" s="34">
        <f>'1. 소켓인수검사'!C32</f>
        <v>1600</v>
      </c>
      <c r="D30" s="34">
        <f>'1. 소켓인수검사'!D32</f>
        <v>950</v>
      </c>
      <c r="E30" s="35"/>
      <c r="F30" s="36">
        <f t="shared" si="0"/>
        <v>1.52</v>
      </c>
      <c r="G30" s="36">
        <f t="shared" si="1"/>
        <v>5.0999999999999996</v>
      </c>
      <c r="H30" s="39">
        <v>2</v>
      </c>
      <c r="I30" s="70">
        <f t="shared" si="2"/>
        <v>5.5</v>
      </c>
      <c r="J30" s="40">
        <v>2</v>
      </c>
      <c r="K30" s="29"/>
      <c r="L30" s="33"/>
      <c r="M30" s="29"/>
      <c r="N30" s="33"/>
      <c r="O30" s="70">
        <f t="shared" si="3"/>
        <v>5.6</v>
      </c>
      <c r="P30" s="40">
        <v>2</v>
      </c>
      <c r="Q30" s="37">
        <f t="shared" si="4"/>
        <v>11.68</v>
      </c>
      <c r="R30" s="97">
        <f t="shared" si="5"/>
        <v>11.68</v>
      </c>
      <c r="S30" s="41" t="s">
        <v>42</v>
      </c>
      <c r="T30" s="42" t="s">
        <v>6</v>
      </c>
      <c r="U30" s="38" t="str">
        <f>'1. 소켓인수검사'!G32</f>
        <v>1층 매장</v>
      </c>
    </row>
    <row r="31" spans="1:21">
      <c r="A31" s="51" t="str">
        <f>'1. 소켓인수검사'!A33</f>
        <v>25</v>
      </c>
      <c r="B31" s="71" t="s">
        <v>39</v>
      </c>
      <c r="C31" s="34">
        <f>'1. 소켓인수검사'!C33</f>
        <v>1600</v>
      </c>
      <c r="D31" s="34">
        <f>'1. 소켓인수검사'!D33</f>
        <v>950</v>
      </c>
      <c r="E31" s="35"/>
      <c r="F31" s="36">
        <f t="shared" si="0"/>
        <v>1.52</v>
      </c>
      <c r="G31" s="36">
        <f t="shared" si="1"/>
        <v>5.0999999999999996</v>
      </c>
      <c r="H31" s="39">
        <v>2</v>
      </c>
      <c r="I31" s="70">
        <f t="shared" si="2"/>
        <v>5.5</v>
      </c>
      <c r="J31" s="40">
        <v>2</v>
      </c>
      <c r="K31" s="29"/>
      <c r="L31" s="33"/>
      <c r="M31" s="29"/>
      <c r="N31" s="33"/>
      <c r="O31" s="70">
        <f t="shared" si="3"/>
        <v>5.6</v>
      </c>
      <c r="P31" s="40">
        <v>2</v>
      </c>
      <c r="Q31" s="37">
        <f t="shared" si="4"/>
        <v>11.68</v>
      </c>
      <c r="R31" s="97">
        <f t="shared" si="5"/>
        <v>11.68</v>
      </c>
      <c r="S31" s="41" t="s">
        <v>42</v>
      </c>
      <c r="T31" s="42" t="s">
        <v>6</v>
      </c>
      <c r="U31" s="38" t="str">
        <f>'1. 소켓인수검사'!G33</f>
        <v>1층 매장</v>
      </c>
    </row>
    <row r="32" spans="1:21">
      <c r="A32" s="51" t="str">
        <f>'1. 소켓인수검사'!A34</f>
        <v>26</v>
      </c>
      <c r="B32" s="71" t="s">
        <v>39</v>
      </c>
      <c r="C32" s="34">
        <f>'1. 소켓인수검사'!C34</f>
        <v>1600</v>
      </c>
      <c r="D32" s="34">
        <f>'1. 소켓인수검사'!D34</f>
        <v>950</v>
      </c>
      <c r="E32" s="35"/>
      <c r="F32" s="36">
        <f t="shared" si="0"/>
        <v>1.52</v>
      </c>
      <c r="G32" s="36">
        <f t="shared" si="1"/>
        <v>5.0999999999999996</v>
      </c>
      <c r="H32" s="39">
        <v>2</v>
      </c>
      <c r="I32" s="70">
        <f t="shared" si="2"/>
        <v>5.5</v>
      </c>
      <c r="J32" s="40">
        <v>2</v>
      </c>
      <c r="K32" s="29"/>
      <c r="L32" s="33"/>
      <c r="M32" s="29"/>
      <c r="N32" s="33"/>
      <c r="O32" s="70">
        <f t="shared" si="3"/>
        <v>5.6</v>
      </c>
      <c r="P32" s="40">
        <v>2</v>
      </c>
      <c r="Q32" s="37">
        <f t="shared" si="4"/>
        <v>11.68</v>
      </c>
      <c r="R32" s="97">
        <f t="shared" si="5"/>
        <v>11.68</v>
      </c>
      <c r="S32" s="41" t="s">
        <v>42</v>
      </c>
      <c r="T32" s="42" t="s">
        <v>6</v>
      </c>
      <c r="U32" s="38" t="str">
        <f>'1. 소켓인수검사'!G34</f>
        <v>1층 매장</v>
      </c>
    </row>
    <row r="33" spans="1:21">
      <c r="A33" s="51" t="str">
        <f>'1. 소켓인수검사'!A35</f>
        <v>27</v>
      </c>
      <c r="B33" s="71" t="s">
        <v>39</v>
      </c>
      <c r="C33" s="34">
        <f>'1. 소켓인수검사'!C35</f>
        <v>1600</v>
      </c>
      <c r="D33" s="34">
        <f>'1. 소켓인수검사'!D35</f>
        <v>950</v>
      </c>
      <c r="E33" s="35"/>
      <c r="F33" s="36">
        <f t="shared" si="0"/>
        <v>1.52</v>
      </c>
      <c r="G33" s="36">
        <f t="shared" si="1"/>
        <v>5.0999999999999996</v>
      </c>
      <c r="H33" s="39">
        <v>2</v>
      </c>
      <c r="I33" s="70">
        <f t="shared" si="2"/>
        <v>5.5</v>
      </c>
      <c r="J33" s="40">
        <v>2</v>
      </c>
      <c r="K33" s="29"/>
      <c r="L33" s="33"/>
      <c r="M33" s="29"/>
      <c r="N33" s="33"/>
      <c r="O33" s="70">
        <f t="shared" si="3"/>
        <v>5.6</v>
      </c>
      <c r="P33" s="40">
        <v>2</v>
      </c>
      <c r="Q33" s="37">
        <f t="shared" si="4"/>
        <v>11.68</v>
      </c>
      <c r="R33" s="97">
        <f t="shared" si="5"/>
        <v>11.68</v>
      </c>
      <c r="S33" s="41" t="s">
        <v>42</v>
      </c>
      <c r="T33" s="42" t="s">
        <v>6</v>
      </c>
      <c r="U33" s="38" t="str">
        <f>'1. 소켓인수검사'!G35</f>
        <v>1층 매장</v>
      </c>
    </row>
    <row r="34" spans="1:21">
      <c r="A34" s="51" t="str">
        <f>'1. 소켓인수검사'!A36</f>
        <v>28</v>
      </c>
      <c r="B34" s="71" t="s">
        <v>39</v>
      </c>
      <c r="C34" s="34">
        <f>'1. 소켓인수검사'!C36</f>
        <v>1600</v>
      </c>
      <c r="D34" s="34">
        <f>'1. 소켓인수검사'!D36</f>
        <v>950</v>
      </c>
      <c r="E34" s="35"/>
      <c r="F34" s="36">
        <f t="shared" si="0"/>
        <v>1.52</v>
      </c>
      <c r="G34" s="36">
        <f t="shared" si="1"/>
        <v>5.0999999999999996</v>
      </c>
      <c r="H34" s="39">
        <v>2</v>
      </c>
      <c r="I34" s="70">
        <f t="shared" si="2"/>
        <v>5.5</v>
      </c>
      <c r="J34" s="40">
        <v>2</v>
      </c>
      <c r="K34" s="29"/>
      <c r="L34" s="33"/>
      <c r="M34" s="29"/>
      <c r="N34" s="33"/>
      <c r="O34" s="70">
        <f t="shared" si="3"/>
        <v>5.6</v>
      </c>
      <c r="P34" s="40">
        <v>2</v>
      </c>
      <c r="Q34" s="37">
        <f t="shared" si="4"/>
        <v>11.68</v>
      </c>
      <c r="R34" s="97">
        <f t="shared" si="5"/>
        <v>11.68</v>
      </c>
      <c r="S34" s="41" t="s">
        <v>42</v>
      </c>
      <c r="T34" s="42" t="s">
        <v>6</v>
      </c>
      <c r="U34" s="38" t="str">
        <f>'1. 소켓인수검사'!G36</f>
        <v>1층 매장</v>
      </c>
    </row>
    <row r="35" spans="1:21">
      <c r="A35" s="51" t="str">
        <f>'1. 소켓인수검사'!A37</f>
        <v>29</v>
      </c>
      <c r="B35" s="71" t="s">
        <v>39</v>
      </c>
      <c r="C35" s="34">
        <f>'1. 소켓인수검사'!C37</f>
        <v>1600</v>
      </c>
      <c r="D35" s="34">
        <f>'1. 소켓인수검사'!D37</f>
        <v>950</v>
      </c>
      <c r="E35" s="35"/>
      <c r="F35" s="36">
        <f t="shared" si="0"/>
        <v>1.52</v>
      </c>
      <c r="G35" s="36">
        <f t="shared" si="1"/>
        <v>5.0999999999999996</v>
      </c>
      <c r="H35" s="39">
        <v>2</v>
      </c>
      <c r="I35" s="70">
        <f t="shared" si="2"/>
        <v>5.5</v>
      </c>
      <c r="J35" s="40">
        <v>2</v>
      </c>
      <c r="K35" s="29"/>
      <c r="L35" s="33"/>
      <c r="M35" s="29"/>
      <c r="N35" s="33"/>
      <c r="O35" s="70">
        <f t="shared" si="3"/>
        <v>5.6</v>
      </c>
      <c r="P35" s="40">
        <v>2</v>
      </c>
      <c r="Q35" s="37">
        <f t="shared" si="4"/>
        <v>11.68</v>
      </c>
      <c r="R35" s="97">
        <f t="shared" si="5"/>
        <v>11.68</v>
      </c>
      <c r="S35" s="41" t="s">
        <v>42</v>
      </c>
      <c r="T35" s="42" t="s">
        <v>6</v>
      </c>
      <c r="U35" s="38" t="str">
        <f>'1. 소켓인수검사'!G37</f>
        <v>1층 매장</v>
      </c>
    </row>
    <row r="36" spans="1:21">
      <c r="A36" s="51" t="str">
        <f>'1. 소켓인수검사'!A38</f>
        <v>30</v>
      </c>
      <c r="B36" s="71" t="s">
        <v>39</v>
      </c>
      <c r="C36" s="34">
        <f>'1. 소켓인수검사'!C38</f>
        <v>1600</v>
      </c>
      <c r="D36" s="34">
        <f>'1. 소켓인수검사'!D38</f>
        <v>950</v>
      </c>
      <c r="E36" s="35"/>
      <c r="F36" s="36">
        <f t="shared" si="0"/>
        <v>1.52</v>
      </c>
      <c r="G36" s="36">
        <f t="shared" si="1"/>
        <v>5.0999999999999996</v>
      </c>
      <c r="H36" s="39">
        <v>2</v>
      </c>
      <c r="I36" s="70">
        <f t="shared" si="2"/>
        <v>5.5</v>
      </c>
      <c r="J36" s="40">
        <v>2</v>
      </c>
      <c r="K36" s="29"/>
      <c r="L36" s="33"/>
      <c r="M36" s="29"/>
      <c r="N36" s="33"/>
      <c r="O36" s="70">
        <f t="shared" si="3"/>
        <v>5.6</v>
      </c>
      <c r="P36" s="40">
        <v>2</v>
      </c>
      <c r="Q36" s="37">
        <f t="shared" si="4"/>
        <v>11.68</v>
      </c>
      <c r="R36" s="97">
        <f t="shared" si="5"/>
        <v>11.68</v>
      </c>
      <c r="S36" s="41" t="s">
        <v>42</v>
      </c>
      <c r="T36" s="42" t="s">
        <v>6</v>
      </c>
      <c r="U36" s="38" t="str">
        <f>'1. 소켓인수검사'!G38</f>
        <v>1층 매장</v>
      </c>
    </row>
    <row r="37" spans="1:21">
      <c r="A37" s="51" t="str">
        <f>'1. 소켓인수검사'!A39</f>
        <v>31</v>
      </c>
      <c r="B37" s="71" t="s">
        <v>39</v>
      </c>
      <c r="C37" s="34">
        <v>2800</v>
      </c>
      <c r="D37" s="34">
        <f>'1. 소켓인수검사'!D39</f>
        <v>1000</v>
      </c>
      <c r="E37" s="35"/>
      <c r="F37" s="36">
        <f t="shared" si="0"/>
        <v>2.8</v>
      </c>
      <c r="G37" s="36">
        <f t="shared" si="1"/>
        <v>7.6</v>
      </c>
      <c r="H37" s="39">
        <v>2</v>
      </c>
      <c r="I37" s="70">
        <f t="shared" si="2"/>
        <v>8</v>
      </c>
      <c r="J37" s="40">
        <v>2</v>
      </c>
      <c r="K37" s="29"/>
      <c r="L37" s="33"/>
      <c r="M37" s="29"/>
      <c r="N37" s="33"/>
      <c r="O37" s="70">
        <f t="shared" si="3"/>
        <v>8.1</v>
      </c>
      <c r="P37" s="40">
        <v>2</v>
      </c>
      <c r="Q37" s="37">
        <f t="shared" si="4"/>
        <v>16.68</v>
      </c>
      <c r="R37" s="97">
        <f t="shared" si="5"/>
        <v>16.68</v>
      </c>
      <c r="S37" s="41" t="s">
        <v>42</v>
      </c>
      <c r="T37" s="42" t="s">
        <v>6</v>
      </c>
      <c r="U37" s="38" t="str">
        <f>'1. 소켓인수검사'!G39</f>
        <v>1층 매장</v>
      </c>
    </row>
    <row r="38" spans="1:21">
      <c r="A38" s="51" t="str">
        <f>'1. 소켓인수검사'!A40</f>
        <v>32</v>
      </c>
      <c r="B38" s="71" t="s">
        <v>39</v>
      </c>
      <c r="C38" s="34">
        <v>2800</v>
      </c>
      <c r="D38" s="34">
        <f>'1. 소켓인수검사'!D40</f>
        <v>1000</v>
      </c>
      <c r="E38" s="35"/>
      <c r="F38" s="36">
        <f t="shared" si="0"/>
        <v>2.8</v>
      </c>
      <c r="G38" s="36">
        <f t="shared" si="1"/>
        <v>7.6</v>
      </c>
      <c r="H38" s="39">
        <v>2</v>
      </c>
      <c r="I38" s="70">
        <f t="shared" si="2"/>
        <v>8</v>
      </c>
      <c r="J38" s="40">
        <v>2</v>
      </c>
      <c r="K38" s="29"/>
      <c r="L38" s="33"/>
      <c r="M38" s="29"/>
      <c r="N38" s="33"/>
      <c r="O38" s="70">
        <f t="shared" si="3"/>
        <v>8.1</v>
      </c>
      <c r="P38" s="40">
        <v>2</v>
      </c>
      <c r="Q38" s="37">
        <f t="shared" si="4"/>
        <v>16.68</v>
      </c>
      <c r="R38" s="97">
        <f t="shared" si="5"/>
        <v>16.68</v>
      </c>
      <c r="S38" s="41" t="s">
        <v>42</v>
      </c>
      <c r="T38" s="42" t="s">
        <v>6</v>
      </c>
      <c r="U38" s="38" t="str">
        <f>'1. 소켓인수검사'!G40</f>
        <v>1층 매장</v>
      </c>
    </row>
    <row r="39" spans="1:21">
      <c r="A39" s="51" t="str">
        <f>'1. 소켓인수검사'!A41</f>
        <v>33</v>
      </c>
      <c r="B39" s="71" t="s">
        <v>39</v>
      </c>
      <c r="C39" s="34">
        <v>2800</v>
      </c>
      <c r="D39" s="34">
        <f>'1. 소켓인수검사'!D41</f>
        <v>1000</v>
      </c>
      <c r="E39" s="35"/>
      <c r="F39" s="36">
        <f t="shared" si="0"/>
        <v>2.8</v>
      </c>
      <c r="G39" s="36">
        <f t="shared" si="1"/>
        <v>7.6</v>
      </c>
      <c r="H39" s="39">
        <v>2</v>
      </c>
      <c r="I39" s="70">
        <f t="shared" ref="I39:I41" si="6">(G39+0.4)</f>
        <v>8</v>
      </c>
      <c r="J39" s="40">
        <v>2</v>
      </c>
      <c r="K39" s="29"/>
      <c r="L39" s="33"/>
      <c r="M39" s="29"/>
      <c r="N39" s="33"/>
      <c r="O39" s="70">
        <f t="shared" ref="O39:O41" si="7">(G39+0.5)</f>
        <v>8.1</v>
      </c>
      <c r="P39" s="40">
        <v>2</v>
      </c>
      <c r="Q39" s="37">
        <f t="shared" si="4"/>
        <v>16.68</v>
      </c>
      <c r="R39" s="97">
        <f t="shared" si="5"/>
        <v>16.68</v>
      </c>
      <c r="S39" s="41" t="s">
        <v>42</v>
      </c>
      <c r="T39" s="42" t="s">
        <v>6</v>
      </c>
      <c r="U39" s="38" t="str">
        <f>'1. 소켓인수검사'!G41</f>
        <v>1층 매장</v>
      </c>
    </row>
    <row r="40" spans="1:21">
      <c r="A40" s="51" t="str">
        <f>'1. 소켓인수검사'!A42</f>
        <v>34</v>
      </c>
      <c r="B40" s="71" t="s">
        <v>39</v>
      </c>
      <c r="C40" s="34">
        <v>2800</v>
      </c>
      <c r="D40" s="34">
        <f>'1. 소켓인수검사'!D42</f>
        <v>1000</v>
      </c>
      <c r="E40" s="35"/>
      <c r="F40" s="36">
        <f t="shared" si="0"/>
        <v>2.8</v>
      </c>
      <c r="G40" s="36">
        <f t="shared" si="1"/>
        <v>7.6</v>
      </c>
      <c r="H40" s="39">
        <v>2</v>
      </c>
      <c r="I40" s="70">
        <f t="shared" si="6"/>
        <v>8</v>
      </c>
      <c r="J40" s="40">
        <v>2</v>
      </c>
      <c r="K40" s="29"/>
      <c r="L40" s="33"/>
      <c r="M40" s="29"/>
      <c r="N40" s="33"/>
      <c r="O40" s="70">
        <f t="shared" si="7"/>
        <v>8.1</v>
      </c>
      <c r="P40" s="40">
        <v>2</v>
      </c>
      <c r="Q40" s="37">
        <f t="shared" si="4"/>
        <v>16.68</v>
      </c>
      <c r="R40" s="97">
        <f t="shared" si="5"/>
        <v>16.68</v>
      </c>
      <c r="S40" s="41" t="s">
        <v>42</v>
      </c>
      <c r="T40" s="42" t="s">
        <v>6</v>
      </c>
      <c r="U40" s="38" t="str">
        <f>'1. 소켓인수검사'!G42</f>
        <v>1층 매장</v>
      </c>
    </row>
    <row r="41" spans="1:21">
      <c r="A41" s="51" t="str">
        <f>'1. 소켓인수검사'!A43</f>
        <v>35</v>
      </c>
      <c r="B41" s="71" t="s">
        <v>39</v>
      </c>
      <c r="C41" s="34">
        <v>2800</v>
      </c>
      <c r="D41" s="34">
        <f>'1. 소켓인수검사'!D43</f>
        <v>1000</v>
      </c>
      <c r="E41" s="35"/>
      <c r="F41" s="36">
        <f t="shared" si="0"/>
        <v>2.8</v>
      </c>
      <c r="G41" s="36">
        <f t="shared" si="1"/>
        <v>7.6</v>
      </c>
      <c r="H41" s="39">
        <v>2</v>
      </c>
      <c r="I41" s="70">
        <f t="shared" si="6"/>
        <v>8</v>
      </c>
      <c r="J41" s="40">
        <v>2</v>
      </c>
      <c r="K41" s="29"/>
      <c r="L41" s="33"/>
      <c r="M41" s="29"/>
      <c r="N41" s="33"/>
      <c r="O41" s="70">
        <f t="shared" si="7"/>
        <v>8.1</v>
      </c>
      <c r="P41" s="40">
        <v>2</v>
      </c>
      <c r="Q41" s="37">
        <f t="shared" si="4"/>
        <v>16.68</v>
      </c>
      <c r="R41" s="97">
        <f t="shared" si="5"/>
        <v>16.68</v>
      </c>
      <c r="S41" s="41" t="s">
        <v>42</v>
      </c>
      <c r="T41" s="42" t="s">
        <v>6</v>
      </c>
      <c r="U41" s="38" t="str">
        <f>'1. 소켓인수검사'!G43</f>
        <v>1층 매장</v>
      </c>
    </row>
    <row r="42" spans="1:21">
      <c r="A42" s="255" t="s">
        <v>5</v>
      </c>
      <c r="B42" s="256"/>
      <c r="C42" s="256"/>
      <c r="D42" s="69"/>
      <c r="E42" s="46"/>
      <c r="F42" s="46"/>
      <c r="G42" s="46"/>
      <c r="H42" s="45">
        <f>SUM(H7:H41)</f>
        <v>70</v>
      </c>
      <c r="I42" s="75"/>
      <c r="J42" s="45">
        <f>SUM(J7:J41)</f>
        <v>70</v>
      </c>
      <c r="K42" s="75"/>
      <c r="L42" s="45">
        <f>SUM(L7:L41)</f>
        <v>0</v>
      </c>
      <c r="M42" s="75"/>
      <c r="N42" s="45">
        <f>SUM(N7:N41)</f>
        <v>0</v>
      </c>
      <c r="O42" s="75"/>
      <c r="P42" s="45">
        <f>SUM(P7:P41)</f>
        <v>70</v>
      </c>
      <c r="Q42" s="75">
        <f>SUM(Q7:Q41)</f>
        <v>411.80000000000018</v>
      </c>
      <c r="R42" s="45">
        <f>SUM(R7:R41)</f>
        <v>411.80000000000018</v>
      </c>
      <c r="S42" s="72"/>
      <c r="T42" s="72"/>
      <c r="U42" s="73"/>
    </row>
    <row r="43" spans="1:21" ht="8.1" customHeight="1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4"/>
    </row>
    <row r="44" spans="1:21">
      <c r="A44" s="1" t="s">
        <v>45</v>
      </c>
      <c r="B44" s="1"/>
      <c r="C44" s="1"/>
      <c r="D44" s="260" t="s">
        <v>152</v>
      </c>
      <c r="E44" s="261"/>
      <c r="F44" s="261"/>
      <c r="G44" s="261"/>
      <c r="H44" s="261"/>
      <c r="I44" s="261"/>
      <c r="J44" s="261"/>
      <c r="K44" s="261"/>
      <c r="L44" s="261"/>
      <c r="M44" s="261"/>
      <c r="N44" s="261"/>
      <c r="O44" s="261"/>
      <c r="P44" s="261"/>
      <c r="Q44" s="261"/>
      <c r="R44" s="261"/>
      <c r="S44" s="261"/>
      <c r="T44" s="261"/>
      <c r="U44" s="262"/>
    </row>
    <row r="45" spans="1:21">
      <c r="A45" s="1"/>
      <c r="B45" s="1"/>
      <c r="C45" s="1"/>
      <c r="D45" s="263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5"/>
    </row>
    <row r="46" spans="1:21">
      <c r="A46" s="1"/>
      <c r="B46" s="1"/>
      <c r="C46" s="1"/>
      <c r="D46" s="263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5"/>
    </row>
    <row r="47" spans="1:21">
      <c r="A47" s="1"/>
      <c r="B47" s="1"/>
      <c r="C47" s="1"/>
      <c r="D47" s="263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64"/>
      <c r="U47" s="265"/>
    </row>
    <row r="48" spans="1:21">
      <c r="A48" s="1"/>
      <c r="B48" s="1"/>
      <c r="C48" s="1"/>
      <c r="D48" s="263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65"/>
    </row>
    <row r="49" spans="1:21">
      <c r="A49" s="1"/>
      <c r="B49" s="1"/>
      <c r="C49" s="1"/>
      <c r="D49" s="266"/>
      <c r="E49" s="267"/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8"/>
    </row>
  </sheetData>
  <mergeCells count="24">
    <mergeCell ref="U5:U6"/>
    <mergeCell ref="A42:C42"/>
    <mergeCell ref="F1:J3"/>
    <mergeCell ref="K1:U3"/>
    <mergeCell ref="D44:U49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43:P43"/>
    <mergeCell ref="A44:C49"/>
    <mergeCell ref="Q5:R5"/>
    <mergeCell ref="S5:S6"/>
    <mergeCell ref="T5:T6"/>
    <mergeCell ref="K5:L5"/>
    <mergeCell ref="O5:P5"/>
    <mergeCell ref="M5:N5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76"/>
  </cols>
  <sheetData/>
  <phoneticPr fontId="2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8</vt:i4>
      </vt:variant>
    </vt:vector>
  </HeadingPairs>
  <TitlesOfParts>
    <vt:vector size="16" baseType="lpstr">
      <vt:lpstr>1. 소켓인수검사</vt:lpstr>
      <vt:lpstr>2.1 재단작업(VT)</vt:lpstr>
      <vt:lpstr>차열재 재단(VM,VT)</vt:lpstr>
      <vt:lpstr>3.2 절곡(VT)</vt:lpstr>
      <vt:lpstr>3.3 절곡(VT-보강대)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'2.1 재단작업(VT)'!Print_Titles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2026-06-11T00:13:38Z</cp:lastPrinted>
  <dcterms:created xsi:type="dcterms:W3CDTF">2025-03-13T00:09:10Z</dcterms:created>
  <dcterms:modified xsi:type="dcterms:W3CDTF">2026-06-11T00:15:58Z</dcterms:modified>
  <cp:version>1200.0100.01</cp:version>
</cp:coreProperties>
</file>