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35D414DE-4C37-4A51-8E5C-28FF63331FA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소켓인수검사'!$A$1:$G$10</definedName>
    <definedName name="_xlnm.Print_Area" localSheetId="2">'3.1 절곡(HTG1.69)(브라켓,보강대,받침대)'!$A$1:$AY$10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6" l="1"/>
  <c r="P7" i="6"/>
  <c r="V10" i="3"/>
  <c r="J2" i="2"/>
  <c r="AA8" i="6" l="1"/>
  <c r="AA7" i="6"/>
  <c r="P9" i="6" l="1"/>
  <c r="N9" i="6"/>
  <c r="L9" i="6"/>
  <c r="J9" i="6"/>
  <c r="H9" i="6"/>
  <c r="K13" i="4"/>
  <c r="I13" i="4"/>
  <c r="AN10" i="3"/>
  <c r="AH10" i="3"/>
  <c r="P10" i="3"/>
  <c r="J10" i="3"/>
  <c r="J1" i="6"/>
  <c r="P5" i="5"/>
  <c r="M5" i="4"/>
  <c r="M1" i="3"/>
  <c r="D1" i="1"/>
  <c r="O9" i="3"/>
  <c r="N9" i="3"/>
  <c r="D8" i="6" l="1"/>
  <c r="C8" i="6"/>
  <c r="B8" i="6"/>
  <c r="A8" i="6"/>
  <c r="D7" i="6"/>
  <c r="C7" i="6"/>
  <c r="B7" i="6"/>
  <c r="A7" i="6"/>
  <c r="D11" i="5"/>
  <c r="C11" i="5"/>
  <c r="B11" i="5"/>
  <c r="A11" i="5"/>
  <c r="D10" i="5"/>
  <c r="C10" i="5"/>
  <c r="B10" i="5"/>
  <c r="A10" i="5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9" i="3"/>
  <c r="Z9" i="3"/>
  <c r="D9" i="3"/>
  <c r="C9" i="3"/>
  <c r="A9" i="3"/>
  <c r="AA8" i="3"/>
  <c r="Z8" i="3"/>
  <c r="O8" i="3"/>
  <c r="N8" i="3"/>
  <c r="D8" i="3"/>
  <c r="C8" i="3"/>
  <c r="A8" i="3"/>
  <c r="H9" i="2"/>
  <c r="D9" i="2"/>
  <c r="N9" i="2" s="1"/>
  <c r="C9" i="2"/>
  <c r="A9" i="2"/>
  <c r="H8" i="2"/>
  <c r="F8" i="2"/>
  <c r="D8" i="2"/>
  <c r="N8" i="2" s="1"/>
  <c r="C8" i="2"/>
  <c r="AB8" i="2" s="1"/>
  <c r="A8" i="2"/>
  <c r="Y9" i="3" l="1"/>
  <c r="S9" i="3"/>
  <c r="Y8" i="3"/>
  <c r="S8" i="3"/>
  <c r="AB10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9" i="2"/>
  <c r="AB9" i="2"/>
  <c r="G8" i="2"/>
  <c r="M8" i="3"/>
  <c r="I8" i="3"/>
  <c r="M9" i="3"/>
  <c r="I9" i="3"/>
  <c r="F8" i="6"/>
  <c r="F10" i="5"/>
  <c r="G10" i="5" s="1"/>
  <c r="I10" i="5" s="1"/>
  <c r="G8" i="6"/>
  <c r="I8" i="6" s="1"/>
  <c r="O8" i="6" s="1"/>
  <c r="F11" i="5"/>
  <c r="E11" i="5"/>
  <c r="E10" i="5"/>
  <c r="F7" i="6"/>
  <c r="G7" i="6"/>
  <c r="N10" i="5" l="1"/>
  <c r="U7" i="6"/>
  <c r="V7" i="6" s="1"/>
  <c r="AS8" i="3"/>
  <c r="W7" i="6"/>
  <c r="X7" i="6" s="1"/>
  <c r="S7" i="6"/>
  <c r="T7" i="6" s="1"/>
  <c r="Q7" i="6"/>
  <c r="R7" i="6" s="1"/>
  <c r="AY8" i="3"/>
  <c r="AD9" i="2"/>
  <c r="AE9" i="2" s="1"/>
  <c r="AF9" i="2" s="1"/>
  <c r="AG9" i="2" s="1"/>
  <c r="Z9" i="2" s="1"/>
  <c r="AH9" i="2"/>
  <c r="AI9" i="2" s="1"/>
  <c r="AJ9" i="2" s="1"/>
  <c r="AK9" i="2" s="1"/>
  <c r="T9" i="2" s="1"/>
  <c r="G11" i="5"/>
  <c r="I11" i="5" s="1"/>
  <c r="L12" i="5"/>
  <c r="S10" i="5"/>
  <c r="U10" i="5" s="1"/>
  <c r="S11" i="5"/>
  <c r="U11" i="5" s="1"/>
  <c r="I7" i="6"/>
  <c r="O7" i="6"/>
  <c r="Z10" i="2" l="1"/>
  <c r="T10" i="2"/>
  <c r="U8" i="6"/>
  <c r="V8" i="6" s="1"/>
  <c r="N11" i="5"/>
  <c r="N12" i="5" s="1"/>
  <c r="AS9" i="3"/>
  <c r="W8" i="6"/>
  <c r="X8" i="6" s="1"/>
  <c r="Q8" i="6"/>
  <c r="R8" i="6" s="1"/>
  <c r="AY9" i="3"/>
  <c r="S8" i="6"/>
  <c r="T8" i="6" s="1"/>
  <c r="I12" i="5"/>
  <c r="G13" i="5" s="1"/>
  <c r="R12" i="5"/>
  <c r="G15" i="5" s="1"/>
  <c r="U12" i="5"/>
  <c r="G16" i="5" s="1"/>
  <c r="G14" i="5"/>
  <c r="AY10" i="3" l="1"/>
  <c r="V9" i="6"/>
  <c r="R9" i="6"/>
  <c r="T9" i="6"/>
  <c r="AS10" i="3"/>
  <c r="X9" i="6"/>
</calcChain>
</file>

<file path=xl/sharedStrings.xml><?xml version="1.0" encoding="utf-8"?>
<sst xmlns="http://schemas.openxmlformats.org/spreadsheetml/2006/main" count="237" uniqueCount="112">
  <si>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</si>
  <si>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</si>
  <si>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</si>
  <si>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</si>
  <si>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</si>
  <si>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</si>
  <si>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</si>
  <si>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</si>
  <si>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</si>
  <si>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</si>
  <si>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</si>
  <si>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</si>
  <si>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</si>
  <si>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</si>
  <si>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</si>
  <si>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</si>
  <si>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</si>
  <si>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</si>
  <si>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</si>
  <si>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</si>
  <si>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</si>
  <si>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</si>
  <si>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</si>
  <si>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</si>
  <si>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</si>
  <si>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</si>
  <si>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</si>
  <si>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</si>
  <si>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</si>
  <si>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</si>
  <si>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</si>
  <si>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</si>
  <si>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</si>
  <si>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</si>
  <si>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</si>
  <si>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</si>
  <si>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</si>
  <si>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</si>
  <si>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</si>
  <si>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</si>
  <si>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</si>
  <si>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</si>
  <si>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</si>
  <si>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</si>
  <si>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</si>
  <si>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</si>
  <si>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</si>
  <si>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</si>
  <si>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</si>
  <si>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</si>
  <si>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</si>
  <si>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</si>
  <si>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</si>
  <si>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</si>
  <si>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</si>
  <si>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</si>
  <si>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</si>
  <si>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</si>
  <si>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</si>
  <si>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</si>
  <si>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</si>
  <si>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</si>
  <si>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</si>
  <si>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</si>
  <si>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</si>
  <si>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</si>
  <si>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</si>
  <si>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</si>
  <si>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</si>
  <si>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</si>
  <si>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</si>
  <si>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</si>
  <si>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</si>
  <si>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</si>
  <si>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</si>
  <si>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</si>
  <si>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</si>
  <si>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</si>
  <si>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</si>
  <si>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</si>
  <si>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</si>
  <si>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</si>
  <si>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</si>
  <si>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</si>
  <si>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</si>
  <si>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</si>
  <si>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</si>
  <si>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</si>
  <si>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</si>
  <si>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</si>
  <si>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</si>
  <si>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</si>
  <si>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</si>
  <si>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</si>
  <si>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</si>
  <si>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</si>
  <si>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</si>
  <si>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</si>
  <si>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</si>
  <si>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</si>
  <si>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</si>
  <si>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01</t>
    <phoneticPr fontId="33" type="noConversion"/>
  </si>
  <si>
    <t>02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</si>
  <si>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</si>
  <si>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</si>
  <si>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</si>
  <si>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</si>
  <si>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</si>
  <si>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26.06.29 하나로엔지니어링_강일공조닥트_평창미탄 복합 문화센터</t>
    <phoneticPr fontId="33" type="noConversion"/>
  </si>
  <si>
    <t>CT001</t>
    <phoneticPr fontId="33" type="noConversion"/>
  </si>
  <si>
    <t>CT002</t>
  </si>
  <si>
    <t>HTG-064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</si>
</sst>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  <family val="3"/>
      <charset val="129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  <family val="3"/>
      <charset val="129"/>
    </font>
    <font>
      <sz val="11"/>
      <color rgb="FF000000"/>
      <name val="Helvetica Neue"/>
      <family val="3"/>
      <charset val="129"/>
    </font>
    <font>
      <b/>
      <sz val="11"/>
      <color rgb="FF002060"/>
      <name val="Helvetica Neue"/>
      <family val="3"/>
      <charset val="129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  <family val="3"/>
      <charset val="129"/>
    </font>
    <font>
      <sz val="9"/>
      <color rgb="FF000000"/>
      <name val="Helvetica Neue"/>
      <family val="3"/>
      <charset val="129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0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65" xfId="0" applyFont="1" applyBorder="1">
      <alignment vertical="center"/>
    </xf>
    <xf numFmtId="0" fontId="23" fillId="0" borderId="57" xfId="0" applyFont="1" applyBorder="1">
      <alignment vertical="center"/>
    </xf>
    <xf numFmtId="0" fontId="23" fillId="0" borderId="58" xfId="0" applyFont="1" applyBorder="1">
      <alignment vertical="center"/>
    </xf>
    <xf numFmtId="0" fontId="23" fillId="0" borderId="69" xfId="0" applyFont="1" applyBorder="1">
      <alignment vertical="center"/>
    </xf>
    <xf numFmtId="0" fontId="11" fillId="0" borderId="72" xfId="1" applyFont="1" applyBorder="1" applyAlignment="1">
      <alignment horizontal="center" vertical="center"/>
    </xf>
    <xf numFmtId="0" fontId="11" fillId="0" borderId="76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65" xfId="1" applyFont="1" applyBorder="1">
      <alignment vertical="center"/>
    </xf>
    <xf numFmtId="0" fontId="4" fillId="0" borderId="69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0" fontId="4" fillId="0" borderId="36" xfId="3" applyFont="1" applyBorder="1" applyAlignment="1">
      <alignment horizontal="left" vertical="center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176" fontId="32" fillId="0" borderId="33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0" fontId="4" fillId="0" borderId="56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0" fontId="37" fillId="0" borderId="57" xfId="3" applyFont="1" applyBorder="1" applyAlignment="1">
      <alignment horizontal="center" vertical="center" wrapText="1"/>
    </xf>
    <xf numFmtId="0" fontId="38" fillId="0" borderId="57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36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4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3" fillId="9" borderId="34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8" xfId="1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177" fontId="12" fillId="0" borderId="78" xfId="1" applyNumberFormat="1" applyFont="1" applyBorder="1" applyAlignment="1">
      <alignment horizontal="center" vertical="center" wrapText="1"/>
    </xf>
    <xf numFmtId="177" fontId="12" fillId="0" borderId="79" xfId="1" applyNumberFormat="1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7" fillId="0" borderId="19" xfId="1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177" fontId="32" fillId="0" borderId="19" xfId="1" applyNumberForma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6" fillId="0" borderId="51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4" xfId="1" applyFont="1" applyBorder="1" applyAlignment="1">
      <alignment horizontal="center" vertical="center"/>
    </xf>
    <xf numFmtId="0" fontId="26" fillId="0" borderId="51" xfId="1" applyFont="1" applyBorder="1" applyAlignment="1">
      <alignment horizontal="center" vertical="center" wrapText="1"/>
    </xf>
    <xf numFmtId="0" fontId="26" fillId="0" borderId="52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  <xf numFmtId="0" fontId="32" fillId="0" borderId="39" xfId="1" applyBorder="1" applyAlignment="1">
      <alignment horizontal="center" vertical="center"/>
    </xf>
    <xf numFmtId="0" fontId="32" fillId="0" borderId="40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41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32" fillId="0" borderId="63" xfId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115957</xdr:colOff>
      <xdr:row>15</xdr:row>
      <xdr:rowOff>16565</xdr:rowOff>
    </xdr:from>
    <xdr:ext cx="661400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FF4172-2E2A-EEFD-EDCB-12BA331C3E23}"/>
            </a:ext>
          </a:extLst>
        </xdr:cNvPr>
        <xdr:cNvSpPr txBox="1"/>
      </xdr:nvSpPr>
      <xdr:spPr>
        <a:xfrm>
          <a:off x="1739348" y="3594652"/>
          <a:ext cx="6614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8.9m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11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0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24" sqref="F24"/>
    </sheetView>
  </sheetViews>
  <sheetFormatPr defaultColWidth="8" defaultRowHeight="12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18" t="s">
        <v>88</v>
      </c>
      <c r="B1" s="119"/>
      <c r="C1" s="119"/>
      <c r="D1" s="124" t="str">
        <f>R1</f>
        <v>26.06.29 하나로엔지니어링_강일공조닥트_평창미탄 복합 문화센터</v>
      </c>
      <c r="E1" s="125"/>
      <c r="F1" s="125"/>
      <c r="G1" s="126"/>
      <c r="R1" s="92" t="s">
        <v>108</v>
      </c>
    </row>
    <row r="2" spans="1:18" ht="12.75" customHeight="1">
      <c r="A2" s="120"/>
      <c r="B2" s="121"/>
      <c r="C2" s="121"/>
      <c r="D2" s="127"/>
      <c r="E2" s="127"/>
      <c r="F2" s="127"/>
      <c r="G2" s="128"/>
    </row>
    <row r="3" spans="1:18" ht="13.5" customHeight="1">
      <c r="A3" s="120"/>
      <c r="B3" s="121"/>
      <c r="C3" s="121"/>
      <c r="D3" s="127"/>
      <c r="E3" s="127"/>
      <c r="F3" s="127"/>
      <c r="G3" s="128"/>
    </row>
    <row r="4" spans="1:18" ht="17.25" customHeight="1" thickBot="1">
      <c r="A4" s="122"/>
      <c r="B4" s="123"/>
      <c r="C4" s="123"/>
      <c r="D4" s="129"/>
      <c r="E4" s="129"/>
      <c r="F4" s="129"/>
      <c r="G4" s="130"/>
    </row>
    <row r="5" spans="1:18" ht="6.75" customHeight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31" t="s">
        <v>4</v>
      </c>
      <c r="B6" s="114" t="s">
        <v>32</v>
      </c>
      <c r="C6" s="135" t="s">
        <v>26</v>
      </c>
      <c r="D6" s="135"/>
      <c r="E6" s="135" t="s">
        <v>80</v>
      </c>
      <c r="F6" s="114" t="s">
        <v>45</v>
      </c>
      <c r="G6" s="114" t="s">
        <v>5</v>
      </c>
      <c r="H6" s="9"/>
      <c r="I6" s="111" t="s">
        <v>55</v>
      </c>
      <c r="J6" s="111"/>
      <c r="K6" s="111"/>
      <c r="L6" s="111"/>
      <c r="M6" s="111"/>
      <c r="N6" s="111"/>
      <c r="O6" s="8"/>
    </row>
    <row r="7" spans="1:18" s="10" customFormat="1" ht="18" customHeight="1">
      <c r="A7" s="132"/>
      <c r="B7" s="134"/>
      <c r="C7" s="112" t="s">
        <v>28</v>
      </c>
      <c r="D7" s="114" t="s">
        <v>16</v>
      </c>
      <c r="E7" s="135"/>
      <c r="F7" s="134"/>
      <c r="G7" s="13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3"/>
      <c r="B8" s="115"/>
      <c r="C8" s="113"/>
      <c r="D8" s="115"/>
      <c r="E8" s="135"/>
      <c r="F8" s="115"/>
      <c r="G8" s="11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94" t="s">
        <v>101</v>
      </c>
      <c r="B9" s="31" t="s">
        <v>111</v>
      </c>
      <c r="C9" s="25">
        <v>600</v>
      </c>
      <c r="D9" s="25">
        <v>400</v>
      </c>
      <c r="E9" s="13"/>
      <c r="F9" s="14"/>
      <c r="G9" s="14"/>
      <c r="H9" s="15"/>
      <c r="I9" s="116"/>
      <c r="J9" s="117"/>
      <c r="K9" s="16"/>
      <c r="L9" s="17"/>
      <c r="M9" s="18"/>
      <c r="N9" s="117"/>
      <c r="O9" s="8"/>
      <c r="Q9" s="10" t="s">
        <v>109</v>
      </c>
    </row>
    <row r="10" spans="1:18" s="10" customFormat="1" ht="18" customHeight="1">
      <c r="A10" s="94" t="s">
        <v>102</v>
      </c>
      <c r="B10" s="31" t="s">
        <v>1</v>
      </c>
      <c r="C10" s="25">
        <v>650</v>
      </c>
      <c r="D10" s="25">
        <v>400</v>
      </c>
      <c r="E10" s="14"/>
      <c r="F10" s="14"/>
      <c r="G10" s="14"/>
      <c r="H10" s="15"/>
      <c r="I10" s="116"/>
      <c r="J10" s="117"/>
      <c r="K10" s="16"/>
      <c r="L10" s="17"/>
      <c r="M10" s="18"/>
      <c r="N10" s="117"/>
      <c r="O10" s="8"/>
      <c r="Q10" s="10" t="s">
        <v>110</v>
      </c>
    </row>
  </sheetData>
  <mergeCells count="14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9:I10"/>
    <mergeCell ref="J9:J10"/>
    <mergeCell ref="N9:N10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7"/>
  <sheetViews>
    <sheetView tabSelected="1" topLeftCell="A2" zoomScale="115" zoomScaleNormal="115" zoomScaleSheetLayoutView="115" workbookViewId="0">
      <pane ySplit="6" topLeftCell="A8" activePane="bottomLeft" state="frozen"/>
      <selection pane="bottomLeft" activeCell="H23" sqref="H23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0"/>
      <c r="B1" s="161"/>
      <c r="C1" s="161"/>
      <c r="D1" s="161"/>
      <c r="E1" s="83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</row>
    <row r="2" spans="1:37" ht="38.25" customHeight="1">
      <c r="A2" s="162"/>
      <c r="B2" s="163"/>
      <c r="C2" s="163"/>
      <c r="D2" s="163"/>
      <c r="E2" s="82"/>
      <c r="F2" s="171" t="s">
        <v>81</v>
      </c>
      <c r="G2" s="172"/>
      <c r="H2" s="172"/>
      <c r="I2" s="172"/>
      <c r="J2" s="175" t="str">
        <f>'1. 소켓인수검사'!R1</f>
        <v>26.06.29 하나로엔지니어링_강일공조닥트_평창미탄 복합 문화센터</v>
      </c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6"/>
    </row>
    <row r="3" spans="1:37" ht="38.25" customHeight="1" thickBot="1">
      <c r="A3" s="164"/>
      <c r="B3" s="165"/>
      <c r="C3" s="165"/>
      <c r="D3" s="165"/>
      <c r="E3" s="86"/>
      <c r="F3" s="173"/>
      <c r="G3" s="174"/>
      <c r="H3" s="174"/>
      <c r="I3" s="174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8"/>
    </row>
    <row r="4" spans="1:37" ht="8.1" customHeight="1">
      <c r="A4" s="136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</row>
    <row r="5" spans="1:37" s="24" customFormat="1" ht="26.45" customHeight="1">
      <c r="A5" s="166" t="s">
        <v>27</v>
      </c>
      <c r="B5" s="168" t="s">
        <v>32</v>
      </c>
      <c r="C5" s="151" t="s">
        <v>26</v>
      </c>
      <c r="D5" s="151"/>
      <c r="E5" s="151" t="s">
        <v>43</v>
      </c>
      <c r="F5" s="191" t="s">
        <v>48</v>
      </c>
      <c r="G5" s="192"/>
      <c r="H5" s="192"/>
      <c r="I5" s="192"/>
      <c r="J5" s="192"/>
      <c r="K5" s="192"/>
      <c r="L5" s="192"/>
      <c r="M5" s="192"/>
      <c r="N5" s="192"/>
      <c r="O5" s="192"/>
      <c r="P5" s="193"/>
      <c r="Q5" s="151" t="s">
        <v>0</v>
      </c>
      <c r="R5" s="151"/>
      <c r="S5" s="151"/>
      <c r="T5" s="151"/>
      <c r="U5" s="151"/>
      <c r="V5" s="151"/>
      <c r="W5" s="151"/>
      <c r="X5" s="151"/>
      <c r="Y5" s="151"/>
      <c r="Z5" s="151"/>
      <c r="AA5" s="152" t="s">
        <v>5</v>
      </c>
      <c r="AB5" s="24">
        <v>15</v>
      </c>
      <c r="AC5" s="24">
        <v>50</v>
      </c>
    </row>
    <row r="6" spans="1:37" s="24" customFormat="1" ht="16.5" customHeight="1">
      <c r="A6" s="167"/>
      <c r="B6" s="169"/>
      <c r="C6" s="154" t="s">
        <v>28</v>
      </c>
      <c r="D6" s="154" t="s">
        <v>16</v>
      </c>
      <c r="E6" s="154"/>
      <c r="F6" s="155" t="s">
        <v>105</v>
      </c>
      <c r="G6" s="155"/>
      <c r="H6" s="155"/>
      <c r="I6" s="155" t="s">
        <v>106</v>
      </c>
      <c r="J6" s="155"/>
      <c r="K6" s="155"/>
      <c r="L6" s="155"/>
      <c r="M6" s="155" t="s">
        <v>107</v>
      </c>
      <c r="N6" s="155"/>
      <c r="O6" s="155"/>
      <c r="P6" s="155"/>
      <c r="Q6" s="155" t="s">
        <v>71</v>
      </c>
      <c r="R6" s="155"/>
      <c r="S6" s="155"/>
      <c r="T6" s="155"/>
      <c r="U6" s="155" t="s">
        <v>72</v>
      </c>
      <c r="V6" s="155"/>
      <c r="W6" s="155"/>
      <c r="X6" s="155"/>
      <c r="Y6" s="155"/>
      <c r="Z6" s="155"/>
      <c r="AA6" s="153"/>
      <c r="AG6" s="97" t="s">
        <v>100</v>
      </c>
      <c r="AK6" s="98" t="s">
        <v>99</v>
      </c>
    </row>
    <row r="7" spans="1:37" s="24" customFormat="1" ht="16.5" customHeight="1">
      <c r="A7" s="167"/>
      <c r="B7" s="169"/>
      <c r="C7" s="154"/>
      <c r="D7" s="154"/>
      <c r="E7" s="154"/>
      <c r="F7" s="72" t="s">
        <v>20</v>
      </c>
      <c r="G7" s="72" t="s">
        <v>26</v>
      </c>
      <c r="H7" s="72" t="s">
        <v>36</v>
      </c>
      <c r="I7" s="72" t="s">
        <v>20</v>
      </c>
      <c r="J7" s="156" t="s">
        <v>26</v>
      </c>
      <c r="K7" s="157"/>
      <c r="L7" s="72" t="s">
        <v>36</v>
      </c>
      <c r="M7" s="72" t="s">
        <v>20</v>
      </c>
      <c r="N7" s="156" t="s">
        <v>104</v>
      </c>
      <c r="O7" s="157"/>
      <c r="P7" s="72" t="s">
        <v>36</v>
      </c>
      <c r="Q7" s="72" t="s">
        <v>31</v>
      </c>
      <c r="R7" s="72" t="s">
        <v>20</v>
      </c>
      <c r="S7" s="72" t="s">
        <v>26</v>
      </c>
      <c r="T7" s="72" t="s">
        <v>36</v>
      </c>
      <c r="U7" s="72" t="s">
        <v>31</v>
      </c>
      <c r="V7" s="72" t="s">
        <v>20</v>
      </c>
      <c r="W7" s="155" t="s">
        <v>26</v>
      </c>
      <c r="X7" s="155"/>
      <c r="Y7" s="155"/>
      <c r="Z7" s="72" t="s">
        <v>36</v>
      </c>
      <c r="AA7" s="153"/>
      <c r="AB7" s="24" t="s">
        <v>89</v>
      </c>
      <c r="AC7" s="24" t="s">
        <v>90</v>
      </c>
      <c r="AD7" s="24" t="s">
        <v>91</v>
      </c>
      <c r="AE7" s="24" t="s">
        <v>92</v>
      </c>
      <c r="AF7" s="24" t="s">
        <v>93</v>
      </c>
      <c r="AG7" s="24" t="s">
        <v>94</v>
      </c>
      <c r="AH7" s="24" t="s">
        <v>95</v>
      </c>
      <c r="AI7" s="24" t="s">
        <v>96</v>
      </c>
      <c r="AJ7" s="24" t="s">
        <v>97</v>
      </c>
      <c r="AK7" s="24" t="s">
        <v>98</v>
      </c>
    </row>
    <row r="8" spans="1:37">
      <c r="A8" s="34" t="str">
        <f>'1. 소켓인수검사'!A9</f>
        <v>01</v>
      </c>
      <c r="B8" s="45" t="s">
        <v>1</v>
      </c>
      <c r="C8" s="38">
        <f>'1. 소켓인수검사'!C9</f>
        <v>600</v>
      </c>
      <c r="D8" s="38">
        <f>'1. 소켓인수검사'!D9</f>
        <v>400</v>
      </c>
      <c r="E8" s="36"/>
      <c r="F8" s="170">
        <f>255</f>
        <v>255</v>
      </c>
      <c r="G8" s="37">
        <f>C8-5</f>
        <v>595</v>
      </c>
      <c r="H8" s="38">
        <f>3*2</f>
        <v>6</v>
      </c>
      <c r="I8" s="170">
        <v>255</v>
      </c>
      <c r="J8" s="158"/>
      <c r="K8" s="159"/>
      <c r="L8" s="38"/>
      <c r="M8" s="170">
        <v>255</v>
      </c>
      <c r="N8" s="158">
        <f>D8-35</f>
        <v>365</v>
      </c>
      <c r="O8" s="159"/>
      <c r="P8" s="38">
        <v>2</v>
      </c>
      <c r="Q8" s="185" t="s">
        <v>10</v>
      </c>
      <c r="R8" s="187">
        <v>185</v>
      </c>
      <c r="S8" s="189">
        <v>1000</v>
      </c>
      <c r="T8" s="38">
        <f>+AK8*2</f>
        <v>6</v>
      </c>
      <c r="U8" s="185" t="s">
        <v>10</v>
      </c>
      <c r="V8" s="187">
        <v>125</v>
      </c>
      <c r="W8" s="179">
        <v>1000</v>
      </c>
      <c r="X8" s="180"/>
      <c r="Y8" s="181"/>
      <c r="Z8" s="38">
        <f>+AG8</f>
        <v>3</v>
      </c>
      <c r="AA8" s="42"/>
      <c r="AB8">
        <f xml:space="preserve"> C8+$AC$5*2</f>
        <v>700</v>
      </c>
      <c r="AC8">
        <f xml:space="preserve"> D8+$AC$5*2</f>
        <v>500</v>
      </c>
      <c r="AD8">
        <f>(AB8+AC8)*2</f>
        <v>2400</v>
      </c>
      <c r="AE8">
        <f>AD8/1000</f>
        <v>2.4</v>
      </c>
      <c r="AF8" s="95">
        <f>AE8*(1+$AB$5/100)</f>
        <v>2.76</v>
      </c>
      <c r="AG8" s="96">
        <f>CEILING(AF8,1)</f>
        <v>3</v>
      </c>
      <c r="AH8">
        <f>D8*2+AB8*2</f>
        <v>2200</v>
      </c>
      <c r="AI8">
        <f>AH8/1000</f>
        <v>2.2000000000000002</v>
      </c>
      <c r="AJ8" s="95">
        <f>AI8*(1+$AB$5/100)</f>
        <v>2.5299999999999998</v>
      </c>
      <c r="AK8" s="99">
        <f>CEILING(AJ8,1)</f>
        <v>3</v>
      </c>
    </row>
    <row r="9" spans="1:37">
      <c r="A9" s="34" t="str">
        <f>'1. 소켓인수검사'!A10</f>
        <v>02</v>
      </c>
      <c r="B9" s="45" t="s">
        <v>1</v>
      </c>
      <c r="C9" s="38">
        <f>'1. 소켓인수검사'!C10</f>
        <v>650</v>
      </c>
      <c r="D9" s="38">
        <f>'1. 소켓인수검사'!D10</f>
        <v>400</v>
      </c>
      <c r="E9" s="36"/>
      <c r="F9" s="170"/>
      <c r="G9" s="37">
        <f t="shared" ref="G9" si="0">C9-5</f>
        <v>645</v>
      </c>
      <c r="H9" s="38">
        <f t="shared" ref="H9" si="1">3*2</f>
        <v>6</v>
      </c>
      <c r="I9" s="170"/>
      <c r="J9" s="158"/>
      <c r="K9" s="159"/>
      <c r="L9" s="38"/>
      <c r="M9" s="170"/>
      <c r="N9" s="158">
        <f t="shared" ref="N9" si="2">D9-35</f>
        <v>365</v>
      </c>
      <c r="O9" s="159"/>
      <c r="P9" s="38">
        <v>2</v>
      </c>
      <c r="Q9" s="186"/>
      <c r="R9" s="188"/>
      <c r="S9" s="190"/>
      <c r="T9" s="38">
        <f t="shared" ref="T9" si="3">+AK9*2</f>
        <v>6</v>
      </c>
      <c r="U9" s="186"/>
      <c r="V9" s="188"/>
      <c r="W9" s="182"/>
      <c r="X9" s="183"/>
      <c r="Y9" s="184"/>
      <c r="Z9" s="38">
        <f t="shared" ref="Z9" si="4">+AG9</f>
        <v>3</v>
      </c>
      <c r="AA9" s="42"/>
      <c r="AB9">
        <f t="shared" ref="AB9" si="5" xml:space="preserve"> C9+$AC$5*2</f>
        <v>750</v>
      </c>
      <c r="AC9">
        <f t="shared" ref="AC9" si="6" xml:space="preserve"> D9+$AC$5*2</f>
        <v>500</v>
      </c>
      <c r="AD9">
        <f t="shared" ref="AD9" si="7">(AB9+AC9)*2</f>
        <v>2500</v>
      </c>
      <c r="AE9">
        <f t="shared" ref="AE9" si="8">AD9/1000</f>
        <v>2.5</v>
      </c>
      <c r="AF9" s="95">
        <f t="shared" ref="AF9" si="9">AE9*(1+$AB$5/100)</f>
        <v>2.875</v>
      </c>
      <c r="AG9" s="96">
        <f t="shared" ref="AG9" si="10">CEILING(AF9,1)</f>
        <v>3</v>
      </c>
      <c r="AH9">
        <f t="shared" ref="AH9" si="11">D9*2+AB9*2</f>
        <v>2300</v>
      </c>
      <c r="AI9">
        <f t="shared" ref="AI9" si="12">AH9/1000</f>
        <v>2.2999999999999998</v>
      </c>
      <c r="AJ9" s="95">
        <f t="shared" ref="AJ9" si="13">AI9*(1+$AB$5/100)</f>
        <v>2.6449999999999996</v>
      </c>
      <c r="AK9" s="99">
        <f t="shared" ref="AK9" si="14">CEILING(AJ9,1)</f>
        <v>3</v>
      </c>
    </row>
    <row r="10" spans="1:37">
      <c r="A10" s="148" t="s">
        <v>25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43">
        <f>SUM(T8:T9)</f>
        <v>12</v>
      </c>
      <c r="U10" s="73"/>
      <c r="V10" s="74"/>
      <c r="W10" s="150"/>
      <c r="X10" s="150"/>
      <c r="Y10" s="150"/>
      <c r="Z10" s="43">
        <f>SUM(Z8:Z9)</f>
        <v>6</v>
      </c>
      <c r="AA10" s="42"/>
    </row>
    <row r="11" spans="1:37" ht="8.1" customHeight="1">
      <c r="A11" s="136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5"/>
      <c r="N11" s="5"/>
      <c r="O11" s="5"/>
      <c r="P11" s="5"/>
      <c r="AA11" s="5"/>
    </row>
    <row r="12" spans="1:37">
      <c r="A12" s="138" t="s">
        <v>6</v>
      </c>
      <c r="B12" s="138"/>
      <c r="C12" s="138"/>
      <c r="D12" s="139" t="s">
        <v>61</v>
      </c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1"/>
    </row>
    <row r="13" spans="1:37">
      <c r="A13" s="138"/>
      <c r="B13" s="138"/>
      <c r="C13" s="138"/>
      <c r="D13" s="142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4"/>
    </row>
    <row r="14" spans="1:37">
      <c r="A14" s="138"/>
      <c r="B14" s="138"/>
      <c r="C14" s="138"/>
      <c r="D14" s="142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4"/>
    </row>
    <row r="15" spans="1:37">
      <c r="A15" s="138"/>
      <c r="B15" s="138"/>
      <c r="C15" s="138"/>
      <c r="D15" s="142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4"/>
    </row>
    <row r="16" spans="1:37">
      <c r="A16" s="138"/>
      <c r="B16" s="138"/>
      <c r="C16" s="138"/>
      <c r="D16" s="142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4"/>
    </row>
    <row r="17" spans="1:27">
      <c r="A17" s="138"/>
      <c r="B17" s="138"/>
      <c r="C17" s="138"/>
      <c r="D17" s="145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7"/>
    </row>
  </sheetData>
  <mergeCells count="39">
    <mergeCell ref="J9:K9"/>
    <mergeCell ref="I8:I9"/>
    <mergeCell ref="F8:F9"/>
    <mergeCell ref="F2:I3"/>
    <mergeCell ref="J2:AA3"/>
    <mergeCell ref="W8:Y9"/>
    <mergeCell ref="Q8:Q9"/>
    <mergeCell ref="R8:R9"/>
    <mergeCell ref="S8:S9"/>
    <mergeCell ref="U8:U9"/>
    <mergeCell ref="V8:V9"/>
    <mergeCell ref="M6:P6"/>
    <mergeCell ref="N7:O7"/>
    <mergeCell ref="M8:M9"/>
    <mergeCell ref="N8:O8"/>
    <mergeCell ref="N9:O9"/>
    <mergeCell ref="J8:K8"/>
    <mergeCell ref="A1:D3"/>
    <mergeCell ref="A4:L4"/>
    <mergeCell ref="A5:A7"/>
    <mergeCell ref="B5:B7"/>
    <mergeCell ref="C5:D5"/>
    <mergeCell ref="E5:E7"/>
    <mergeCell ref="F5:P5"/>
    <mergeCell ref="Q5:Z5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A11:L11"/>
    <mergeCell ref="A12:C17"/>
    <mergeCell ref="D12:AA17"/>
    <mergeCell ref="A10:S10"/>
    <mergeCell ref="W10:Y10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0"/>
  <sheetViews>
    <sheetView view="pageBreakPreview" zoomScale="85" zoomScaleNormal="85" zoomScaleSheetLayoutView="85" workbookViewId="0">
      <pane ySplit="7" topLeftCell="A8" activePane="bottomLeft" state="frozen"/>
      <selection pane="bottomLeft" activeCell="A10" sqref="A10:XFD127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198"/>
      <c r="B1" s="199"/>
      <c r="C1" s="199"/>
      <c r="D1" s="199"/>
      <c r="E1" s="199"/>
      <c r="F1" s="87"/>
      <c r="G1" s="207" t="s">
        <v>82</v>
      </c>
      <c r="H1" s="207"/>
      <c r="I1" s="207"/>
      <c r="J1" s="207"/>
      <c r="K1" s="207"/>
      <c r="L1" s="207"/>
      <c r="M1" s="210" t="str">
        <f>'1. 소켓인수검사'!R1</f>
        <v>26.06.29 하나로엔지니어링_강일공조닥트_평창미탄 복합 문화센터</v>
      </c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1"/>
    </row>
    <row r="2" spans="1:51" ht="41.25">
      <c r="A2" s="200"/>
      <c r="B2" s="201"/>
      <c r="C2" s="201"/>
      <c r="D2" s="201"/>
      <c r="E2" s="201"/>
      <c r="F2" s="28"/>
      <c r="G2" s="208"/>
      <c r="H2" s="208"/>
      <c r="I2" s="208"/>
      <c r="J2" s="208"/>
      <c r="K2" s="208"/>
      <c r="L2" s="208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3"/>
    </row>
    <row r="3" spans="1:51" ht="42" thickBot="1">
      <c r="A3" s="202"/>
      <c r="B3" s="203"/>
      <c r="C3" s="203"/>
      <c r="D3" s="203"/>
      <c r="E3" s="203"/>
      <c r="F3" s="88"/>
      <c r="G3" s="209"/>
      <c r="H3" s="209"/>
      <c r="I3" s="209"/>
      <c r="J3" s="209"/>
      <c r="K3" s="209"/>
      <c r="L3" s="209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5"/>
    </row>
    <row r="4" spans="1:51" ht="8.1" customHeight="1" thickTop="1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ht="21" customHeight="1">
      <c r="A5" s="205" t="s">
        <v>27</v>
      </c>
      <c r="B5" s="101"/>
      <c r="C5" s="206" t="s">
        <v>26</v>
      </c>
      <c r="D5" s="206"/>
      <c r="E5" s="206" t="s">
        <v>39</v>
      </c>
      <c r="F5" s="206" t="s">
        <v>43</v>
      </c>
      <c r="G5" s="206" t="s">
        <v>46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103" t="s">
        <v>12</v>
      </c>
      <c r="AP5" s="206" t="s">
        <v>46</v>
      </c>
      <c r="AQ5" s="206"/>
      <c r="AR5" s="206"/>
      <c r="AS5" s="206"/>
      <c r="AT5" s="206"/>
      <c r="AU5" s="206"/>
      <c r="AV5" s="206"/>
      <c r="AW5" s="206"/>
      <c r="AX5" s="206"/>
      <c r="AY5" s="206"/>
    </row>
    <row r="6" spans="1:51" ht="21" customHeight="1">
      <c r="A6" s="205"/>
      <c r="B6" s="206" t="s">
        <v>32</v>
      </c>
      <c r="C6" s="206" t="s">
        <v>28</v>
      </c>
      <c r="D6" s="206" t="s">
        <v>16</v>
      </c>
      <c r="E6" s="206"/>
      <c r="F6" s="206"/>
      <c r="G6" s="206" t="s">
        <v>11</v>
      </c>
      <c r="H6" s="206"/>
      <c r="I6" s="206"/>
      <c r="J6" s="206"/>
      <c r="K6" s="206" t="s">
        <v>14</v>
      </c>
      <c r="L6" s="206"/>
      <c r="M6" s="206"/>
      <c r="N6" s="206"/>
      <c r="O6" s="206"/>
      <c r="P6" s="206"/>
      <c r="Q6" s="206" t="s">
        <v>103</v>
      </c>
      <c r="R6" s="206"/>
      <c r="S6" s="206"/>
      <c r="T6" s="206"/>
      <c r="U6" s="206"/>
      <c r="V6" s="206"/>
      <c r="W6" s="206" t="s">
        <v>13</v>
      </c>
      <c r="X6" s="206"/>
      <c r="Y6" s="206"/>
      <c r="Z6" s="206"/>
      <c r="AA6" s="206"/>
      <c r="AB6" s="206"/>
      <c r="AC6" s="206" t="s">
        <v>67</v>
      </c>
      <c r="AD6" s="206"/>
      <c r="AE6" s="206"/>
      <c r="AF6" s="206"/>
      <c r="AG6" s="206"/>
      <c r="AH6" s="206"/>
      <c r="AI6" s="206" t="s">
        <v>73</v>
      </c>
      <c r="AJ6" s="206"/>
      <c r="AK6" s="206"/>
      <c r="AL6" s="206"/>
      <c r="AM6" s="206"/>
      <c r="AN6" s="206"/>
      <c r="AO6" s="103"/>
      <c r="AP6" s="206" t="s">
        <v>57</v>
      </c>
      <c r="AQ6" s="206"/>
      <c r="AR6" s="206"/>
      <c r="AS6" s="206"/>
      <c r="AT6" s="206" t="s">
        <v>59</v>
      </c>
      <c r="AU6" s="206"/>
      <c r="AV6" s="206"/>
      <c r="AW6" s="206"/>
      <c r="AX6" s="206"/>
      <c r="AY6" s="206"/>
    </row>
    <row r="7" spans="1:51" ht="24.75" customHeight="1">
      <c r="A7" s="205"/>
      <c r="B7" s="206"/>
      <c r="C7" s="206"/>
      <c r="D7" s="206"/>
      <c r="E7" s="206"/>
      <c r="F7" s="206"/>
      <c r="G7" s="102" t="s">
        <v>31</v>
      </c>
      <c r="H7" s="102" t="s">
        <v>20</v>
      </c>
      <c r="I7" s="102" t="s">
        <v>26</v>
      </c>
      <c r="J7" s="102" t="s">
        <v>39</v>
      </c>
      <c r="K7" s="102" t="s">
        <v>31</v>
      </c>
      <c r="L7" s="102" t="s">
        <v>20</v>
      </c>
      <c r="M7" s="206" t="s">
        <v>26</v>
      </c>
      <c r="N7" s="206"/>
      <c r="O7" s="206"/>
      <c r="P7" s="102" t="s">
        <v>36</v>
      </c>
      <c r="Q7" s="102" t="s">
        <v>31</v>
      </c>
      <c r="R7" s="102" t="s">
        <v>20</v>
      </c>
      <c r="S7" s="206" t="s">
        <v>26</v>
      </c>
      <c r="T7" s="206"/>
      <c r="U7" s="206"/>
      <c r="V7" s="102" t="s">
        <v>36</v>
      </c>
      <c r="W7" s="102" t="s">
        <v>31</v>
      </c>
      <c r="X7" s="102" t="s">
        <v>20</v>
      </c>
      <c r="Y7" s="206" t="s">
        <v>26</v>
      </c>
      <c r="Z7" s="206"/>
      <c r="AA7" s="206"/>
      <c r="AB7" s="102" t="s">
        <v>36</v>
      </c>
      <c r="AC7" s="102" t="s">
        <v>31</v>
      </c>
      <c r="AD7" s="102" t="s">
        <v>20</v>
      </c>
      <c r="AE7" s="206" t="s">
        <v>26</v>
      </c>
      <c r="AF7" s="206"/>
      <c r="AG7" s="206"/>
      <c r="AH7" s="102" t="s">
        <v>36</v>
      </c>
      <c r="AI7" s="102" t="s">
        <v>31</v>
      </c>
      <c r="AJ7" s="102" t="s">
        <v>20</v>
      </c>
      <c r="AK7" s="206" t="s">
        <v>26</v>
      </c>
      <c r="AL7" s="206"/>
      <c r="AM7" s="206"/>
      <c r="AN7" s="102" t="s">
        <v>36</v>
      </c>
      <c r="AO7" s="103"/>
      <c r="AP7" s="102" t="s">
        <v>31</v>
      </c>
      <c r="AQ7" s="102" t="s">
        <v>20</v>
      </c>
      <c r="AR7" s="102" t="s">
        <v>26</v>
      </c>
      <c r="AS7" s="102" t="s">
        <v>39</v>
      </c>
      <c r="AT7" s="102" t="s">
        <v>31</v>
      </c>
      <c r="AU7" s="102" t="s">
        <v>20</v>
      </c>
      <c r="AV7" s="206" t="s">
        <v>26</v>
      </c>
      <c r="AW7" s="206"/>
      <c r="AX7" s="206"/>
      <c r="AY7" s="102" t="s">
        <v>36</v>
      </c>
    </row>
    <row r="8" spans="1:51" ht="16.5" customHeight="1">
      <c r="A8" s="104" t="str">
        <f>'1. 소켓인수검사'!A9</f>
        <v>01</v>
      </c>
      <c r="B8" s="45" t="s">
        <v>1</v>
      </c>
      <c r="C8" s="38">
        <f>'1. 소켓인수검사'!C9</f>
        <v>600</v>
      </c>
      <c r="D8" s="38">
        <f>'1. 소켓인수검사'!D9</f>
        <v>400</v>
      </c>
      <c r="E8" s="35">
        <v>1</v>
      </c>
      <c r="F8" s="36"/>
      <c r="G8" s="197" t="s">
        <v>79</v>
      </c>
      <c r="H8" s="216">
        <v>60</v>
      </c>
      <c r="I8" s="35">
        <f>(C8)-5</f>
        <v>595</v>
      </c>
      <c r="J8" s="35">
        <v>2</v>
      </c>
      <c r="K8" s="197" t="s">
        <v>79</v>
      </c>
      <c r="L8" s="217">
        <v>274</v>
      </c>
      <c r="M8" s="196">
        <f>C8-5</f>
        <v>595</v>
      </c>
      <c r="N8" s="196" t="e">
        <f>(#REF!-20)/2-10</f>
        <v>#REF!</v>
      </c>
      <c r="O8" s="196" t="e">
        <f>(#REF!-20)/2-10</f>
        <v>#REF!</v>
      </c>
      <c r="P8" s="35">
        <v>2</v>
      </c>
      <c r="Q8" s="219" t="s">
        <v>69</v>
      </c>
      <c r="R8" s="218">
        <v>60</v>
      </c>
      <c r="S8" s="196">
        <f>D8-35</f>
        <v>365</v>
      </c>
      <c r="T8" s="196" t="e">
        <v>#REF!</v>
      </c>
      <c r="U8" s="196">
        <v>-19.5</v>
      </c>
      <c r="V8" s="35">
        <v>4</v>
      </c>
      <c r="W8" s="219" t="s">
        <v>69</v>
      </c>
      <c r="X8" s="218">
        <v>50</v>
      </c>
      <c r="Y8" s="196">
        <f>D8</f>
        <v>400</v>
      </c>
      <c r="Z8" s="196">
        <f>(F8-20)/2-10</f>
        <v>-20</v>
      </c>
      <c r="AA8" s="196" t="e">
        <f>(G8-20)/2-10</f>
        <v>#VALUE!</v>
      </c>
      <c r="AB8" s="35">
        <v>3</v>
      </c>
      <c r="AC8" s="197" t="s">
        <v>79</v>
      </c>
      <c r="AD8" s="220"/>
      <c r="AE8" s="220"/>
      <c r="AF8" s="220"/>
      <c r="AG8" s="220"/>
      <c r="AH8" s="220"/>
      <c r="AI8" s="197" t="s">
        <v>79</v>
      </c>
      <c r="AJ8" s="221"/>
      <c r="AK8" s="221"/>
      <c r="AL8" s="221"/>
      <c r="AM8" s="221"/>
      <c r="AN8" s="221"/>
      <c r="AO8" s="35"/>
      <c r="AP8" s="197" t="s">
        <v>68</v>
      </c>
      <c r="AQ8" s="105">
        <v>260</v>
      </c>
      <c r="AR8" s="106">
        <v>1000</v>
      </c>
      <c r="AS8" s="100">
        <f>'2.1 재단(1.69,064)'!T8/2</f>
        <v>3</v>
      </c>
      <c r="AT8" s="197" t="s">
        <v>68</v>
      </c>
      <c r="AU8" s="107">
        <v>310</v>
      </c>
      <c r="AV8" s="194">
        <v>1000</v>
      </c>
      <c r="AW8" s="194"/>
      <c r="AX8" s="194"/>
      <c r="AY8" s="100">
        <f>'2.1 재단(1.69,064)'!Z8</f>
        <v>3</v>
      </c>
    </row>
    <row r="9" spans="1:51" ht="16.5" customHeight="1">
      <c r="A9" s="104" t="str">
        <f>'1. 소켓인수검사'!A10</f>
        <v>02</v>
      </c>
      <c r="B9" s="45" t="s">
        <v>1</v>
      </c>
      <c r="C9" s="38">
        <f>'1. 소켓인수검사'!C10</f>
        <v>650</v>
      </c>
      <c r="D9" s="38">
        <f>'1. 소켓인수검사'!D10</f>
        <v>400</v>
      </c>
      <c r="E9" s="35">
        <v>1</v>
      </c>
      <c r="F9" s="36"/>
      <c r="G9" s="197"/>
      <c r="H9" s="216"/>
      <c r="I9" s="35">
        <f t="shared" ref="I9" si="0">(C9)-5</f>
        <v>645</v>
      </c>
      <c r="J9" s="35">
        <v>2</v>
      </c>
      <c r="K9" s="197"/>
      <c r="L9" s="217"/>
      <c r="M9" s="196">
        <f t="shared" ref="M9" si="1">C9-5</f>
        <v>645</v>
      </c>
      <c r="N9" s="196" t="e">
        <f>(#REF!-20)/2-10</f>
        <v>#REF!</v>
      </c>
      <c r="O9" s="196" t="e">
        <f>(#REF!-20)/2-10</f>
        <v>#REF!</v>
      </c>
      <c r="P9" s="35">
        <v>2</v>
      </c>
      <c r="Q9" s="219"/>
      <c r="R9" s="218"/>
      <c r="S9" s="196">
        <f t="shared" ref="S9" si="2">D9-35</f>
        <v>365</v>
      </c>
      <c r="T9" s="196" t="e">
        <v>#REF!</v>
      </c>
      <c r="U9" s="196">
        <v>-19.5</v>
      </c>
      <c r="V9" s="35">
        <v>4</v>
      </c>
      <c r="W9" s="219"/>
      <c r="X9" s="218"/>
      <c r="Y9" s="196">
        <f t="shared" ref="Y9" si="3">D9</f>
        <v>400</v>
      </c>
      <c r="Z9" s="196">
        <f t="shared" ref="Z9" si="4">(F9-20)/2-10</f>
        <v>-20</v>
      </c>
      <c r="AA9" s="196">
        <f t="shared" ref="AA9" si="5">(G9-20)/2-10</f>
        <v>-20</v>
      </c>
      <c r="AB9" s="35">
        <v>3</v>
      </c>
      <c r="AC9" s="197"/>
      <c r="AD9" s="220"/>
      <c r="AE9" s="220"/>
      <c r="AF9" s="220"/>
      <c r="AG9" s="220"/>
      <c r="AH9" s="220"/>
      <c r="AI9" s="197"/>
      <c r="AJ9" s="221"/>
      <c r="AK9" s="221"/>
      <c r="AL9" s="221"/>
      <c r="AM9" s="221"/>
      <c r="AN9" s="221"/>
      <c r="AO9" s="35"/>
      <c r="AP9" s="197"/>
      <c r="AQ9" s="105">
        <v>260</v>
      </c>
      <c r="AR9" s="106">
        <v>1000</v>
      </c>
      <c r="AS9" s="100">
        <f>'2.1 재단(1.69,064)'!T9/2</f>
        <v>3</v>
      </c>
      <c r="AT9" s="197"/>
      <c r="AU9" s="107">
        <v>310</v>
      </c>
      <c r="AV9" s="194">
        <v>1000</v>
      </c>
      <c r="AW9" s="194"/>
      <c r="AX9" s="194"/>
      <c r="AY9" s="100">
        <f>'2.1 재단(1.69,064)'!Z9</f>
        <v>3</v>
      </c>
    </row>
    <row r="10" spans="1:51">
      <c r="A10" s="195" t="s">
        <v>18</v>
      </c>
      <c r="B10" s="195"/>
      <c r="C10" s="195"/>
      <c r="D10" s="35"/>
      <c r="E10" s="108"/>
      <c r="F10" s="105"/>
      <c r="G10" s="35"/>
      <c r="H10" s="35"/>
      <c r="I10" s="35"/>
      <c r="J10" s="35">
        <f>SUM(J8:J9)</f>
        <v>4</v>
      </c>
      <c r="K10" s="35"/>
      <c r="L10" s="35"/>
      <c r="M10" s="195"/>
      <c r="N10" s="195"/>
      <c r="O10" s="195"/>
      <c r="P10" s="35">
        <f>SUM(P8:P9)</f>
        <v>4</v>
      </c>
      <c r="Q10" s="35"/>
      <c r="R10" s="35"/>
      <c r="S10" s="195"/>
      <c r="T10" s="195"/>
      <c r="U10" s="195"/>
      <c r="V10" s="35">
        <f>SUM(V8:V9)</f>
        <v>8</v>
      </c>
      <c r="W10" s="35"/>
      <c r="X10" s="35"/>
      <c r="Y10" s="195"/>
      <c r="Z10" s="195"/>
      <c r="AA10" s="195"/>
      <c r="AB10" s="35">
        <f>SUM(AB8:AB9)</f>
        <v>6</v>
      </c>
      <c r="AC10" s="35"/>
      <c r="AD10" s="35"/>
      <c r="AE10" s="195"/>
      <c r="AF10" s="195"/>
      <c r="AG10" s="195"/>
      <c r="AH10" s="35">
        <f>SUM(AH8:AH9)</f>
        <v>0</v>
      </c>
      <c r="AI10" s="35"/>
      <c r="AJ10" s="35"/>
      <c r="AK10" s="195"/>
      <c r="AL10" s="195"/>
      <c r="AM10" s="195"/>
      <c r="AN10" s="35">
        <f>SUM(AN8:AN9)</f>
        <v>0</v>
      </c>
      <c r="AO10" s="35"/>
      <c r="AP10" s="197"/>
      <c r="AQ10" s="35"/>
      <c r="AR10" s="38"/>
      <c r="AS10" s="35">
        <f>SUM(AS8:AS9)</f>
        <v>6</v>
      </c>
      <c r="AT10" s="197"/>
      <c r="AU10" s="35"/>
      <c r="AV10" s="150"/>
      <c r="AW10" s="150"/>
      <c r="AX10" s="150"/>
      <c r="AY10" s="35">
        <f>SUM(AY8:AY9)</f>
        <v>6</v>
      </c>
    </row>
  </sheetData>
  <mergeCells count="56"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M8:O8"/>
    <mergeCell ref="Y8:AA8"/>
    <mergeCell ref="AP8:AP10"/>
    <mergeCell ref="AT8:AT10"/>
    <mergeCell ref="AV8:AX8"/>
    <mergeCell ref="M9:O9"/>
    <mergeCell ref="Y9:AA9"/>
    <mergeCell ref="X8:X9"/>
    <mergeCell ref="AC8:AC9"/>
    <mergeCell ref="AI8:AI9"/>
    <mergeCell ref="W8:W9"/>
    <mergeCell ref="AD8:AH9"/>
    <mergeCell ref="AJ8:AN9"/>
    <mergeCell ref="Q8:Q9"/>
    <mergeCell ref="R8:R9"/>
    <mergeCell ref="S8:U8"/>
    <mergeCell ref="AV9:AX9"/>
    <mergeCell ref="AV10:AX10"/>
    <mergeCell ref="A10:C10"/>
    <mergeCell ref="M10:O10"/>
    <mergeCell ref="Y10:AA10"/>
    <mergeCell ref="AE10:AG10"/>
    <mergeCell ref="AK10:AM10"/>
    <mergeCell ref="G8:G9"/>
    <mergeCell ref="H8:H9"/>
    <mergeCell ref="L8:L9"/>
    <mergeCell ref="K8:K9"/>
    <mergeCell ref="S9:U9"/>
    <mergeCell ref="S10:U10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0"/>
  <sheetViews>
    <sheetView zoomScale="85" zoomScaleNormal="75" zoomScaleSheetLayoutView="85" workbookViewId="0">
      <selection activeCell="M31" sqref="M31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63"/>
      <c r="B1" s="163"/>
      <c r="C1" s="163"/>
      <c r="D1" s="163"/>
      <c r="E1" s="246" t="s">
        <v>83</v>
      </c>
      <c r="F1" s="247"/>
      <c r="G1" s="247"/>
      <c r="H1" s="247"/>
      <c r="I1" s="247"/>
      <c r="J1" s="247"/>
      <c r="K1" s="247"/>
      <c r="L1" s="247"/>
      <c r="M1" s="247"/>
      <c r="N1" s="247"/>
      <c r="O1" s="248"/>
    </row>
    <row r="2" spans="1:15" ht="16.5" customHeight="1">
      <c r="A2" s="163"/>
      <c r="B2" s="163"/>
      <c r="C2" s="163"/>
      <c r="D2" s="163"/>
      <c r="E2" s="249"/>
      <c r="F2" s="250"/>
      <c r="G2" s="250"/>
      <c r="H2" s="250"/>
      <c r="I2" s="250"/>
      <c r="J2" s="250"/>
      <c r="K2" s="250"/>
      <c r="L2" s="250"/>
      <c r="M2" s="250"/>
      <c r="N2" s="250"/>
      <c r="O2" s="251"/>
    </row>
    <row r="3" spans="1:15" ht="16.5" customHeight="1">
      <c r="A3" s="163"/>
      <c r="B3" s="163"/>
      <c r="C3" s="163"/>
      <c r="D3" s="163"/>
      <c r="E3" s="249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5" ht="16.5" customHeight="1">
      <c r="A4" s="163" t="s">
        <v>47</v>
      </c>
      <c r="B4" s="163"/>
      <c r="C4" s="163"/>
      <c r="D4" s="1"/>
      <c r="E4" s="252"/>
      <c r="F4" s="253"/>
      <c r="G4" s="253"/>
      <c r="H4" s="253"/>
      <c r="I4" s="253"/>
      <c r="J4" s="253"/>
      <c r="K4" s="253"/>
      <c r="L4" s="253"/>
      <c r="M4" s="253"/>
      <c r="N4" s="253"/>
      <c r="O4" s="254"/>
    </row>
    <row r="5" spans="1:15" ht="30" customHeight="1">
      <c r="A5" s="163" t="s">
        <v>41</v>
      </c>
      <c r="B5" s="163"/>
      <c r="C5" s="163"/>
      <c r="D5" s="163"/>
      <c r="E5" s="2" t="s">
        <v>38</v>
      </c>
      <c r="F5" s="223"/>
      <c r="G5" s="225"/>
      <c r="H5" s="255" t="s">
        <v>23</v>
      </c>
      <c r="I5" s="257"/>
      <c r="J5" s="258"/>
      <c r="K5" s="257" t="s">
        <v>9</v>
      </c>
      <c r="L5" s="258"/>
      <c r="M5" s="261" t="str">
        <f>'1. 소켓인수검사'!R1</f>
        <v>26.06.29 하나로엔지니어링_강일공조닥트_평창미탄 복합 문화센터</v>
      </c>
      <c r="N5" s="261"/>
      <c r="O5" s="261"/>
    </row>
    <row r="6" spans="1:15" ht="30" customHeight="1">
      <c r="A6" s="163"/>
      <c r="B6" s="163"/>
      <c r="C6" s="163"/>
      <c r="D6" s="163"/>
      <c r="E6" s="2" t="s">
        <v>35</v>
      </c>
      <c r="F6" s="223"/>
      <c r="G6" s="225"/>
      <c r="H6" s="256"/>
      <c r="I6" s="259"/>
      <c r="J6" s="260"/>
      <c r="K6" s="259"/>
      <c r="L6" s="260"/>
      <c r="M6" s="261"/>
      <c r="N6" s="261"/>
      <c r="O6" s="261"/>
    </row>
    <row r="7" spans="1:15" ht="8.1" customHeight="1">
      <c r="A7" s="233"/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</row>
    <row r="8" spans="1:15" ht="26.45" customHeight="1">
      <c r="A8" s="234" t="s">
        <v>27</v>
      </c>
      <c r="B8" s="235" t="s">
        <v>32</v>
      </c>
      <c r="C8" s="238" t="s">
        <v>26</v>
      </c>
      <c r="D8" s="238"/>
      <c r="E8" s="238" t="s">
        <v>43</v>
      </c>
      <c r="F8" s="238" t="s">
        <v>31</v>
      </c>
      <c r="G8" s="238" t="s">
        <v>20</v>
      </c>
      <c r="H8" s="239" t="s">
        <v>64</v>
      </c>
      <c r="I8" s="239"/>
      <c r="J8" s="239"/>
      <c r="K8" s="239"/>
      <c r="L8" s="239"/>
      <c r="M8" s="239"/>
      <c r="N8" s="239"/>
      <c r="O8" s="238" t="s">
        <v>5</v>
      </c>
    </row>
    <row r="9" spans="1:15" ht="16.5" customHeight="1">
      <c r="A9" s="234"/>
      <c r="B9" s="236"/>
      <c r="C9" s="238" t="s">
        <v>28</v>
      </c>
      <c r="D9" s="238" t="s">
        <v>16</v>
      </c>
      <c r="E9" s="238"/>
      <c r="F9" s="238"/>
      <c r="G9" s="238"/>
      <c r="H9" s="238" t="s">
        <v>19</v>
      </c>
      <c r="I9" s="238"/>
      <c r="J9" s="238" t="s">
        <v>24</v>
      </c>
      <c r="K9" s="238"/>
      <c r="L9" s="240" t="s">
        <v>70</v>
      </c>
      <c r="M9" s="241"/>
      <c r="N9" s="242"/>
      <c r="O9" s="238"/>
    </row>
    <row r="10" spans="1:15">
      <c r="A10" s="234"/>
      <c r="B10" s="237"/>
      <c r="C10" s="238"/>
      <c r="D10" s="238"/>
      <c r="E10" s="238"/>
      <c r="F10" s="27">
        <v>25</v>
      </c>
      <c r="G10" s="27">
        <v>300</v>
      </c>
      <c r="H10" s="27" t="s">
        <v>26</v>
      </c>
      <c r="I10" s="27" t="s">
        <v>2</v>
      </c>
      <c r="J10" s="27" t="s">
        <v>26</v>
      </c>
      <c r="K10" s="27" t="s">
        <v>2</v>
      </c>
      <c r="L10" s="243"/>
      <c r="M10" s="244"/>
      <c r="N10" s="245"/>
      <c r="O10" s="238"/>
    </row>
    <row r="11" spans="1:15">
      <c r="A11" s="32" t="str">
        <f>'1. 소켓인수검사'!A9</f>
        <v>01</v>
      </c>
      <c r="B11" s="44" t="str">
        <f>'1. 소켓인수검사'!B9</f>
        <v>HTG-064</v>
      </c>
      <c r="C11" s="33">
        <f>'1. 소켓인수검사'!C9</f>
        <v>600</v>
      </c>
      <c r="D11" s="33">
        <f>'1. 소켓인수검사'!D9</f>
        <v>400</v>
      </c>
      <c r="E11" s="19"/>
      <c r="F11" s="21"/>
      <c r="G11" s="21"/>
      <c r="H11" s="22">
        <f>(C11+60)</f>
        <v>660</v>
      </c>
      <c r="I11" s="22">
        <v>2</v>
      </c>
      <c r="J11" s="22">
        <f>D11</f>
        <v>400</v>
      </c>
      <c r="K11" s="22">
        <v>2</v>
      </c>
      <c r="L11" s="227"/>
      <c r="M11" s="228"/>
      <c r="N11" s="229"/>
      <c r="O11" s="26"/>
    </row>
    <row r="12" spans="1:15">
      <c r="A12" s="34" t="str">
        <f>'1. 소켓인수검사'!A10</f>
        <v>02</v>
      </c>
      <c r="B12" s="45" t="str">
        <f>'1. 소켓인수검사'!B10</f>
        <v>HTG-064</v>
      </c>
      <c r="C12" s="38">
        <f>'1. 소켓인수검사'!C10</f>
        <v>650</v>
      </c>
      <c r="D12" s="38">
        <f>'1. 소켓인수검사'!D10</f>
        <v>400</v>
      </c>
      <c r="E12" s="19"/>
      <c r="F12" s="23"/>
      <c r="G12" s="23"/>
      <c r="H12" s="22">
        <f t="shared" ref="H12" si="0">(C12+60)</f>
        <v>710</v>
      </c>
      <c r="I12" s="22">
        <v>2</v>
      </c>
      <c r="J12" s="22">
        <f t="shared" ref="J12" si="1">D12</f>
        <v>400</v>
      </c>
      <c r="K12" s="22">
        <v>2</v>
      </c>
      <c r="L12" s="230"/>
      <c r="M12" s="231"/>
      <c r="N12" s="232"/>
      <c r="O12" s="20"/>
    </row>
    <row r="13" spans="1:15">
      <c r="A13" s="222" t="s">
        <v>18</v>
      </c>
      <c r="B13" s="222"/>
      <c r="C13" s="222"/>
      <c r="D13" s="3"/>
      <c r="E13" s="4"/>
      <c r="F13" s="4"/>
      <c r="G13" s="4"/>
      <c r="H13" s="3"/>
      <c r="I13" s="3">
        <f>SUM(I11:I12)</f>
        <v>4</v>
      </c>
      <c r="J13" s="3"/>
      <c r="K13" s="3">
        <f>SUM(K11:K12)</f>
        <v>4</v>
      </c>
      <c r="L13" s="223"/>
      <c r="M13" s="224"/>
      <c r="N13" s="225"/>
      <c r="O13" s="3"/>
    </row>
    <row r="14" spans="1:15" ht="8.1" customHeight="1">
      <c r="A14" s="226"/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</row>
    <row r="15" spans="1:15">
      <c r="A15" s="138" t="s">
        <v>7</v>
      </c>
      <c r="B15" s="138"/>
      <c r="C15" s="138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</row>
    <row r="16" spans="1:15">
      <c r="A16" s="138"/>
      <c r="B16" s="138"/>
      <c r="C16" s="138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</row>
    <row r="17" spans="1:15">
      <c r="A17" s="138"/>
      <c r="B17" s="138"/>
      <c r="C17" s="138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</row>
    <row r="18" spans="1:15">
      <c r="A18" s="138"/>
      <c r="B18" s="138"/>
      <c r="C18" s="138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</row>
    <row r="19" spans="1:15">
      <c r="A19" s="138"/>
      <c r="B19" s="138"/>
      <c r="C19" s="138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</row>
    <row r="20" spans="1:15">
      <c r="A20" s="138"/>
      <c r="B20" s="138"/>
      <c r="C20" s="138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</row>
  </sheetData>
  <mergeCells count="32"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L11:N11"/>
    <mergeCell ref="L12:N12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5:C20"/>
    <mergeCell ref="D15:O20"/>
    <mergeCell ref="A13:C13"/>
    <mergeCell ref="L13:N13"/>
    <mergeCell ref="A14:O14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0"/>
  <sheetViews>
    <sheetView view="pageBreakPreview" zoomScale="85" zoomScaleNormal="85" zoomScaleSheetLayoutView="85" workbookViewId="0">
      <pane ySplit="9" topLeftCell="A10" activePane="bottomLeft" state="frozen"/>
      <selection pane="bottomLeft" activeCell="V36" sqref="V36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63"/>
      <c r="B1" s="163"/>
      <c r="C1" s="163"/>
      <c r="D1" s="246" t="s">
        <v>8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8"/>
    </row>
    <row r="2" spans="1:21" ht="16.5" customHeight="1">
      <c r="A2" s="163"/>
      <c r="B2" s="163"/>
      <c r="C2" s="163"/>
      <c r="D2" s="249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1"/>
    </row>
    <row r="3" spans="1:21" ht="24" customHeight="1">
      <c r="A3" s="163"/>
      <c r="B3" s="163"/>
      <c r="C3" s="163"/>
      <c r="D3" s="249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1"/>
    </row>
    <row r="4" spans="1:21" ht="16.5" customHeight="1">
      <c r="A4" s="163" t="s">
        <v>47</v>
      </c>
      <c r="B4" s="163"/>
      <c r="C4" s="1"/>
      <c r="D4" s="249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1"/>
    </row>
    <row r="5" spans="1:21" ht="16.5" customHeight="1">
      <c r="A5" s="163" t="s">
        <v>41</v>
      </c>
      <c r="B5" s="163"/>
      <c r="C5" s="163"/>
      <c r="D5" s="2" t="s">
        <v>38</v>
      </c>
      <c r="E5" s="223"/>
      <c r="F5" s="225"/>
      <c r="G5" s="255" t="s">
        <v>23</v>
      </c>
      <c r="H5" s="67"/>
      <c r="I5" s="67"/>
      <c r="J5" s="255" t="s">
        <v>23</v>
      </c>
      <c r="K5" s="71"/>
      <c r="L5" s="257"/>
      <c r="M5" s="226"/>
      <c r="N5" s="258"/>
      <c r="O5" s="255" t="s">
        <v>34</v>
      </c>
      <c r="P5" s="274" t="str">
        <f>'1. 소켓인수검사'!R1</f>
        <v>26.06.29 하나로엔지니어링_강일공조닥트_평창미탄 복합 문화센터</v>
      </c>
      <c r="Q5" s="275"/>
      <c r="R5" s="275"/>
      <c r="S5" s="275"/>
      <c r="T5" s="275"/>
      <c r="U5" s="276"/>
    </row>
    <row r="6" spans="1:21">
      <c r="A6" s="163"/>
      <c r="B6" s="163"/>
      <c r="C6" s="163"/>
      <c r="D6" s="2" t="s">
        <v>35</v>
      </c>
      <c r="E6" s="223"/>
      <c r="F6" s="225"/>
      <c r="G6" s="256"/>
      <c r="H6" s="69"/>
      <c r="I6" s="69"/>
      <c r="J6" s="256"/>
      <c r="K6" s="68"/>
      <c r="L6" s="259"/>
      <c r="M6" s="233"/>
      <c r="N6" s="260"/>
      <c r="O6" s="256"/>
      <c r="P6" s="277"/>
      <c r="Q6" s="278"/>
      <c r="R6" s="278"/>
      <c r="S6" s="278"/>
      <c r="T6" s="278"/>
      <c r="U6" s="279"/>
    </row>
    <row r="7" spans="1:21" ht="8.1" customHeight="1">
      <c r="A7" s="136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5"/>
      <c r="T7" s="5"/>
      <c r="U7" s="5"/>
    </row>
    <row r="8" spans="1:21" ht="29.25" customHeight="1">
      <c r="A8" s="268" t="s">
        <v>27</v>
      </c>
      <c r="B8" s="270" t="s">
        <v>28</v>
      </c>
      <c r="C8" s="270" t="s">
        <v>16</v>
      </c>
      <c r="D8" s="270" t="s">
        <v>32</v>
      </c>
      <c r="E8" s="270" t="s">
        <v>29</v>
      </c>
      <c r="F8" s="270" t="s">
        <v>21</v>
      </c>
      <c r="G8" s="270" t="s">
        <v>76</v>
      </c>
      <c r="H8" s="270"/>
      <c r="I8" s="270"/>
      <c r="J8" s="270"/>
      <c r="K8" s="270"/>
      <c r="L8" s="270"/>
      <c r="M8" s="270" t="s">
        <v>54</v>
      </c>
      <c r="N8" s="270"/>
      <c r="O8" s="270"/>
      <c r="P8" s="270" t="s">
        <v>63</v>
      </c>
      <c r="Q8" s="270"/>
      <c r="R8" s="270"/>
      <c r="S8" s="270"/>
      <c r="T8" s="272"/>
      <c r="U8" s="273"/>
    </row>
    <row r="9" spans="1:21" ht="26.45" customHeight="1">
      <c r="A9" s="269"/>
      <c r="B9" s="271"/>
      <c r="C9" s="271"/>
      <c r="D9" s="271"/>
      <c r="E9" s="271"/>
      <c r="F9" s="271"/>
      <c r="G9" s="70" t="s">
        <v>33</v>
      </c>
      <c r="H9" s="70" t="s">
        <v>2</v>
      </c>
      <c r="I9" s="70" t="s">
        <v>86</v>
      </c>
      <c r="J9" s="46" t="s">
        <v>66</v>
      </c>
      <c r="K9" s="70" t="s">
        <v>2</v>
      </c>
      <c r="L9" s="70" t="s">
        <v>86</v>
      </c>
      <c r="M9" s="70" t="s">
        <v>65</v>
      </c>
      <c r="N9" s="70" t="s">
        <v>2</v>
      </c>
      <c r="O9" s="70" t="s">
        <v>56</v>
      </c>
      <c r="P9" s="70" t="s">
        <v>77</v>
      </c>
      <c r="Q9" s="70" t="s">
        <v>2</v>
      </c>
      <c r="R9" s="70" t="s">
        <v>86</v>
      </c>
      <c r="S9" s="70" t="s">
        <v>42</v>
      </c>
      <c r="T9" s="47" t="s">
        <v>2</v>
      </c>
      <c r="U9" s="47" t="s">
        <v>86</v>
      </c>
    </row>
    <row r="10" spans="1:21" ht="16.5" customHeight="1">
      <c r="A10" s="34" t="str">
        <f>+'1. 소켓인수검사'!A9</f>
        <v>01</v>
      </c>
      <c r="B10" s="38">
        <f>+'1. 소켓인수검사'!C9</f>
        <v>600</v>
      </c>
      <c r="C10" s="38">
        <f>+'1. 소켓인수검사'!D9</f>
        <v>400</v>
      </c>
      <c r="D10" s="66" t="str">
        <f>+'1. 소켓인수검사'!B9</f>
        <v>HTG-064</v>
      </c>
      <c r="E10" s="48">
        <f>B10*C10/1000000</f>
        <v>0.24</v>
      </c>
      <c r="F10" s="48">
        <f>(B10+C10)*2/1000</f>
        <v>2</v>
      </c>
      <c r="G10" s="49">
        <f t="shared" ref="G10:G11" si="0">F10+0.4</f>
        <v>2.4</v>
      </c>
      <c r="H10" s="50">
        <v>1</v>
      </c>
      <c r="I10" s="50">
        <f>H10*G10</f>
        <v>2.4</v>
      </c>
      <c r="J10" s="265"/>
      <c r="K10" s="265"/>
      <c r="L10" s="265"/>
      <c r="M10" s="49">
        <v>1</v>
      </c>
      <c r="N10" s="109">
        <f>'2.1 재단(1.69,064)'!T8/2</f>
        <v>3</v>
      </c>
      <c r="O10" s="39"/>
      <c r="P10" s="75"/>
      <c r="Q10" s="75"/>
      <c r="R10" s="75"/>
      <c r="S10" s="49">
        <f>F10+0.5</f>
        <v>2.5</v>
      </c>
      <c r="T10" s="51">
        <v>1</v>
      </c>
      <c r="U10" s="51">
        <f>T10*S10</f>
        <v>2.5</v>
      </c>
    </row>
    <row r="11" spans="1:21" ht="16.5" customHeight="1">
      <c r="A11" s="34" t="str">
        <f>+'1. 소켓인수검사'!A10</f>
        <v>02</v>
      </c>
      <c r="B11" s="35">
        <f>+'1. 소켓인수검사'!C10</f>
        <v>650</v>
      </c>
      <c r="C11" s="35">
        <f>+'1. 소켓인수검사'!D10</f>
        <v>400</v>
      </c>
      <c r="D11" s="66" t="str">
        <f>+'1. 소켓인수검사'!B10</f>
        <v>HTG-064</v>
      </c>
      <c r="E11" s="48">
        <f t="shared" ref="E11" si="1">B11*C11/1000000</f>
        <v>0.26</v>
      </c>
      <c r="F11" s="48">
        <f t="shared" ref="F11" si="2">(B11+C11)*2/1000</f>
        <v>2.1</v>
      </c>
      <c r="G11" s="49">
        <f t="shared" si="0"/>
        <v>2.5</v>
      </c>
      <c r="H11" s="50">
        <v>1</v>
      </c>
      <c r="I11" s="50">
        <f t="shared" ref="I11" si="3">H11*G11</f>
        <v>2.5</v>
      </c>
      <c r="J11" s="265"/>
      <c r="K11" s="265"/>
      <c r="L11" s="265"/>
      <c r="M11" s="49">
        <v>1</v>
      </c>
      <c r="N11" s="109">
        <f>'2.1 재단(1.69,064)'!T9/2</f>
        <v>3</v>
      </c>
      <c r="O11" s="39"/>
      <c r="P11" s="75"/>
      <c r="Q11" s="75"/>
      <c r="R11" s="75"/>
      <c r="S11" s="49">
        <f t="shared" ref="S11" si="4">F11+0.5</f>
        <v>2.6</v>
      </c>
      <c r="T11" s="51">
        <v>1</v>
      </c>
      <c r="U11" s="51">
        <f t="shared" ref="U11" si="5">T11*S11</f>
        <v>2.6</v>
      </c>
    </row>
    <row r="12" spans="1:21" ht="20.25">
      <c r="A12" s="266" t="s">
        <v>25</v>
      </c>
      <c r="B12" s="267"/>
      <c r="C12" s="267"/>
      <c r="D12" s="267"/>
      <c r="E12" s="267"/>
      <c r="F12" s="267"/>
      <c r="G12" s="76"/>
      <c r="H12" s="76"/>
      <c r="I12" s="77">
        <f>SUM(I10:I11)</f>
        <v>4.9000000000000004</v>
      </c>
      <c r="J12" s="76"/>
      <c r="K12" s="76"/>
      <c r="L12" s="77">
        <f>SUM(L10:L11)</f>
        <v>0</v>
      </c>
      <c r="M12" s="76"/>
      <c r="N12" s="78">
        <f>SUM(N10:N11)</f>
        <v>6</v>
      </c>
      <c r="O12" s="79"/>
      <c r="P12" s="76"/>
      <c r="Q12" s="76"/>
      <c r="R12" s="77">
        <f>SUM(R10:R11)</f>
        <v>0</v>
      </c>
      <c r="S12" s="80"/>
      <c r="T12" s="76"/>
      <c r="U12" s="77">
        <f>SUM(U10:U11)</f>
        <v>5.0999999999999996</v>
      </c>
    </row>
    <row r="13" spans="1:21" ht="17.25" customHeight="1">
      <c r="A13" s="263" t="s">
        <v>53</v>
      </c>
      <c r="B13" s="263"/>
      <c r="C13" s="263"/>
      <c r="D13" s="263"/>
      <c r="E13" s="263"/>
      <c r="F13" s="263"/>
      <c r="G13" s="264">
        <f>I12/20</f>
        <v>0.24500000000000002</v>
      </c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</row>
    <row r="14" spans="1:21" ht="17.25" customHeight="1">
      <c r="A14" s="263" t="s">
        <v>52</v>
      </c>
      <c r="B14" s="263"/>
      <c r="C14" s="263"/>
      <c r="D14" s="263"/>
      <c r="E14" s="263"/>
      <c r="F14" s="263"/>
      <c r="G14" s="264">
        <f>L12/20</f>
        <v>0</v>
      </c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</row>
    <row r="15" spans="1:21" ht="17.25" customHeight="1">
      <c r="A15" s="263" t="s">
        <v>51</v>
      </c>
      <c r="B15" s="263"/>
      <c r="C15" s="263"/>
      <c r="D15" s="263"/>
      <c r="E15" s="263"/>
      <c r="F15" s="263"/>
      <c r="G15" s="264">
        <f>R12/4.8</f>
        <v>0</v>
      </c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</row>
    <row r="16" spans="1:21" ht="17.25" customHeight="1">
      <c r="A16" s="263" t="s">
        <v>50</v>
      </c>
      <c r="B16" s="263"/>
      <c r="C16" s="263"/>
      <c r="D16" s="263"/>
      <c r="E16" s="263"/>
      <c r="F16" s="263"/>
      <c r="G16" s="264">
        <f>U12/3.6</f>
        <v>1.4166666666666665</v>
      </c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</row>
    <row r="17" spans="1:21" ht="20.25" customHeight="1">
      <c r="A17" s="138" t="s">
        <v>7</v>
      </c>
      <c r="B17" s="138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</row>
    <row r="18" spans="1:21" ht="20.25" customHeight="1">
      <c r="A18" s="138"/>
      <c r="B18" s="138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</row>
    <row r="19" spans="1:21" ht="20.25" customHeight="1">
      <c r="A19" s="138"/>
      <c r="B19" s="138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</row>
    <row r="20" spans="1:21" ht="20.25" customHeight="1">
      <c r="A20" s="138"/>
      <c r="B20" s="138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</row>
  </sheetData>
  <mergeCells count="34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J10:L11"/>
    <mergeCell ref="A12:F12"/>
    <mergeCell ref="A13:F13"/>
    <mergeCell ref="G13:U13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7:B20"/>
    <mergeCell ref="C17:U20"/>
    <mergeCell ref="A14:F14"/>
    <mergeCell ref="G14:U14"/>
    <mergeCell ref="A15:F15"/>
    <mergeCell ref="G15:U15"/>
    <mergeCell ref="A16:F16"/>
    <mergeCell ref="G16:U1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6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N27" sqref="N27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94"/>
      <c r="B1" s="295"/>
      <c r="C1" s="295"/>
      <c r="D1" s="295"/>
      <c r="E1" s="90" t="s">
        <v>84</v>
      </c>
      <c r="F1" s="288" t="s">
        <v>85</v>
      </c>
      <c r="G1" s="288"/>
      <c r="H1" s="288"/>
      <c r="I1" s="288"/>
      <c r="J1" s="288" t="str">
        <f>'1. 소켓인수검사'!R1</f>
        <v>26.06.29 하나로엔지니어링_강일공조닥트_평창미탄 복합 문화센터</v>
      </c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91"/>
    </row>
    <row r="2" spans="1:27" ht="16.5" customHeight="1">
      <c r="A2" s="296"/>
      <c r="B2" s="201"/>
      <c r="C2" s="201"/>
      <c r="D2" s="201"/>
      <c r="E2" s="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92"/>
    </row>
    <row r="3" spans="1:27" ht="24" customHeight="1" thickBot="1">
      <c r="A3" s="297"/>
      <c r="B3" s="298"/>
      <c r="C3" s="298"/>
      <c r="D3" s="298"/>
      <c r="E3" s="91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3"/>
    </row>
    <row r="4" spans="1:27" ht="8.1" customHeight="1">
      <c r="A4" s="286"/>
      <c r="B4" s="287"/>
      <c r="C4" s="287"/>
      <c r="D4" s="287"/>
      <c r="E4" s="287"/>
      <c r="F4" s="287"/>
      <c r="G4" s="287"/>
      <c r="H4" s="286"/>
      <c r="I4" s="287"/>
      <c r="J4" s="287"/>
      <c r="K4" s="287"/>
      <c r="L4" s="287"/>
      <c r="M4" s="287"/>
      <c r="N4" s="287"/>
      <c r="O4" s="29"/>
      <c r="P4" s="29"/>
      <c r="Q4" s="29"/>
      <c r="S4" s="29"/>
      <c r="U4" s="29"/>
      <c r="W4" s="29"/>
      <c r="Y4" s="29"/>
      <c r="Z4" s="29"/>
      <c r="AA4" s="29"/>
    </row>
    <row r="5" spans="1:27" ht="16.5" customHeight="1">
      <c r="A5" s="299" t="s">
        <v>27</v>
      </c>
      <c r="B5" s="301" t="s">
        <v>32</v>
      </c>
      <c r="C5" s="301" t="s">
        <v>28</v>
      </c>
      <c r="D5" s="301" t="s">
        <v>16</v>
      </c>
      <c r="E5" s="301" t="s">
        <v>43</v>
      </c>
      <c r="F5" s="301" t="s">
        <v>29</v>
      </c>
      <c r="G5" s="301" t="s">
        <v>21</v>
      </c>
      <c r="H5" s="303" t="s">
        <v>37</v>
      </c>
      <c r="I5" s="301" t="s">
        <v>76</v>
      </c>
      <c r="J5" s="301"/>
      <c r="K5" s="301" t="s">
        <v>76</v>
      </c>
      <c r="L5" s="301"/>
      <c r="M5" s="301" t="s">
        <v>3</v>
      </c>
      <c r="N5" s="301"/>
      <c r="O5" s="301" t="s">
        <v>3</v>
      </c>
      <c r="P5" s="301"/>
      <c r="Q5" s="282" t="s">
        <v>75</v>
      </c>
      <c r="R5" s="282"/>
      <c r="S5" s="282" t="s">
        <v>58</v>
      </c>
      <c r="T5" s="282"/>
      <c r="U5" s="282" t="s">
        <v>57</v>
      </c>
      <c r="V5" s="282"/>
      <c r="W5" s="282" t="s">
        <v>74</v>
      </c>
      <c r="X5" s="282"/>
      <c r="Y5" s="280" t="s">
        <v>40</v>
      </c>
      <c r="Z5" s="280" t="s">
        <v>22</v>
      </c>
      <c r="AA5" s="305" t="s">
        <v>44</v>
      </c>
    </row>
    <row r="6" spans="1:27" ht="26.45" customHeight="1">
      <c r="A6" s="300"/>
      <c r="B6" s="302"/>
      <c r="C6" s="302"/>
      <c r="D6" s="302"/>
      <c r="E6" s="302"/>
      <c r="F6" s="302"/>
      <c r="G6" s="302"/>
      <c r="H6" s="304"/>
      <c r="I6" s="52" t="s">
        <v>15</v>
      </c>
      <c r="J6" s="53" t="s">
        <v>2</v>
      </c>
      <c r="K6" s="52" t="s">
        <v>60</v>
      </c>
      <c r="L6" s="53" t="s">
        <v>2</v>
      </c>
      <c r="M6" s="52" t="s">
        <v>78</v>
      </c>
      <c r="N6" s="53" t="s">
        <v>2</v>
      </c>
      <c r="O6" s="52" t="s">
        <v>49</v>
      </c>
      <c r="P6" s="53" t="s">
        <v>2</v>
      </c>
      <c r="Q6" s="52" t="s">
        <v>17</v>
      </c>
      <c r="R6" s="53" t="s">
        <v>30</v>
      </c>
      <c r="S6" s="52" t="s">
        <v>17</v>
      </c>
      <c r="T6" s="53" t="s">
        <v>30</v>
      </c>
      <c r="U6" s="52" t="s">
        <v>17</v>
      </c>
      <c r="V6" s="53" t="s">
        <v>30</v>
      </c>
      <c r="W6" s="52" t="s">
        <v>17</v>
      </c>
      <c r="X6" s="53" t="s">
        <v>30</v>
      </c>
      <c r="Y6" s="281"/>
      <c r="Z6" s="281"/>
      <c r="AA6" s="306"/>
    </row>
    <row r="7" spans="1:27">
      <c r="A7" s="54" t="str">
        <f>'1. 소켓인수검사'!A9</f>
        <v>01</v>
      </c>
      <c r="B7" s="55" t="str">
        <f>'1. 소켓인수검사'!B9</f>
        <v>HTG-064</v>
      </c>
      <c r="C7" s="39">
        <f>'1. 소켓인수검사'!C9</f>
        <v>600</v>
      </c>
      <c r="D7" s="39">
        <f>'1. 소켓인수검사'!D9</f>
        <v>400</v>
      </c>
      <c r="E7" s="41"/>
      <c r="F7" s="56">
        <f>C7*D7/1000000</f>
        <v>0.24</v>
      </c>
      <c r="G7" s="56">
        <f>(C7+D7)*2/1000</f>
        <v>2</v>
      </c>
      <c r="H7" s="57">
        <v>1</v>
      </c>
      <c r="I7" s="52">
        <f>(G7+0.4)</f>
        <v>2.4</v>
      </c>
      <c r="J7" s="53">
        <v>1</v>
      </c>
      <c r="K7" s="58"/>
      <c r="L7" s="58"/>
      <c r="M7" s="58"/>
      <c r="N7" s="58"/>
      <c r="O7" s="52">
        <f>G7+0.5</f>
        <v>2.5</v>
      </c>
      <c r="P7" s="53">
        <f>1</f>
        <v>1</v>
      </c>
      <c r="Q7" s="110">
        <f>'2.1 재단(1.69,064)'!Z8</f>
        <v>3</v>
      </c>
      <c r="R7" s="53">
        <f>Q7</f>
        <v>3</v>
      </c>
      <c r="S7" s="110">
        <f>'2.1 재단(1.69,064)'!Z8</f>
        <v>3</v>
      </c>
      <c r="T7" s="53">
        <f>S7</f>
        <v>3</v>
      </c>
      <c r="U7" s="110">
        <f>'2.1 재단(1.69,064)'!T8/2</f>
        <v>3</v>
      </c>
      <c r="V7" s="53">
        <f>U7</f>
        <v>3</v>
      </c>
      <c r="W7" s="110">
        <f>'2.1 재단(1.69,064)'!T8/2</f>
        <v>3</v>
      </c>
      <c r="X7" s="53">
        <f>W7</f>
        <v>3</v>
      </c>
      <c r="Y7" s="59" t="s">
        <v>62</v>
      </c>
      <c r="Z7" s="60" t="s">
        <v>87</v>
      </c>
      <c r="AA7" s="61">
        <f>'1. 소켓인수검사'!G9</f>
        <v>0</v>
      </c>
    </row>
    <row r="8" spans="1:27">
      <c r="A8" s="54" t="str">
        <f>'1. 소켓인수검사'!A10</f>
        <v>02</v>
      </c>
      <c r="B8" s="55" t="str">
        <f>'1. 소켓인수검사'!B10</f>
        <v>HTG-064</v>
      </c>
      <c r="C8" s="39">
        <f>'1. 소켓인수검사'!C10</f>
        <v>650</v>
      </c>
      <c r="D8" s="39">
        <f>'1. 소켓인수검사'!D10</f>
        <v>400</v>
      </c>
      <c r="E8" s="41"/>
      <c r="F8" s="56">
        <f t="shared" ref="F8" si="0">C8*D8/1000000</f>
        <v>0.26</v>
      </c>
      <c r="G8" s="56">
        <f t="shared" ref="G8" si="1">(C8+D8)*2/1000</f>
        <v>2.1</v>
      </c>
      <c r="H8" s="57">
        <v>1</v>
      </c>
      <c r="I8" s="52">
        <f>(G8+0.4)</f>
        <v>2.5</v>
      </c>
      <c r="J8" s="53">
        <v>1</v>
      </c>
      <c r="K8" s="58"/>
      <c r="L8" s="58"/>
      <c r="M8" s="58"/>
      <c r="N8" s="58"/>
      <c r="O8" s="52">
        <f t="shared" ref="O8" si="2">I8+0.5</f>
        <v>3</v>
      </c>
      <c r="P8" s="53">
        <f>1</f>
        <v>1</v>
      </c>
      <c r="Q8" s="110">
        <f>'2.1 재단(1.69,064)'!Z9</f>
        <v>3</v>
      </c>
      <c r="R8" s="53">
        <f>Q8</f>
        <v>3</v>
      </c>
      <c r="S8" s="110">
        <f>'2.1 재단(1.69,064)'!Z9</f>
        <v>3</v>
      </c>
      <c r="T8" s="53">
        <f>S8</f>
        <v>3</v>
      </c>
      <c r="U8" s="110">
        <f>'2.1 재단(1.69,064)'!T9/2</f>
        <v>3</v>
      </c>
      <c r="V8" s="53">
        <f>U8</f>
        <v>3</v>
      </c>
      <c r="W8" s="110">
        <f>'2.1 재단(1.69,064)'!T9/2</f>
        <v>3</v>
      </c>
      <c r="X8" s="53">
        <f>W8</f>
        <v>3</v>
      </c>
      <c r="Y8" s="59" t="s">
        <v>62</v>
      </c>
      <c r="Z8" s="60" t="s">
        <v>87</v>
      </c>
      <c r="AA8" s="61">
        <f>'1. 소켓인수검사'!G10</f>
        <v>0</v>
      </c>
    </row>
    <row r="9" spans="1:27">
      <c r="A9" s="307" t="s">
        <v>18</v>
      </c>
      <c r="B9" s="308"/>
      <c r="C9" s="308"/>
      <c r="D9" s="62"/>
      <c r="E9" s="63"/>
      <c r="F9" s="63"/>
      <c r="G9" s="63"/>
      <c r="H9" s="93">
        <f>SUM(H7:H8)</f>
        <v>2</v>
      </c>
      <c r="I9" s="62"/>
      <c r="J9" s="93">
        <f>SUM(J7:J8)</f>
        <v>2</v>
      </c>
      <c r="K9" s="62"/>
      <c r="L9" s="93">
        <f>SUM(L7:L8)</f>
        <v>0</v>
      </c>
      <c r="M9" s="64"/>
      <c r="N9" s="93">
        <f>SUM(N7:N8)</f>
        <v>0</v>
      </c>
      <c r="O9" s="64"/>
      <c r="P9" s="93">
        <f>SUM(P7:P8)</f>
        <v>2</v>
      </c>
      <c r="Q9" s="64"/>
      <c r="R9" s="93">
        <f>SUM(R7:R8)</f>
        <v>6</v>
      </c>
      <c r="S9" s="64"/>
      <c r="T9" s="93">
        <f>SUM(T7:T8)</f>
        <v>6</v>
      </c>
      <c r="U9" s="64"/>
      <c r="V9" s="93">
        <f>SUM(V7:V8)</f>
        <v>6</v>
      </c>
      <c r="W9" s="64"/>
      <c r="X9" s="93">
        <f>SUM(X7:X8)</f>
        <v>6</v>
      </c>
      <c r="Y9" s="40"/>
      <c r="Z9" s="40"/>
      <c r="AA9" s="65"/>
    </row>
    <row r="10" spans="1:27" ht="8.1" customHeight="1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30"/>
      <c r="P10" s="30"/>
      <c r="Q10" s="30"/>
      <c r="S10" s="30"/>
      <c r="U10" s="30"/>
      <c r="W10" s="30"/>
    </row>
    <row r="11" spans="1:27" ht="16.5" hidden="1" customHeight="1">
      <c r="A11" s="261" t="s">
        <v>7</v>
      </c>
      <c r="B11" s="261"/>
      <c r="C11" s="261"/>
      <c r="D11" s="283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</row>
    <row r="12" spans="1:27" ht="16.5" hidden="1" customHeight="1">
      <c r="A12" s="261"/>
      <c r="B12" s="261"/>
      <c r="C12" s="261"/>
      <c r="D12" s="285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</row>
    <row r="13" spans="1:27" ht="16.5" hidden="1" customHeight="1">
      <c r="A13" s="261"/>
      <c r="B13" s="261"/>
      <c r="C13" s="261"/>
      <c r="D13" s="285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</row>
    <row r="14" spans="1:27" ht="16.5" hidden="1" customHeight="1">
      <c r="A14" s="261"/>
      <c r="B14" s="261"/>
      <c r="C14" s="261"/>
      <c r="D14" s="285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</row>
    <row r="15" spans="1:27" ht="16.5" hidden="1" customHeight="1">
      <c r="A15" s="261"/>
      <c r="B15" s="261"/>
      <c r="C15" s="261"/>
      <c r="D15" s="285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</row>
    <row r="16" spans="1:27" ht="16.5" hidden="1" customHeight="1">
      <c r="A16" s="261"/>
      <c r="B16" s="261"/>
      <c r="C16" s="261"/>
      <c r="D16" s="286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</row>
  </sheetData>
  <mergeCells count="27">
    <mergeCell ref="I5:J5"/>
    <mergeCell ref="K5:L5"/>
    <mergeCell ref="M5:N5"/>
    <mergeCell ref="O5:P5"/>
    <mergeCell ref="A9:C9"/>
    <mergeCell ref="A10:N10"/>
    <mergeCell ref="A11:C16"/>
    <mergeCell ref="D11:X16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2026-06-30T10:18:30Z</cp:lastPrinted>
  <dcterms:created xsi:type="dcterms:W3CDTF">2025-03-13T00:09:10Z</dcterms:created>
  <dcterms:modified xsi:type="dcterms:W3CDTF">2026-06-30T10:18:51Z</dcterms:modified>
  <cp:version>1200.0100.01</cp:version>
</cp:coreProperties>
</file>