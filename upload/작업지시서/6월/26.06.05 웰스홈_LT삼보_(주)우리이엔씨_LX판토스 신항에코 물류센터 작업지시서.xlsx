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D\Desktop\"/>
    </mc:Choice>
  </mc:AlternateContent>
  <xr:revisionPtr revIDLastSave="0" documentId="13_ncr:1_{D3C07A51-5A30-4E8E-A12C-51D31DFF266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1. 소켓인수검사" sheetId="1" r:id="rId1"/>
    <sheet name="2.재단(VM)작업" sheetId="12" r:id="rId2"/>
    <sheet name="2.1 재단작업(VT)" sheetId="3" r:id="rId3"/>
    <sheet name="차열재 재단(VM,VT)" sheetId="2" r:id="rId4"/>
    <sheet name="3. 1절곡(VM)" sheetId="5" r:id="rId5"/>
    <sheet name="3.2 절곡(VT)" sheetId="6" r:id="rId6"/>
    <sheet name="3.3 절곡(VT-보강대)" sheetId="7" r:id="rId7"/>
    <sheet name="5. 차열재 출하용(VM,VT,VAG)" sheetId="9" r:id="rId8"/>
    <sheet name="6. 라벨소요량" sheetId="10" r:id="rId9"/>
  </sheets>
  <definedNames>
    <definedName name="_xlnm.Print_Area" localSheetId="0">'1. 소켓인수검사'!$A$1:$P$22</definedName>
    <definedName name="_xlnm.Print_Titles" localSheetId="0">'1. 소켓인수검사'!$6:$8</definedName>
    <definedName name="_xlnm.Print_Titles" localSheetId="2">'2.1 재단작업(VT)'!$5:$7</definedName>
    <definedName name="_xlnm.Print_Titles" localSheetId="1">'2.재단(VM)작업'!$5:$7</definedName>
    <definedName name="_xlnm.Print_Titles" localSheetId="4">'3. 1절곡(VM)'!$1:$6</definedName>
    <definedName name="_xlnm.Print_Titles" localSheetId="5">'3.2 절곡(VT)'!$1:$6</definedName>
    <definedName name="_xlnm.Print_Titles" localSheetId="6">'3.3 절곡(VT-보강대)'!$1:$6</definedName>
    <definedName name="_xlnm.Print_Titles" localSheetId="7">'5. 차열재 출하용(VM,VT,VAG)'!$8:$9</definedName>
    <definedName name="_xlnm.Print_Titles" localSheetId="8">'6. 라벨소요량'!$5:$6</definedName>
    <definedName name="_xlnm.Print_Titles" localSheetId="3">'차열재 재단(VM,VT)'!$5:$7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" i="12" l="1"/>
  <c r="D20" i="12"/>
  <c r="C20" i="12"/>
  <c r="D19" i="12"/>
  <c r="M19" i="12" s="1"/>
  <c r="C19" i="12"/>
  <c r="D18" i="12"/>
  <c r="M18" i="12" s="1"/>
  <c r="C18" i="12"/>
  <c r="D17" i="12"/>
  <c r="C17" i="12"/>
  <c r="D16" i="12"/>
  <c r="C16" i="12"/>
  <c r="D15" i="12"/>
  <c r="C15" i="12"/>
  <c r="K15" i="12" s="1"/>
  <c r="D14" i="12"/>
  <c r="C14" i="12"/>
  <c r="G14" i="12" s="1"/>
  <c r="D13" i="12"/>
  <c r="I13" i="12" s="1"/>
  <c r="C13" i="12"/>
  <c r="G13" i="12" s="1"/>
  <c r="D12" i="12"/>
  <c r="C12" i="12"/>
  <c r="D11" i="12"/>
  <c r="C11" i="12"/>
  <c r="G11" i="12" s="1"/>
  <c r="D10" i="12"/>
  <c r="C10" i="12"/>
  <c r="G10" i="12" s="1"/>
  <c r="D9" i="12"/>
  <c r="M9" i="12" s="1"/>
  <c r="C9" i="12"/>
  <c r="D8" i="12"/>
  <c r="M8" i="12" s="1"/>
  <c r="C8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J20" i="12"/>
  <c r="H20" i="12"/>
  <c r="J19" i="12"/>
  <c r="H19" i="12"/>
  <c r="J18" i="12"/>
  <c r="H18" i="12"/>
  <c r="M17" i="12"/>
  <c r="J17" i="12"/>
  <c r="I17" i="12"/>
  <c r="H17" i="12"/>
  <c r="J16" i="12"/>
  <c r="H16" i="12"/>
  <c r="J15" i="12"/>
  <c r="H15" i="12"/>
  <c r="M15" i="12"/>
  <c r="J14" i="12"/>
  <c r="H14" i="12"/>
  <c r="J13" i="12"/>
  <c r="H13" i="12"/>
  <c r="K13" i="12"/>
  <c r="J12" i="12"/>
  <c r="H12" i="12"/>
  <c r="M11" i="12"/>
  <c r="K11" i="12"/>
  <c r="J11" i="12"/>
  <c r="H11" i="12"/>
  <c r="I11" i="12"/>
  <c r="J10" i="12"/>
  <c r="H10" i="12"/>
  <c r="J9" i="12"/>
  <c r="H9" i="12"/>
  <c r="J8" i="12"/>
  <c r="H8" i="12"/>
  <c r="G1" i="2"/>
  <c r="D21" i="2"/>
  <c r="I21" i="2" s="1"/>
  <c r="C21" i="2"/>
  <c r="G21" i="2" s="1"/>
  <c r="D20" i="2"/>
  <c r="C20" i="2"/>
  <c r="G20" i="2" s="1"/>
  <c r="D19" i="2"/>
  <c r="I19" i="2" s="1"/>
  <c r="C19" i="2"/>
  <c r="D18" i="2"/>
  <c r="C18" i="2"/>
  <c r="D17" i="2"/>
  <c r="I17" i="2" s="1"/>
  <c r="C17" i="2"/>
  <c r="D16" i="2"/>
  <c r="C16" i="2"/>
  <c r="D15" i="2"/>
  <c r="I15" i="2" s="1"/>
  <c r="C15" i="2"/>
  <c r="D14" i="2"/>
  <c r="C14" i="2"/>
  <c r="G14" i="2" s="1"/>
  <c r="D13" i="2"/>
  <c r="I13" i="2" s="1"/>
  <c r="C13" i="2"/>
  <c r="D12" i="2"/>
  <c r="C12" i="2"/>
  <c r="D11" i="2"/>
  <c r="I11" i="2" s="1"/>
  <c r="C11" i="2"/>
  <c r="D10" i="2"/>
  <c r="C10" i="2"/>
  <c r="A21" i="2"/>
  <c r="C8" i="3"/>
  <c r="G8" i="3" s="1"/>
  <c r="K1" i="10"/>
  <c r="P5" i="9"/>
  <c r="O5" i="7"/>
  <c r="N5" i="6"/>
  <c r="N5" i="5"/>
  <c r="H1" i="3"/>
  <c r="D1" i="1"/>
  <c r="P21" i="10"/>
  <c r="H21" i="10"/>
  <c r="U20" i="10"/>
  <c r="D20" i="10"/>
  <c r="C20" i="10"/>
  <c r="A20" i="10"/>
  <c r="U19" i="10"/>
  <c r="D19" i="10"/>
  <c r="C19" i="10"/>
  <c r="A19" i="10"/>
  <c r="U18" i="10"/>
  <c r="D18" i="10"/>
  <c r="C18" i="10"/>
  <c r="A18" i="10"/>
  <c r="U17" i="10"/>
  <c r="D17" i="10"/>
  <c r="C17" i="10"/>
  <c r="A17" i="10"/>
  <c r="U16" i="10"/>
  <c r="D16" i="10"/>
  <c r="C16" i="10"/>
  <c r="A16" i="10"/>
  <c r="U15" i="10"/>
  <c r="D15" i="10"/>
  <c r="C15" i="10"/>
  <c r="A15" i="10"/>
  <c r="U14" i="10"/>
  <c r="D14" i="10"/>
  <c r="C14" i="10"/>
  <c r="A14" i="10"/>
  <c r="U13" i="10"/>
  <c r="D13" i="10"/>
  <c r="C13" i="10"/>
  <c r="A13" i="10"/>
  <c r="U12" i="10"/>
  <c r="D12" i="10"/>
  <c r="C12" i="10"/>
  <c r="A12" i="10"/>
  <c r="U11" i="10"/>
  <c r="D11" i="10"/>
  <c r="C11" i="10"/>
  <c r="A11" i="10"/>
  <c r="U10" i="10"/>
  <c r="D10" i="10"/>
  <c r="C10" i="10"/>
  <c r="A10" i="10"/>
  <c r="U9" i="10"/>
  <c r="D9" i="10"/>
  <c r="C9" i="10"/>
  <c r="A9" i="10"/>
  <c r="U8" i="10"/>
  <c r="D8" i="10"/>
  <c r="C8" i="10"/>
  <c r="A8" i="10"/>
  <c r="U7" i="10"/>
  <c r="D7" i="10"/>
  <c r="C7" i="10"/>
  <c r="A7" i="10"/>
  <c r="C23" i="9"/>
  <c r="B23" i="9"/>
  <c r="A23" i="9"/>
  <c r="C22" i="9"/>
  <c r="B22" i="9"/>
  <c r="A22" i="9"/>
  <c r="C21" i="9"/>
  <c r="B21" i="9"/>
  <c r="A21" i="9"/>
  <c r="C20" i="9"/>
  <c r="B20" i="9"/>
  <c r="A20" i="9"/>
  <c r="C19" i="9"/>
  <c r="B19" i="9"/>
  <c r="A19" i="9"/>
  <c r="C18" i="9"/>
  <c r="B18" i="9"/>
  <c r="A18" i="9"/>
  <c r="C17" i="9"/>
  <c r="B17" i="9"/>
  <c r="A17" i="9"/>
  <c r="C16" i="9"/>
  <c r="B16" i="9"/>
  <c r="A16" i="9"/>
  <c r="C15" i="9"/>
  <c r="B15" i="9"/>
  <c r="A15" i="9"/>
  <c r="C14" i="9"/>
  <c r="B14" i="9"/>
  <c r="A14" i="9"/>
  <c r="C13" i="9"/>
  <c r="B13" i="9"/>
  <c r="A13" i="9"/>
  <c r="C12" i="9"/>
  <c r="B12" i="9"/>
  <c r="A12" i="9"/>
  <c r="C11" i="9"/>
  <c r="B11" i="9"/>
  <c r="A11" i="9"/>
  <c r="C10" i="9"/>
  <c r="B10" i="9"/>
  <c r="A10" i="9"/>
  <c r="O11" i="7"/>
  <c r="K11" i="7"/>
  <c r="I11" i="7"/>
  <c r="G11" i="7"/>
  <c r="C11" i="7"/>
  <c r="L11" i="7" s="1"/>
  <c r="B11" i="7"/>
  <c r="H11" i="7" s="1"/>
  <c r="A11" i="7"/>
  <c r="N11" i="6"/>
  <c r="I11" i="6"/>
  <c r="C11" i="6"/>
  <c r="K11" i="6" s="1"/>
  <c r="B11" i="6"/>
  <c r="H11" i="6" s="1"/>
  <c r="A11" i="6"/>
  <c r="N23" i="5"/>
  <c r="I23" i="5"/>
  <c r="C23" i="5"/>
  <c r="K23" i="5" s="1"/>
  <c r="B23" i="5"/>
  <c r="H23" i="5" s="1"/>
  <c r="A23" i="5"/>
  <c r="N22" i="5"/>
  <c r="I22" i="5"/>
  <c r="C22" i="5"/>
  <c r="K22" i="5" s="1"/>
  <c r="B22" i="5"/>
  <c r="H22" i="5" s="1"/>
  <c r="A22" i="5"/>
  <c r="N21" i="5"/>
  <c r="I21" i="5"/>
  <c r="C21" i="5"/>
  <c r="K21" i="5" s="1"/>
  <c r="B21" i="5"/>
  <c r="H21" i="5" s="1"/>
  <c r="A21" i="5"/>
  <c r="N20" i="5"/>
  <c r="I20" i="5"/>
  <c r="C20" i="5"/>
  <c r="K20" i="5" s="1"/>
  <c r="B20" i="5"/>
  <c r="H20" i="5" s="1"/>
  <c r="A20" i="5"/>
  <c r="N19" i="5"/>
  <c r="I19" i="5"/>
  <c r="C19" i="5"/>
  <c r="K19" i="5" s="1"/>
  <c r="B19" i="5"/>
  <c r="H19" i="5" s="1"/>
  <c r="A19" i="5"/>
  <c r="N18" i="5"/>
  <c r="I18" i="5"/>
  <c r="C18" i="5"/>
  <c r="K18" i="5" s="1"/>
  <c r="B18" i="5"/>
  <c r="H18" i="5" s="1"/>
  <c r="A18" i="5"/>
  <c r="N17" i="5"/>
  <c r="I17" i="5"/>
  <c r="C17" i="5"/>
  <c r="K17" i="5" s="1"/>
  <c r="B17" i="5"/>
  <c r="H17" i="5" s="1"/>
  <c r="A17" i="5"/>
  <c r="N16" i="5"/>
  <c r="I16" i="5"/>
  <c r="C16" i="5"/>
  <c r="K16" i="5" s="1"/>
  <c r="B16" i="5"/>
  <c r="H16" i="5" s="1"/>
  <c r="A16" i="5"/>
  <c r="N15" i="5"/>
  <c r="I15" i="5"/>
  <c r="C15" i="5"/>
  <c r="K15" i="5" s="1"/>
  <c r="B15" i="5"/>
  <c r="H15" i="5" s="1"/>
  <c r="A15" i="5"/>
  <c r="N14" i="5"/>
  <c r="I14" i="5"/>
  <c r="C14" i="5"/>
  <c r="K14" i="5" s="1"/>
  <c r="B14" i="5"/>
  <c r="H14" i="5" s="1"/>
  <c r="A14" i="5"/>
  <c r="N13" i="5"/>
  <c r="I13" i="5"/>
  <c r="C13" i="5"/>
  <c r="K13" i="5" s="1"/>
  <c r="B13" i="5"/>
  <c r="H13" i="5" s="1"/>
  <c r="A13" i="5"/>
  <c r="N12" i="5"/>
  <c r="I12" i="5"/>
  <c r="C12" i="5"/>
  <c r="K12" i="5" s="1"/>
  <c r="B12" i="5"/>
  <c r="H12" i="5" s="1"/>
  <c r="A12" i="5"/>
  <c r="N11" i="5"/>
  <c r="I11" i="5"/>
  <c r="C11" i="5"/>
  <c r="K11" i="5" s="1"/>
  <c r="B11" i="5"/>
  <c r="H11" i="5" s="1"/>
  <c r="A11" i="5"/>
  <c r="N9" i="3"/>
  <c r="L9" i="3"/>
  <c r="J8" i="3"/>
  <c r="H8" i="3"/>
  <c r="D8" i="3"/>
  <c r="A8" i="3"/>
  <c r="I20" i="2"/>
  <c r="A20" i="2"/>
  <c r="A19" i="2"/>
  <c r="A18" i="2"/>
  <c r="A17" i="2"/>
  <c r="I16" i="2"/>
  <c r="A16" i="2"/>
  <c r="A15" i="2"/>
  <c r="A14" i="2"/>
  <c r="A13" i="2"/>
  <c r="I12" i="2"/>
  <c r="A12" i="2"/>
  <c r="A11" i="2"/>
  <c r="A10" i="2"/>
  <c r="D9" i="2"/>
  <c r="I9" i="2" s="1"/>
  <c r="C9" i="2"/>
  <c r="A9" i="2"/>
  <c r="D8" i="2"/>
  <c r="I8" i="2" s="1"/>
  <c r="C8" i="2"/>
  <c r="G8" i="2" s="1"/>
  <c r="A8" i="2"/>
  <c r="F18" i="9" l="1"/>
  <c r="G18" i="9" s="1"/>
  <c r="I18" i="9" s="1"/>
  <c r="F22" i="9"/>
  <c r="G22" i="9" s="1"/>
  <c r="I22" i="9" s="1"/>
  <c r="M10" i="12"/>
  <c r="I10" i="12"/>
  <c r="G9" i="12"/>
  <c r="K9" i="12"/>
  <c r="G17" i="12"/>
  <c r="K17" i="12"/>
  <c r="K19" i="12"/>
  <c r="G19" i="12"/>
  <c r="I14" i="12"/>
  <c r="M14" i="12"/>
  <c r="M12" i="12"/>
  <c r="I12" i="12"/>
  <c r="I16" i="12"/>
  <c r="M16" i="12"/>
  <c r="M20" i="12"/>
  <c r="I20" i="12"/>
  <c r="G15" i="12"/>
  <c r="K18" i="12"/>
  <c r="G18" i="12"/>
  <c r="Q9" i="10"/>
  <c r="R9" i="10" s="1"/>
  <c r="Q15" i="10"/>
  <c r="R15" i="10" s="1"/>
  <c r="G19" i="10"/>
  <c r="I19" i="10" s="1"/>
  <c r="K10" i="12"/>
  <c r="K14" i="12"/>
  <c r="M13" i="12"/>
  <c r="I19" i="12"/>
  <c r="K16" i="12"/>
  <c r="G16" i="12"/>
  <c r="I9" i="12"/>
  <c r="K8" i="12"/>
  <c r="G8" i="12"/>
  <c r="I15" i="12"/>
  <c r="I18" i="12"/>
  <c r="K12" i="12"/>
  <c r="G12" i="12"/>
  <c r="I8" i="12"/>
  <c r="K20" i="12"/>
  <c r="G20" i="12"/>
  <c r="J9" i="3"/>
  <c r="H9" i="3"/>
  <c r="I14" i="2"/>
  <c r="G13" i="2"/>
  <c r="G13" i="10"/>
  <c r="I13" i="10" s="1"/>
  <c r="G9" i="2"/>
  <c r="K8" i="3"/>
  <c r="Q17" i="10"/>
  <c r="R17" i="10" s="1"/>
  <c r="Q7" i="10"/>
  <c r="R7" i="10" s="1"/>
  <c r="F14" i="9"/>
  <c r="G14" i="9" s="1"/>
  <c r="I14" i="9" s="1"/>
  <c r="E21" i="9"/>
  <c r="G17" i="2"/>
  <c r="I8" i="3"/>
  <c r="M8" i="3"/>
  <c r="I10" i="2"/>
  <c r="G16" i="2"/>
  <c r="I18" i="2"/>
  <c r="G19" i="2"/>
  <c r="G11" i="2"/>
  <c r="G18" i="2"/>
  <c r="G12" i="2"/>
  <c r="G10" i="2"/>
  <c r="F17" i="9"/>
  <c r="G17" i="9" s="1"/>
  <c r="I17" i="9" s="1"/>
  <c r="F13" i="9"/>
  <c r="G13" i="9" s="1"/>
  <c r="I13" i="9" s="1"/>
  <c r="G11" i="10"/>
  <c r="I11" i="10" s="1"/>
  <c r="Q13" i="10"/>
  <c r="R13" i="10" s="1"/>
  <c r="E23" i="9"/>
  <c r="F23" i="9"/>
  <c r="P23" i="9" s="1"/>
  <c r="R23" i="9" s="1"/>
  <c r="G17" i="10"/>
  <c r="I17" i="10" s="1"/>
  <c r="G9" i="10"/>
  <c r="I9" i="10" s="1"/>
  <c r="G7" i="10"/>
  <c r="I7" i="10" s="1"/>
  <c r="Q11" i="10"/>
  <c r="R11" i="10" s="1"/>
  <c r="G15" i="10"/>
  <c r="I15" i="10" s="1"/>
  <c r="Q19" i="10"/>
  <c r="R19" i="10" s="1"/>
  <c r="N21" i="10"/>
  <c r="E17" i="9"/>
  <c r="E20" i="9"/>
  <c r="F21" i="9"/>
  <c r="G21" i="9" s="1"/>
  <c r="I21" i="9" s="1"/>
  <c r="E22" i="9"/>
  <c r="E13" i="9"/>
  <c r="E16" i="9"/>
  <c r="E18" i="9"/>
  <c r="F10" i="9"/>
  <c r="G10" i="9" s="1"/>
  <c r="I10" i="9" s="1"/>
  <c r="E12" i="9"/>
  <c r="E14" i="9"/>
  <c r="E15" i="9"/>
  <c r="F15" i="9"/>
  <c r="G15" i="9" s="1"/>
  <c r="I15" i="9" s="1"/>
  <c r="E11" i="9"/>
  <c r="F11" i="9"/>
  <c r="G11" i="9" s="1"/>
  <c r="I11" i="9" s="1"/>
  <c r="G15" i="2"/>
  <c r="E19" i="9"/>
  <c r="F19" i="9"/>
  <c r="G19" i="9" s="1"/>
  <c r="I19" i="9" s="1"/>
  <c r="F12" i="9"/>
  <c r="G12" i="9" s="1"/>
  <c r="I12" i="9" s="1"/>
  <c r="F16" i="9"/>
  <c r="G16" i="9" s="1"/>
  <c r="I16" i="9" s="1"/>
  <c r="F20" i="9"/>
  <c r="G20" i="9" s="1"/>
  <c r="I20" i="9" s="1"/>
  <c r="E10" i="9"/>
  <c r="G23" i="9"/>
  <c r="I23" i="9" s="1"/>
  <c r="G8" i="10"/>
  <c r="I8" i="10" s="1"/>
  <c r="Q8" i="10"/>
  <c r="R8" i="10" s="1"/>
  <c r="F8" i="10"/>
  <c r="G10" i="10"/>
  <c r="I10" i="10" s="1"/>
  <c r="Q10" i="10"/>
  <c r="R10" i="10" s="1"/>
  <c r="F10" i="10"/>
  <c r="G12" i="10"/>
  <c r="I12" i="10" s="1"/>
  <c r="Q12" i="10"/>
  <c r="R12" i="10" s="1"/>
  <c r="F12" i="10"/>
  <c r="G14" i="10"/>
  <c r="I14" i="10" s="1"/>
  <c r="Q14" i="10"/>
  <c r="R14" i="10" s="1"/>
  <c r="F14" i="10"/>
  <c r="G16" i="10"/>
  <c r="I16" i="10" s="1"/>
  <c r="Q16" i="10"/>
  <c r="R16" i="10" s="1"/>
  <c r="F16" i="10"/>
  <c r="G18" i="10"/>
  <c r="I18" i="10" s="1"/>
  <c r="Q18" i="10"/>
  <c r="R18" i="10" s="1"/>
  <c r="F18" i="10"/>
  <c r="J21" i="10"/>
  <c r="L21" i="10"/>
  <c r="F7" i="10"/>
  <c r="F9" i="10"/>
  <c r="F11" i="10"/>
  <c r="F13" i="10"/>
  <c r="F15" i="10"/>
  <c r="F17" i="10"/>
  <c r="F19" i="10"/>
  <c r="G20" i="10"/>
  <c r="Q20" i="10"/>
  <c r="R20" i="10" s="1"/>
  <c r="F20" i="10"/>
  <c r="O24" i="9" l="1"/>
  <c r="G27" i="9" s="1"/>
  <c r="I20" i="10"/>
  <c r="O20" i="10"/>
  <c r="R21" i="10"/>
  <c r="Q21" i="10"/>
  <c r="I24" i="9" l="1"/>
  <c r="G25" i="9" s="1"/>
  <c r="R24" i="9"/>
  <c r="G28" i="9" s="1"/>
  <c r="L24" i="9"/>
  <c r="G26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</author>
  </authors>
  <commentList>
    <comment ref="K13" authorId="0" shapeId="0" xr:uid="{00000000-0006-0000-0000-000005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  <comment ref="K15" authorId="0" shapeId="0" xr:uid="{00000000-0006-0000-0000-000006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</commentList>
</comments>
</file>

<file path=xl/sharedStrings.xml><?xml version="1.0" encoding="utf-8"?>
<sst xmlns="http://schemas.openxmlformats.org/spreadsheetml/2006/main" count="365" uniqueCount="112">
  <si>
    <t>차열재</t>
  </si>
  <si>
    <t>No</t>
  </si>
  <si>
    <t>비고</t>
  </si>
  <si>
    <t>합계</t>
  </si>
  <si>
    <t>규격</t>
  </si>
  <si>
    <t>TTL</t>
  </si>
  <si>
    <t>EZ F.B POSMAC Duct-VT-01</t>
  </si>
  <si>
    <t>라벨소요량(행복산업_KEC 구미공장_251128)</t>
  </si>
  <si>
    <t>25*
1400</t>
  </si>
  <si>
    <t>FS-MP25-0310-3</t>
  </si>
  <si>
    <t>*VM 200(1000*1000)기준</t>
  </si>
  <si>
    <t>수량                확인</t>
  </si>
  <si>
    <t>EZ F.B POSMAC Duct-VT-049</t>
  </si>
  <si>
    <t>차열재 50T*400*3.6M</t>
  </si>
  <si>
    <t>글라스울 25T*1400*20M</t>
  </si>
  <si>
    <t>차열재 50T*600*3.6M</t>
  </si>
  <si>
    <t>절 곡 생 산 일 지(VT_보강대)</t>
  </si>
  <si>
    <t>VT-049</t>
  </si>
  <si>
    <t>특이사항 및
   조치사항</t>
  </si>
  <si>
    <t>설비번호</t>
  </si>
  <si>
    <t>설치위치</t>
  </si>
  <si>
    <t>세로(보강대)</t>
  </si>
  <si>
    <t>50*400</t>
  </si>
  <si>
    <t>소켓내부용</t>
  </si>
  <si>
    <t xml:space="preserve">업 체 </t>
  </si>
  <si>
    <t>50*600</t>
  </si>
  <si>
    <t>글라스울</t>
  </si>
  <si>
    <t>소켓 Lot</t>
  </si>
  <si>
    <t>25*200</t>
  </si>
  <si>
    <t>생산일자</t>
  </si>
  <si>
    <t>평철(mm)</t>
  </si>
  <si>
    <t>수량
(EA)</t>
  </si>
  <si>
    <t>생산 종료</t>
  </si>
  <si>
    <t>인정번호</t>
  </si>
  <si>
    <t>수량(EA)</t>
  </si>
  <si>
    <t>생산 시작</t>
  </si>
  <si>
    <t>25*1400</t>
  </si>
  <si>
    <t>소켓외부용</t>
  </si>
  <si>
    <t>50*
400</t>
  </si>
  <si>
    <t>제품
번호</t>
  </si>
  <si>
    <t>50*
600</t>
  </si>
  <si>
    <t>재고여부</t>
  </si>
  <si>
    <t>E257</t>
  </si>
  <si>
    <t>방화
소켓</t>
  </si>
  <si>
    <t>E256</t>
  </si>
  <si>
    <t>E255</t>
  </si>
  <si>
    <t>분할구조</t>
  </si>
  <si>
    <t>FS-MP25-0310-1</t>
  </si>
  <si>
    <t>차열재생산일지(출하용)</t>
  </si>
  <si>
    <t>특이사항 및
 조치사항</t>
  </si>
  <si>
    <t>특이사항 및   조치사항</t>
  </si>
  <si>
    <t>VT-01</t>
  </si>
  <si>
    <t>60mm</t>
  </si>
  <si>
    <t>1.6
이상</t>
  </si>
  <si>
    <t>가로(받침대)</t>
  </si>
  <si>
    <t>플래싱</t>
  </si>
  <si>
    <t>면적</t>
  </si>
  <si>
    <t>산출량</t>
  </si>
  <si>
    <t>소요량</t>
  </si>
  <si>
    <t>수량</t>
  </si>
  <si>
    <t>품명</t>
  </si>
  <si>
    <t>No.</t>
  </si>
  <si>
    <t>폭</t>
  </si>
  <si>
    <t>둘레</t>
  </si>
  <si>
    <t>작업자</t>
  </si>
  <si>
    <t>두께</t>
  </si>
  <si>
    <t>세로</t>
  </si>
  <si>
    <t>좌우</t>
  </si>
  <si>
    <t>가로</t>
  </si>
  <si>
    <t>총량</t>
  </si>
  <si>
    <t>상하</t>
  </si>
  <si>
    <t>구조</t>
  </si>
  <si>
    <t>현장명</t>
    <phoneticPr fontId="30" type="noConversion"/>
  </si>
  <si>
    <t>재단작업지시서
(VT)</t>
    <phoneticPr fontId="30" type="noConversion"/>
  </si>
  <si>
    <t>재단작업지시서(VM)</t>
    <phoneticPr fontId="30" type="noConversion"/>
  </si>
  <si>
    <t>절 곡 생 산 일 지(VM)</t>
    <phoneticPr fontId="30" type="noConversion"/>
  </si>
  <si>
    <t>절 곡 생 산 일 지(VT_브라켓)</t>
    <phoneticPr fontId="30" type="noConversion"/>
  </si>
  <si>
    <t>라벨소요량</t>
    <phoneticPr fontId="30" type="noConversion"/>
  </si>
  <si>
    <t>25*
200</t>
    <phoneticPr fontId="30" type="noConversion"/>
  </si>
  <si>
    <t>구조체작업지시서</t>
    <phoneticPr fontId="30" type="noConversion"/>
  </si>
  <si>
    <t>차열재 25T*200*7.4M</t>
    <phoneticPr fontId="30" type="noConversion"/>
  </si>
  <si>
    <t>01</t>
    <phoneticPr fontId="30" type="noConversion"/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</si>
  <si>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</si>
  <si>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</si>
  <si>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</si>
  <si>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</si>
  <si>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</si>
  <si>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</si>
  <si>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</si>
  <si>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</si>
  <si>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</si>
  <si>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</si>
  <si>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</si>
  <si>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</si>
  <si>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재단작업지시서차열재</t>
    <phoneticPr fontId="30" type="noConversion"/>
  </si>
  <si>
    <t>지하1층</t>
  </si>
  <si>
    <t>14</t>
    <phoneticPr fontId="30" type="noConversion"/>
  </si>
  <si>
    <t>CK001</t>
    <phoneticPr fontId="30" type="noConversion"/>
  </si>
  <si>
    <t>CK002</t>
  </si>
  <si>
    <t>CK003</t>
  </si>
  <si>
    <t>CK004</t>
  </si>
  <si>
    <t>CK005</t>
  </si>
  <si>
    <t>CK006</t>
  </si>
  <si>
    <t>CK007</t>
  </si>
  <si>
    <t>CK008</t>
  </si>
  <si>
    <t>CK009</t>
  </si>
  <si>
    <t>CK010</t>
  </si>
  <si>
    <t>CK011</t>
  </si>
  <si>
    <t>CK012</t>
  </si>
  <si>
    <t>CK013</t>
  </si>
  <si>
    <t>CK014</t>
  </si>
  <si>
    <r>
      <t xml:space="preserve">26.06.05 </t>
    </r>
    <r>
      <rPr>
        <sz val="10"/>
        <color rgb="FF000000"/>
        <rFont val="맑은 고딕"/>
        <family val="3"/>
        <charset val="129"/>
      </rPr>
      <t>웰스홈</t>
    </r>
    <r>
      <rPr>
        <sz val="10"/>
        <color rgb="FF000000"/>
        <rFont val="Arial"/>
        <family val="2"/>
      </rPr>
      <t>_LT</t>
    </r>
    <r>
      <rPr>
        <sz val="10"/>
        <color rgb="FF000000"/>
        <rFont val="맑은 고딕"/>
        <family val="3"/>
        <charset val="129"/>
      </rPr>
      <t>삼보</t>
    </r>
    <r>
      <rPr>
        <sz val="10"/>
        <color rgb="FF000000"/>
        <rFont val="Arial"/>
        <family val="2"/>
      </rPr>
      <t>_(</t>
    </r>
    <r>
      <rPr>
        <sz val="10"/>
        <color rgb="FF000000"/>
        <rFont val="맑은 고딕"/>
        <family val="3"/>
        <charset val="129"/>
      </rPr>
      <t>주</t>
    </r>
    <r>
      <rPr>
        <sz val="10"/>
        <color rgb="FF000000"/>
        <rFont val="Arial"/>
        <family val="2"/>
      </rPr>
      <t>)</t>
    </r>
    <r>
      <rPr>
        <sz val="10"/>
        <color rgb="FF000000"/>
        <rFont val="맑은 고딕"/>
        <family val="3"/>
        <charset val="129"/>
      </rPr>
      <t>우리이엔씨</t>
    </r>
    <r>
      <rPr>
        <sz val="10"/>
        <color rgb="FF000000"/>
        <rFont val="Arial"/>
        <family val="2"/>
      </rPr>
      <t>_LX</t>
    </r>
    <r>
      <rPr>
        <sz val="10"/>
        <color rgb="FF000000"/>
        <rFont val="맑은 고딕"/>
        <family val="3"/>
        <charset val="129"/>
      </rPr>
      <t>판토스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신항에코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물류센터</t>
    </r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</si>
</sst>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1" formatCode="_-* #,##0_-;\-* #,##0_-;_-* &quot;-&quot;_-;_-@_-"/>
    <numFmt numFmtId="176" formatCode="&quot; &quot;* #,##0&quot; &quot;;&quot;-&quot;* #,##0&quot; &quot;;&quot; &quot;* &quot;- &quot;;&quot; &quot;@&quot; &quot;"/>
    <numFmt numFmtId="177" formatCode="0.0"/>
    <numFmt numFmtId="178" formatCode="0_);[Red]\(0\)"/>
  </numFmts>
  <fonts count="38">
    <font>
      <sz val="11"/>
      <color rgb="FF000000"/>
      <name val="맑은 고딕"/>
    </font>
    <font>
      <sz val="10"/>
      <color rgb="FF000000"/>
      <name val="Helvetica Neue"/>
    </font>
    <font>
      <b/>
      <sz val="10"/>
      <color rgb="FF000000"/>
      <name val="Helvetica Neue"/>
    </font>
    <font>
      <sz val="18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2060"/>
      <name val="Helvetica Neue"/>
    </font>
    <font>
      <sz val="10"/>
      <color rgb="FF002060"/>
      <name val="Helvetica Neue"/>
    </font>
    <font>
      <b/>
      <sz val="11"/>
      <color rgb="FF002060"/>
      <name val="Helvetica Neue"/>
    </font>
    <font>
      <b/>
      <sz val="10"/>
      <color rgb="FF002060"/>
      <name val="맑은 고딕"/>
      <family val="3"/>
      <charset val="129"/>
    </font>
    <font>
      <b/>
      <sz val="10"/>
      <color rgb="FF5B9BD5"/>
      <name val="맑은 고딕"/>
      <family val="3"/>
      <charset val="129"/>
    </font>
    <font>
      <b/>
      <sz val="10"/>
      <color rgb="FF44546A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rgb="FF7C7C7C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sz val="11"/>
      <color rgb="FF000000"/>
      <name val="Helvetica Neue"/>
    </font>
    <font>
      <b/>
      <sz val="11"/>
      <color rgb="FF7030A0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b/>
      <sz val="11"/>
      <color rgb="FF4472C4"/>
      <name val="맑은 고딕"/>
      <family val="3"/>
      <charset val="129"/>
    </font>
    <font>
      <b/>
      <sz val="10"/>
      <color rgb="FF002060"/>
      <name val="Helvetica Neue"/>
    </font>
    <font>
      <b/>
      <sz val="11"/>
      <color rgb="FF002060"/>
      <name val="맑은 고딕"/>
      <family val="3"/>
      <charset val="129"/>
    </font>
    <font>
      <sz val="11"/>
      <color rgb="FFED7D31"/>
      <name val="맑은 고딕"/>
      <family val="3"/>
      <charset val="129"/>
    </font>
    <font>
      <sz val="19"/>
      <color rgb="FF000000"/>
      <name val="맑은 고딕"/>
      <family val="3"/>
      <charset val="129"/>
    </font>
    <font>
      <sz val="28"/>
      <color rgb="FF000000"/>
      <name val="맑은 고딕"/>
      <family val="3"/>
      <charset val="129"/>
    </font>
    <font>
      <sz val="18"/>
      <color rgb="FF0070C0"/>
      <name val="맑은 고딕"/>
      <family val="3"/>
      <charset val="129"/>
    </font>
    <font>
      <b/>
      <sz val="9"/>
      <color rgb="FF000000"/>
      <name val="돋움"/>
      <family val="3"/>
      <charset val="129"/>
    </font>
    <font>
      <b/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20"/>
      <color rgb="FF000000"/>
      <name val="Helvetica Neue"/>
      <family val="2"/>
    </font>
    <font>
      <sz val="20"/>
      <color rgb="FF000000"/>
      <name val="Helvetica Neue"/>
    </font>
    <font>
      <b/>
      <sz val="11"/>
      <color rgb="FF000000"/>
      <name val="Helvetica Neue"/>
    </font>
    <font>
      <b/>
      <sz val="11"/>
      <color rgb="FFC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6"/>
      <color rgb="FF000000"/>
      <name val="맑은 고딕"/>
      <family val="3"/>
      <charset val="129"/>
    </font>
    <font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8D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0000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rgb="FFA5A5A5"/>
      </bottom>
      <diagonal/>
    </border>
    <border>
      <left/>
      <right/>
      <top style="thick">
        <color rgb="FFA5A5A5"/>
      </top>
      <bottom/>
      <diagonal/>
    </border>
    <border>
      <left/>
      <right style="thick">
        <color rgb="FFA5A5A5"/>
      </right>
      <top style="thick">
        <color rgb="FFA5A5A5"/>
      </top>
      <bottom/>
      <diagonal/>
    </border>
    <border>
      <left style="thick">
        <color rgb="FFA5A5A5"/>
      </left>
      <right/>
      <top/>
      <bottom/>
      <diagonal/>
    </border>
    <border>
      <left/>
      <right style="thick">
        <color rgb="FFA5A5A5"/>
      </right>
      <top/>
      <bottom/>
      <diagonal/>
    </border>
    <border>
      <left style="thick">
        <color rgb="FFA5A5A5"/>
      </left>
      <right/>
      <top/>
      <bottom style="thick">
        <color rgb="FFA5A5A5"/>
      </bottom>
      <diagonal/>
    </border>
    <border>
      <left/>
      <right style="thick">
        <color rgb="FFA5A5A5"/>
      </right>
      <top/>
      <bottom style="thick">
        <color rgb="FFA5A5A5"/>
      </bottom>
      <diagonal/>
    </border>
  </borders>
  <cellStyleXfs count="4">
    <xf numFmtId="0" fontId="0" fillId="0" borderId="0">
      <alignment vertical="center"/>
    </xf>
    <xf numFmtId="0" fontId="29" fillId="0" borderId="0">
      <alignment vertical="center"/>
    </xf>
    <xf numFmtId="176" fontId="29" fillId="0" borderId="0">
      <alignment vertical="center"/>
    </xf>
    <xf numFmtId="0" fontId="1" fillId="0" borderId="0">
      <alignment vertical="center"/>
    </xf>
  </cellStyleXfs>
  <cellXfs count="31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9" fillId="0" borderId="0" xfId="1">
      <alignment vertical="center"/>
    </xf>
    <xf numFmtId="0" fontId="29" fillId="0" borderId="1" xfId="1" applyBorder="1">
      <alignment vertical="center"/>
    </xf>
    <xf numFmtId="0" fontId="1" fillId="0" borderId="0" xfId="3" applyAlignment="1">
      <alignment vertical="top" wrapText="1"/>
    </xf>
    <xf numFmtId="0" fontId="1" fillId="0" borderId="0" xfId="3">
      <alignment vertical="center"/>
    </xf>
    <xf numFmtId="0" fontId="2" fillId="2" borderId="0" xfId="3" applyFont="1" applyFill="1" applyAlignment="1">
      <alignment vertical="center" wrapText="1"/>
    </xf>
    <xf numFmtId="0" fontId="1" fillId="0" borderId="0" xfId="3" applyAlignment="1">
      <alignment vertical="center" wrapText="1"/>
    </xf>
    <xf numFmtId="0" fontId="2" fillId="2" borderId="0" xfId="3" applyFont="1" applyFill="1" applyAlignment="1">
      <alignment horizontal="center" vertical="center" wrapText="1"/>
    </xf>
    <xf numFmtId="0" fontId="3" fillId="0" borderId="0" xfId="3" applyFont="1" applyAlignment="1">
      <alignment horizontal="left" vertical="center"/>
    </xf>
    <xf numFmtId="0" fontId="2" fillId="0" borderId="0" xfId="3" applyFont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176" fontId="29" fillId="0" borderId="6" xfId="2" applyBorder="1" applyAlignment="1">
      <alignment horizontal="center" vertical="center"/>
    </xf>
    <xf numFmtId="176" fontId="29" fillId="0" borderId="7" xfId="2" applyBorder="1" applyAlignment="1">
      <alignment horizontal="center" vertical="center"/>
    </xf>
    <xf numFmtId="176" fontId="29" fillId="0" borderId="8" xfId="2" applyBorder="1" applyAlignment="1">
      <alignment horizontal="center" vertical="center"/>
    </xf>
    <xf numFmtId="0" fontId="6" fillId="0" borderId="9" xfId="1" applyFont="1" applyBorder="1" applyAlignment="1">
      <alignment horizontal="center" vertical="center" wrapText="1"/>
    </xf>
    <xf numFmtId="0" fontId="6" fillId="0" borderId="10" xfId="1" applyFont="1" applyBorder="1" applyAlignment="1">
      <alignment horizontal="center" vertical="center" wrapText="1"/>
    </xf>
    <xf numFmtId="176" fontId="29" fillId="0" borderId="12" xfId="2" applyBorder="1" applyAlignment="1">
      <alignment horizontal="center" vertical="center"/>
    </xf>
    <xf numFmtId="176" fontId="29" fillId="0" borderId="10" xfId="2" applyBorder="1" applyAlignment="1">
      <alignment horizontal="center" vertical="center"/>
    </xf>
    <xf numFmtId="176" fontId="29" fillId="0" borderId="13" xfId="2" applyBorder="1" applyAlignment="1">
      <alignment horizontal="center" vertical="center"/>
    </xf>
    <xf numFmtId="176" fontId="29" fillId="0" borderId="14" xfId="2" applyBorder="1" applyAlignment="1">
      <alignment horizontal="center" vertical="center"/>
    </xf>
    <xf numFmtId="0" fontId="6" fillId="0" borderId="15" xfId="1" applyFont="1" applyBorder="1" applyAlignment="1">
      <alignment horizontal="center" vertical="center" wrapText="1"/>
    </xf>
    <xf numFmtId="0" fontId="6" fillId="0" borderId="16" xfId="1" applyFont="1" applyBorder="1" applyAlignment="1">
      <alignment horizontal="center" vertical="center" wrapText="1"/>
    </xf>
    <xf numFmtId="0" fontId="29" fillId="0" borderId="17" xfId="1" applyBorder="1" applyAlignment="1">
      <alignment horizontal="center" vertical="center"/>
    </xf>
    <xf numFmtId="0" fontId="6" fillId="0" borderId="18" xfId="1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29" fillId="0" borderId="18" xfId="1" applyBorder="1" applyAlignment="1">
      <alignment horizontal="center" vertical="center" wrapText="1"/>
    </xf>
    <xf numFmtId="0" fontId="7" fillId="0" borderId="18" xfId="3" applyFont="1" applyBorder="1" applyAlignment="1">
      <alignment horizontal="center" vertical="center" wrapText="1"/>
    </xf>
    <xf numFmtId="0" fontId="1" fillId="0" borderId="19" xfId="3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8" fillId="0" borderId="19" xfId="3" applyFont="1" applyBorder="1" applyAlignment="1">
      <alignment horizontal="center" vertical="center" shrinkToFit="1"/>
    </xf>
    <xf numFmtId="0" fontId="1" fillId="0" borderId="19" xfId="3" applyBorder="1" applyAlignment="1">
      <alignment horizontal="center" vertical="center" shrinkToFit="1"/>
    </xf>
    <xf numFmtId="0" fontId="0" fillId="0" borderId="20" xfId="0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9" fillId="0" borderId="18" xfId="3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177" fontId="6" fillId="0" borderId="18" xfId="0" applyNumberFormat="1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shrinkToFit="1"/>
    </xf>
    <xf numFmtId="0" fontId="12" fillId="0" borderId="18" xfId="0" applyFont="1" applyBorder="1" applyAlignment="1">
      <alignment horizontal="center" vertical="center" shrinkToFit="1"/>
    </xf>
    <xf numFmtId="0" fontId="13" fillId="0" borderId="19" xfId="0" applyFont="1" applyBorder="1" applyAlignment="1">
      <alignment horizontal="center" vertical="center" shrinkToFit="1"/>
    </xf>
    <xf numFmtId="0" fontId="10" fillId="5" borderId="18" xfId="0" applyFont="1" applyFill="1" applyBorder="1" applyAlignment="1">
      <alignment horizontal="center" vertical="center" wrapText="1"/>
    </xf>
    <xf numFmtId="0" fontId="14" fillId="5" borderId="18" xfId="0" applyFont="1" applyFill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shrinkToFit="1"/>
    </xf>
    <xf numFmtId="0" fontId="16" fillId="0" borderId="18" xfId="0" applyFont="1" applyBorder="1" applyAlignment="1">
      <alignment horizontal="center" vertical="center" shrinkToFit="1"/>
    </xf>
    <xf numFmtId="0" fontId="5" fillId="0" borderId="20" xfId="0" applyFont="1" applyBorder="1" applyAlignment="1">
      <alignment horizontal="center" vertical="center" wrapText="1"/>
    </xf>
    <xf numFmtId="0" fontId="9" fillId="0" borderId="20" xfId="3" applyFont="1" applyBorder="1" applyAlignment="1">
      <alignment horizontal="center" vertical="center" wrapText="1"/>
    </xf>
    <xf numFmtId="0" fontId="6" fillId="5" borderId="20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9" fillId="0" borderId="15" xfId="3" applyFont="1" applyBorder="1" applyAlignment="1">
      <alignment horizontal="center" vertical="center" wrapText="1"/>
    </xf>
    <xf numFmtId="0" fontId="29" fillId="0" borderId="15" xfId="1" applyBorder="1" applyAlignment="1">
      <alignment horizontal="center" vertical="center" wrapText="1"/>
    </xf>
    <xf numFmtId="0" fontId="2" fillId="2" borderId="16" xfId="3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17" fillId="4" borderId="18" xfId="3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7" fillId="6" borderId="18" xfId="3" applyFont="1" applyFill="1" applyBorder="1" applyAlignment="1">
      <alignment horizontal="center" vertical="center" wrapText="1"/>
    </xf>
    <xf numFmtId="0" fontId="20" fillId="0" borderId="18" xfId="1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5" fillId="0" borderId="20" xfId="1" applyFont="1" applyBorder="1" applyAlignment="1">
      <alignment horizontal="center" vertical="center"/>
    </xf>
    <xf numFmtId="0" fontId="5" fillId="0" borderId="23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 wrapText="1"/>
    </xf>
    <xf numFmtId="0" fontId="29" fillId="0" borderId="16" xfId="1" applyBorder="1" applyAlignment="1">
      <alignment horizontal="center" vertical="center" wrapText="1"/>
    </xf>
    <xf numFmtId="0" fontId="5" fillId="0" borderId="18" xfId="1" applyFont="1" applyBorder="1" applyAlignment="1">
      <alignment horizontal="center" vertical="center" wrapText="1"/>
    </xf>
    <xf numFmtId="0" fontId="29" fillId="0" borderId="15" xfId="1" applyBorder="1" applyAlignment="1">
      <alignment vertical="center" wrapText="1"/>
    </xf>
    <xf numFmtId="0" fontId="21" fillId="0" borderId="15" xfId="3" applyFont="1" applyBorder="1" applyAlignment="1">
      <alignment horizontal="center" vertical="center" wrapText="1"/>
    </xf>
    <xf numFmtId="0" fontId="21" fillId="0" borderId="18" xfId="3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0" fillId="7" borderId="18" xfId="0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3" xfId="0" applyBorder="1">
      <alignment vertical="center"/>
    </xf>
    <xf numFmtId="0" fontId="0" fillId="5" borderId="20" xfId="0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1" fillId="10" borderId="0" xfId="3" applyFill="1">
      <alignment vertical="center"/>
    </xf>
    <xf numFmtId="0" fontId="1" fillId="0" borderId="35" xfId="3" applyBorder="1" applyAlignment="1">
      <alignment vertical="top" wrapText="1"/>
    </xf>
    <xf numFmtId="0" fontId="2" fillId="0" borderId="18" xfId="3" applyFont="1" applyBorder="1" applyAlignment="1">
      <alignment horizontal="center" vertical="center" wrapText="1"/>
    </xf>
    <xf numFmtId="0" fontId="2" fillId="0" borderId="19" xfId="3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4" fillId="4" borderId="18" xfId="1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33" fillId="6" borderId="18" xfId="3" applyFont="1" applyFill="1" applyBorder="1" applyAlignment="1">
      <alignment horizontal="center" vertical="center" wrapText="1"/>
    </xf>
    <xf numFmtId="0" fontId="34" fillId="0" borderId="18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0" xfId="0" applyFont="1" applyBorder="1" applyAlignment="1">
      <alignment vertical="center" wrapText="1"/>
    </xf>
    <xf numFmtId="0" fontId="5" fillId="0" borderId="20" xfId="1" applyFont="1" applyBorder="1">
      <alignment vertical="center"/>
    </xf>
    <xf numFmtId="0" fontId="3" fillId="0" borderId="30" xfId="0" applyFont="1" applyBorder="1">
      <alignment vertical="center"/>
    </xf>
    <xf numFmtId="0" fontId="3" fillId="0" borderId="24" xfId="0" applyFont="1" applyBorder="1">
      <alignment vertical="center"/>
    </xf>
    <xf numFmtId="0" fontId="3" fillId="0" borderId="25" xfId="0" applyFont="1" applyBorder="1">
      <alignment vertical="center"/>
    </xf>
    <xf numFmtId="0" fontId="1" fillId="0" borderId="17" xfId="3" quotePrefix="1" applyBorder="1" applyAlignment="1">
      <alignment horizontal="center" vertical="center" wrapText="1"/>
    </xf>
    <xf numFmtId="178" fontId="20" fillId="0" borderId="18" xfId="1" applyNumberFormat="1" applyFont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  <xf numFmtId="0" fontId="4" fillId="3" borderId="25" xfId="1" applyFont="1" applyFill="1" applyBorder="1" applyAlignment="1">
      <alignment horizontal="center" vertical="center" wrapText="1"/>
    </xf>
    <xf numFmtId="0" fontId="5" fillId="0" borderId="21" xfId="1" applyFont="1" applyBorder="1" applyAlignment="1">
      <alignment horizontal="center" vertical="center"/>
    </xf>
    <xf numFmtId="0" fontId="33" fillId="4" borderId="15" xfId="3" applyFont="1" applyFill="1" applyBorder="1" applyAlignment="1">
      <alignment horizontal="center" vertical="center" wrapText="1"/>
    </xf>
    <xf numFmtId="0" fontId="18" fillId="0" borderId="15" xfId="1" applyFont="1" applyBorder="1" applyAlignment="1">
      <alignment horizontal="center" vertical="center" wrapText="1"/>
    </xf>
    <xf numFmtId="178" fontId="18" fillId="0" borderId="15" xfId="1" applyNumberFormat="1" applyFont="1" applyBorder="1" applyAlignment="1">
      <alignment horizontal="center" vertical="center" wrapText="1"/>
    </xf>
    <xf numFmtId="0" fontId="19" fillId="0" borderId="15" xfId="1" applyFont="1" applyBorder="1" applyAlignment="1">
      <alignment horizontal="center" vertical="center" wrapText="1"/>
    </xf>
    <xf numFmtId="0" fontId="5" fillId="0" borderId="17" xfId="1" applyFont="1" applyBorder="1" applyAlignment="1">
      <alignment horizontal="center" vertical="center"/>
    </xf>
    <xf numFmtId="0" fontId="33" fillId="4" borderId="18" xfId="3" applyFont="1" applyFill="1" applyBorder="1" applyAlignment="1">
      <alignment horizontal="center" vertical="center" wrapText="1"/>
    </xf>
    <xf numFmtId="0" fontId="18" fillId="0" borderId="18" xfId="1" applyFont="1" applyBorder="1" applyAlignment="1">
      <alignment horizontal="center" vertical="center" wrapText="1"/>
    </xf>
    <xf numFmtId="178" fontId="18" fillId="0" borderId="18" xfId="1" applyNumberFormat="1" applyFont="1" applyBorder="1" applyAlignment="1">
      <alignment horizontal="center" vertical="center" wrapText="1"/>
    </xf>
    <xf numFmtId="0" fontId="19" fillId="0" borderId="18" xfId="1" applyFont="1" applyBorder="1" applyAlignment="1">
      <alignment horizontal="center" vertical="center" wrapText="1"/>
    </xf>
    <xf numFmtId="0" fontId="5" fillId="0" borderId="19" xfId="1" applyFont="1" applyBorder="1" applyAlignment="1">
      <alignment horizontal="center" vertical="center" wrapText="1"/>
    </xf>
    <xf numFmtId="177" fontId="6" fillId="5" borderId="18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1" fillId="0" borderId="35" xfId="3" applyFont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0" fontId="31" fillId="0" borderId="0" xfId="3" applyFont="1" applyAlignment="1">
      <alignment horizontal="center" vertical="center" wrapText="1"/>
    </xf>
    <xf numFmtId="0" fontId="31" fillId="0" borderId="39" xfId="3" applyFont="1" applyBorder="1" applyAlignment="1">
      <alignment horizontal="center" vertical="center" wrapText="1"/>
    </xf>
    <xf numFmtId="0" fontId="31" fillId="0" borderId="34" xfId="3" applyFont="1" applyBorder="1" applyAlignment="1">
      <alignment horizontal="center" vertical="center" wrapText="1"/>
    </xf>
    <xf numFmtId="0" fontId="32" fillId="0" borderId="35" xfId="3" applyFont="1" applyBorder="1" applyAlignment="1">
      <alignment horizontal="center" vertical="center" shrinkToFit="1"/>
    </xf>
    <xf numFmtId="0" fontId="32" fillId="0" borderId="36" xfId="3" applyFont="1" applyBorder="1" applyAlignment="1">
      <alignment horizontal="center" vertical="center" shrinkToFit="1"/>
    </xf>
    <xf numFmtId="0" fontId="32" fillId="0" borderId="0" xfId="3" applyFont="1" applyAlignment="1">
      <alignment horizontal="center" vertical="center" shrinkToFit="1"/>
    </xf>
    <xf numFmtId="0" fontId="32" fillId="0" borderId="38" xfId="3" applyFont="1" applyBorder="1" applyAlignment="1">
      <alignment horizontal="center" vertical="center" shrinkToFit="1"/>
    </xf>
    <xf numFmtId="0" fontId="32" fillId="0" borderId="34" xfId="3" applyFont="1" applyBorder="1" applyAlignment="1">
      <alignment horizontal="center" vertical="center" shrinkToFit="1"/>
    </xf>
    <xf numFmtId="0" fontId="32" fillId="0" borderId="40" xfId="3" applyFont="1" applyBorder="1" applyAlignment="1">
      <alignment horizontal="center" vertical="center" shrinkToFit="1"/>
    </xf>
    <xf numFmtId="0" fontId="0" fillId="0" borderId="21" xfId="0" applyBorder="1" applyAlignment="1">
      <alignment horizontal="center" vertical="center"/>
    </xf>
    <xf numFmtId="0" fontId="1" fillId="8" borderId="17" xfId="3" applyFill="1" applyBorder="1" applyAlignment="1">
      <alignment horizontal="center" vertical="center" wrapText="1"/>
    </xf>
    <xf numFmtId="0" fontId="2" fillId="8" borderId="15" xfId="3" applyFont="1" applyFill="1" applyBorder="1" applyAlignment="1">
      <alignment horizontal="center" vertical="center" wrapText="1"/>
    </xf>
    <xf numFmtId="0" fontId="2" fillId="8" borderId="18" xfId="3" applyFont="1" applyFill="1" applyBorder="1" applyAlignment="1">
      <alignment horizontal="center" vertical="center" wrapText="1"/>
    </xf>
    <xf numFmtId="0" fontId="2" fillId="8" borderId="16" xfId="3" applyFont="1" applyFill="1" applyBorder="1" applyAlignment="1">
      <alignment horizontal="center" vertical="center" wrapText="1"/>
    </xf>
    <xf numFmtId="0" fontId="2" fillId="8" borderId="19" xfId="3" applyFont="1" applyFill="1" applyBorder="1" applyAlignment="1">
      <alignment horizontal="center" vertical="center" wrapText="1"/>
    </xf>
    <xf numFmtId="0" fontId="3" fillId="0" borderId="26" xfId="3" applyFont="1" applyBorder="1" applyAlignment="1">
      <alignment horizontal="left" vertical="center"/>
    </xf>
    <xf numFmtId="0" fontId="4" fillId="3" borderId="4" xfId="1" applyFont="1" applyFill="1" applyBorder="1" applyAlignment="1">
      <alignment horizontal="center" vertical="center" wrapText="1"/>
    </xf>
    <xf numFmtId="0" fontId="4" fillId="3" borderId="27" xfId="1" applyFont="1" applyFill="1" applyBorder="1" applyAlignment="1">
      <alignment horizontal="center" vertical="center" wrapText="1"/>
    </xf>
    <xf numFmtId="0" fontId="4" fillId="3" borderId="9" xfId="1" applyFont="1" applyFill="1" applyBorder="1" applyAlignment="1">
      <alignment horizontal="center" vertical="center" wrapText="1"/>
    </xf>
    <xf numFmtId="0" fontId="4" fillId="3" borderId="10" xfId="1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3" fillId="0" borderId="24" xfId="1" applyFont="1" applyBorder="1" applyAlignment="1">
      <alignment horizontal="center" vertical="center" shrinkToFit="1"/>
    </xf>
    <xf numFmtId="0" fontId="3" fillId="0" borderId="11" xfId="1" applyFont="1" applyBorder="1" applyAlignment="1">
      <alignment horizontal="center" vertical="center" shrinkToFit="1"/>
    </xf>
    <xf numFmtId="0" fontId="3" fillId="0" borderId="30" xfId="1" applyFont="1" applyBorder="1" applyAlignment="1">
      <alignment horizontal="center" vertical="center" shrinkToFit="1"/>
    </xf>
    <xf numFmtId="0" fontId="3" fillId="0" borderId="0" xfId="1" applyFont="1" applyAlignment="1">
      <alignment horizontal="center" vertical="center" shrinkToFit="1"/>
    </xf>
    <xf numFmtId="0" fontId="3" fillId="0" borderId="25" xfId="1" applyFont="1" applyBorder="1" applyAlignment="1">
      <alignment horizontal="center" vertical="center" shrinkToFit="1"/>
    </xf>
    <xf numFmtId="0" fontId="3" fillId="0" borderId="2" xfId="1" applyFont="1" applyBorder="1" applyAlignment="1">
      <alignment horizontal="center" vertical="center" shrinkToFit="1"/>
    </xf>
    <xf numFmtId="0" fontId="3" fillId="0" borderId="3" xfId="1" applyFont="1" applyBorder="1" applyAlignment="1">
      <alignment horizontal="center" vertical="center" shrinkToFit="1"/>
    </xf>
    <xf numFmtId="0" fontId="3" fillId="0" borderId="31" xfId="1" applyFont="1" applyBorder="1" applyAlignment="1">
      <alignment horizontal="center" vertical="center" shrinkToFit="1"/>
    </xf>
    <xf numFmtId="0" fontId="3" fillId="0" borderId="29" xfId="1" applyFont="1" applyBorder="1" applyAlignment="1">
      <alignment horizontal="center" vertical="center" shrinkToFit="1"/>
    </xf>
    <xf numFmtId="0" fontId="29" fillId="0" borderId="2" xfId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5" fillId="3" borderId="9" xfId="1" applyFont="1" applyFill="1" applyBorder="1" applyAlignment="1">
      <alignment horizontal="center" vertical="center"/>
    </xf>
    <xf numFmtId="0" fontId="5" fillId="3" borderId="10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4" fillId="3" borderId="28" xfId="1" applyFont="1" applyFill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 shrinkToFit="1"/>
    </xf>
    <xf numFmtId="0" fontId="24" fillId="0" borderId="3" xfId="0" applyFont="1" applyBorder="1" applyAlignment="1">
      <alignment horizontal="center" vertical="center" shrinkToFit="1"/>
    </xf>
    <xf numFmtId="0" fontId="24" fillId="0" borderId="0" xfId="0" applyFont="1" applyAlignment="1">
      <alignment horizontal="center" vertical="center" shrinkToFit="1"/>
    </xf>
    <xf numFmtId="0" fontId="24" fillId="0" borderId="31" xfId="0" applyFont="1" applyBorder="1" applyAlignment="1">
      <alignment horizontal="center" vertical="center" shrinkToFit="1"/>
    </xf>
    <xf numFmtId="0" fontId="24" fillId="0" borderId="2" xfId="0" applyFont="1" applyBorder="1" applyAlignment="1">
      <alignment horizontal="center" vertical="center" shrinkToFit="1"/>
    </xf>
    <xf numFmtId="0" fontId="24" fillId="0" borderId="29" xfId="0" applyFont="1" applyBorder="1" applyAlignment="1">
      <alignment horizontal="center" vertical="center" shrinkToFit="1"/>
    </xf>
    <xf numFmtId="0" fontId="0" fillId="0" borderId="3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 wrapText="1"/>
    </xf>
    <xf numFmtId="0" fontId="4" fillId="4" borderId="18" xfId="1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4" fillId="0" borderId="22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36" fillId="0" borderId="24" xfId="0" applyFont="1" applyBorder="1" applyAlignment="1">
      <alignment horizontal="center" vertical="center" wrapText="1" shrinkToFit="1"/>
    </xf>
    <xf numFmtId="0" fontId="36" fillId="0" borderId="11" xfId="0" applyFont="1" applyBorder="1" applyAlignment="1">
      <alignment horizontal="center" vertical="center" wrapText="1" shrinkToFit="1"/>
    </xf>
    <xf numFmtId="0" fontId="36" fillId="0" borderId="30" xfId="0" applyFont="1" applyBorder="1" applyAlignment="1">
      <alignment horizontal="center" vertical="center" wrapText="1" shrinkToFit="1"/>
    </xf>
    <xf numFmtId="0" fontId="36" fillId="0" borderId="0" xfId="0" applyFont="1" applyAlignment="1">
      <alignment horizontal="center" vertical="center" wrapText="1" shrinkToFit="1"/>
    </xf>
    <xf numFmtId="0" fontId="36" fillId="0" borderId="25" xfId="0" applyFont="1" applyBorder="1" applyAlignment="1">
      <alignment horizontal="center" vertical="center" wrapText="1" shrinkToFit="1"/>
    </xf>
    <xf numFmtId="0" fontId="36" fillId="0" borderId="2" xfId="0" applyFont="1" applyBorder="1" applyAlignment="1">
      <alignment horizontal="center" vertical="center" wrapText="1" shrinkToFit="1"/>
    </xf>
    <xf numFmtId="0" fontId="3" fillId="0" borderId="11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31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29" xfId="0" applyFont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25" fillId="0" borderId="24" xfId="1" applyFont="1" applyBorder="1" applyAlignment="1">
      <alignment horizontal="center" vertical="center" shrinkToFit="1"/>
    </xf>
    <xf numFmtId="0" fontId="25" fillId="0" borderId="11" xfId="1" applyFont="1" applyBorder="1" applyAlignment="1">
      <alignment horizontal="center" vertical="center" shrinkToFit="1"/>
    </xf>
    <xf numFmtId="0" fontId="25" fillId="0" borderId="3" xfId="1" applyFont="1" applyBorder="1" applyAlignment="1">
      <alignment horizontal="center" vertical="center" shrinkToFit="1"/>
    </xf>
    <xf numFmtId="0" fontId="25" fillId="0" borderId="30" xfId="1" applyFont="1" applyBorder="1" applyAlignment="1">
      <alignment horizontal="center" vertical="center" shrinkToFit="1"/>
    </xf>
    <xf numFmtId="0" fontId="25" fillId="0" borderId="0" xfId="1" applyFont="1" applyAlignment="1">
      <alignment horizontal="center" vertical="center" shrinkToFit="1"/>
    </xf>
    <xf numFmtId="0" fontId="25" fillId="0" borderId="31" xfId="1" applyFont="1" applyBorder="1" applyAlignment="1">
      <alignment horizontal="center" vertical="center" shrinkToFit="1"/>
    </xf>
    <xf numFmtId="0" fontId="25" fillId="0" borderId="25" xfId="1" applyFont="1" applyBorder="1" applyAlignment="1">
      <alignment horizontal="center" vertical="center" shrinkToFit="1"/>
    </xf>
    <xf numFmtId="0" fontId="25" fillId="0" borderId="2" xfId="1" applyFont="1" applyBorder="1" applyAlignment="1">
      <alignment horizontal="center" vertical="center" shrinkToFit="1"/>
    </xf>
    <xf numFmtId="0" fontId="25" fillId="0" borderId="29" xfId="1" applyFont="1" applyBorder="1" applyAlignment="1">
      <alignment horizontal="center" vertical="center" shrinkToFit="1"/>
    </xf>
    <xf numFmtId="0" fontId="29" fillId="0" borderId="4" xfId="1" applyBorder="1" applyAlignment="1">
      <alignment horizontal="center" vertical="center"/>
    </xf>
    <xf numFmtId="0" fontId="29" fillId="0" borderId="28" xfId="1" applyBorder="1" applyAlignment="1">
      <alignment horizontal="center" vertical="center"/>
    </xf>
    <xf numFmtId="0" fontId="35" fillId="0" borderId="1" xfId="1" applyFont="1" applyBorder="1" applyAlignment="1">
      <alignment horizontal="center" vertical="center" wrapText="1"/>
    </xf>
    <xf numFmtId="0" fontId="29" fillId="0" borderId="21" xfId="1" applyBorder="1" applyAlignment="1">
      <alignment horizontal="center" vertical="center"/>
    </xf>
    <xf numFmtId="0" fontId="29" fillId="0" borderId="17" xfId="1" applyBorder="1" applyAlignment="1">
      <alignment horizontal="center" vertical="center"/>
    </xf>
    <xf numFmtId="0" fontId="6" fillId="0" borderId="15" xfId="1" applyFont="1" applyBorder="1" applyAlignment="1">
      <alignment horizontal="center" vertical="center" wrapText="1"/>
    </xf>
    <xf numFmtId="0" fontId="6" fillId="0" borderId="18" xfId="1" applyFont="1" applyBorder="1" applyAlignment="1">
      <alignment horizontal="center" vertical="center" wrapText="1"/>
    </xf>
    <xf numFmtId="0" fontId="6" fillId="0" borderId="16" xfId="1" applyFont="1" applyBorder="1" applyAlignment="1">
      <alignment horizontal="center" vertical="center" wrapText="1"/>
    </xf>
    <xf numFmtId="0" fontId="6" fillId="0" borderId="19" xfId="1" applyFont="1" applyBorder="1" applyAlignment="1">
      <alignment horizontal="center" vertical="center" wrapText="1"/>
    </xf>
    <xf numFmtId="178" fontId="29" fillId="0" borderId="18" xfId="1" applyNumberFormat="1" applyBorder="1" applyAlignment="1">
      <alignment horizontal="center" vertical="center" wrapText="1"/>
    </xf>
    <xf numFmtId="0" fontId="29" fillId="0" borderId="1" xfId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35" fillId="0" borderId="1" xfId="1" applyFont="1" applyBorder="1" applyAlignment="1">
      <alignment horizontal="center" vertical="center" wrapText="1" shrinkToFit="1"/>
    </xf>
    <xf numFmtId="0" fontId="25" fillId="0" borderId="24" xfId="1" applyFont="1" applyBorder="1" applyAlignment="1">
      <alignment horizontal="center" vertical="center"/>
    </xf>
    <xf numFmtId="0" fontId="25" fillId="0" borderId="11" xfId="1" applyFont="1" applyBorder="1" applyAlignment="1">
      <alignment horizontal="center" vertical="center"/>
    </xf>
    <xf numFmtId="0" fontId="25" fillId="0" borderId="3" xfId="1" applyFont="1" applyBorder="1" applyAlignment="1">
      <alignment horizontal="center" vertical="center"/>
    </xf>
    <xf numFmtId="0" fontId="25" fillId="0" borderId="30" xfId="1" applyFont="1" applyBorder="1" applyAlignment="1">
      <alignment horizontal="center" vertical="center"/>
    </xf>
    <xf numFmtId="0" fontId="25" fillId="0" borderId="0" xfId="1" applyFont="1" applyAlignment="1">
      <alignment horizontal="center" vertical="center"/>
    </xf>
    <xf numFmtId="0" fontId="25" fillId="0" borderId="31" xfId="1" applyFont="1" applyBorder="1" applyAlignment="1">
      <alignment horizontal="center" vertical="center"/>
    </xf>
    <xf numFmtId="0" fontId="25" fillId="0" borderId="25" xfId="1" applyFont="1" applyBorder="1" applyAlignment="1">
      <alignment horizontal="center" vertical="center"/>
    </xf>
    <xf numFmtId="0" fontId="25" fillId="0" borderId="2" xfId="1" applyFont="1" applyBorder="1" applyAlignment="1">
      <alignment horizontal="center" vertical="center"/>
    </xf>
    <xf numFmtId="0" fontId="25" fillId="0" borderId="29" xfId="1" applyFont="1" applyBorder="1" applyAlignment="1">
      <alignment horizontal="center" vertical="center"/>
    </xf>
    <xf numFmtId="0" fontId="29" fillId="0" borderId="25" xfId="1" applyBorder="1" applyAlignment="1">
      <alignment horizontal="center" vertical="center"/>
    </xf>
    <xf numFmtId="0" fontId="29" fillId="0" borderId="29" xfId="1" applyBorder="1" applyAlignment="1">
      <alignment horizontal="center" vertical="center"/>
    </xf>
    <xf numFmtId="0" fontId="29" fillId="0" borderId="9" xfId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27" xfId="1" applyFont="1" applyBorder="1" applyAlignment="1">
      <alignment horizontal="center" vertical="center" wrapText="1"/>
    </xf>
    <xf numFmtId="0" fontId="6" fillId="0" borderId="28" xfId="1" applyFont="1" applyBorder="1" applyAlignment="1">
      <alignment horizontal="center" vertical="center" wrapText="1"/>
    </xf>
    <xf numFmtId="0" fontId="6" fillId="0" borderId="24" xfId="1" applyFont="1" applyBorder="1" applyAlignment="1">
      <alignment horizontal="center" vertical="center" wrapText="1"/>
    </xf>
    <xf numFmtId="0" fontId="6" fillId="0" borderId="10" xfId="1" applyFont="1" applyBorder="1" applyAlignment="1">
      <alignment horizontal="center" vertical="center" wrapText="1"/>
    </xf>
    <xf numFmtId="0" fontId="6" fillId="0" borderId="30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6" fillId="0" borderId="31" xfId="1" applyFont="1" applyBorder="1" applyAlignment="1">
      <alignment horizontal="center" vertical="center" wrapText="1"/>
    </xf>
    <xf numFmtId="178" fontId="5" fillId="0" borderId="15" xfId="1" applyNumberFormat="1" applyFont="1" applyBorder="1" applyAlignment="1">
      <alignment horizontal="center" vertical="center" wrapText="1"/>
    </xf>
    <xf numFmtId="0" fontId="29" fillId="0" borderId="24" xfId="1" applyBorder="1" applyAlignment="1">
      <alignment horizontal="center" vertical="center"/>
    </xf>
    <xf numFmtId="0" fontId="29" fillId="0" borderId="3" xfId="1" applyBorder="1" applyAlignment="1">
      <alignment horizontal="center" vertical="center"/>
    </xf>
    <xf numFmtId="41" fontId="29" fillId="0" borderId="15" xfId="1" applyNumberFormat="1" applyBorder="1" applyAlignment="1">
      <alignment horizontal="left" vertical="center" wrapText="1"/>
    </xf>
    <xf numFmtId="0" fontId="29" fillId="0" borderId="15" xfId="1" applyBorder="1" applyAlignment="1">
      <alignment horizontal="left" vertical="center" wrapText="1"/>
    </xf>
    <xf numFmtId="0" fontId="25" fillId="0" borderId="1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5" fillId="0" borderId="24" xfId="0" applyFont="1" applyBorder="1" applyAlignment="1">
      <alignment horizontal="center" vertical="center" wrapText="1" shrinkToFit="1"/>
    </xf>
    <xf numFmtId="0" fontId="35" fillId="0" borderId="11" xfId="0" applyFont="1" applyBorder="1" applyAlignment="1">
      <alignment horizontal="center" vertical="center" wrapText="1" shrinkToFit="1"/>
    </xf>
    <xf numFmtId="0" fontId="35" fillId="0" borderId="3" xfId="0" applyFont="1" applyBorder="1" applyAlignment="1">
      <alignment horizontal="center" vertical="center" wrapText="1" shrinkToFit="1"/>
    </xf>
    <xf numFmtId="0" fontId="35" fillId="0" borderId="25" xfId="0" applyFont="1" applyBorder="1" applyAlignment="1">
      <alignment horizontal="center" vertical="center" wrapText="1" shrinkToFit="1"/>
    </xf>
    <xf numFmtId="0" fontId="35" fillId="0" borderId="2" xfId="0" applyFont="1" applyBorder="1" applyAlignment="1">
      <alignment horizontal="center" vertical="center" wrapText="1" shrinkToFit="1"/>
    </xf>
    <xf numFmtId="0" fontId="35" fillId="0" borderId="29" xfId="0" applyFont="1" applyBorder="1" applyAlignment="1">
      <alignment horizontal="center" vertical="center" wrapText="1" shrinkToFit="1"/>
    </xf>
    <xf numFmtId="0" fontId="0" fillId="0" borderId="17" xfId="0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26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177" fontId="0" fillId="2" borderId="33" xfId="0" applyNumberFormat="1" applyFill="1" applyBorder="1" applyAlignment="1">
      <alignment horizontal="center" vertical="center" wrapText="1"/>
    </xf>
    <xf numFmtId="177" fontId="0" fillId="2" borderId="27" xfId="0" applyNumberFormat="1" applyFill="1" applyBorder="1" applyAlignment="1">
      <alignment horizontal="center" vertical="center" wrapText="1"/>
    </xf>
    <xf numFmtId="177" fontId="0" fillId="2" borderId="28" xfId="0" applyNumberFormat="1" applyFill="1" applyBorder="1" applyAlignment="1">
      <alignment horizontal="center" vertical="center" wrapText="1"/>
    </xf>
    <xf numFmtId="0" fontId="29" fillId="2" borderId="4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 wrapText="1"/>
    </xf>
    <xf numFmtId="0" fontId="6" fillId="9" borderId="19" xfId="0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6" fillId="9" borderId="15" xfId="0" applyFont="1" applyFill="1" applyBorder="1" applyAlignment="1">
      <alignment horizontal="center" vertical="center" wrapText="1"/>
    </xf>
    <xf numFmtId="0" fontId="6" fillId="9" borderId="18" xfId="0" applyFont="1" applyFill="1" applyBorder="1" applyAlignment="1">
      <alignment horizontal="center" vertical="center" wrapText="1"/>
    </xf>
  </cellXfs>
  <cellStyles count="4">
    <cellStyle name="쉼표 [0] 2 2" xfId="2" xr:uid="{00000000-0005-0000-0000-000002000000}"/>
    <cellStyle name="표준" xfId="0" builtinId="0"/>
    <cellStyle name="표준 2" xfId="1" xr:uid="{00000000-0005-0000-0000-000001000000}"/>
    <cellStyle name="표준 3" xfId="3" xr:uid="{00000000-0005-0000-0000-000003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EF33AE9F-5E46-41B8-9EC1-F6CF615ECC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200025</xdr:rowOff>
    </xdr:from>
    <xdr:to>
      <xdr:col>3</xdr:col>
      <xdr:colOff>590549</xdr:colOff>
      <xdr:row>2</xdr:row>
      <xdr:rowOff>171449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9050" y="200025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4</xdr:col>
      <xdr:colOff>85724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514350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4</xdr:col>
      <xdr:colOff>85724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247649</xdr:colOff>
      <xdr:row>0</xdr:row>
      <xdr:rowOff>0</xdr:rowOff>
    </xdr:from>
    <xdr:to>
      <xdr:col>3</xdr:col>
      <xdr:colOff>904875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18</xdr:col>
      <xdr:colOff>419100</xdr:colOff>
      <xdr:row>22</xdr:row>
      <xdr:rowOff>0</xdr:rowOff>
    </xdr:to>
    <xdr:sp macro="" textlink="">
      <xdr:nvSpPr>
        <xdr:cNvPr id="2049" name="AutoShape 1" hidden="1">
          <a:extLst>
            <a:ext uri="{FF2B5EF4-FFF2-40B4-BE49-F238E27FC236}">
              <a16:creationId xmlns:a16="http://schemas.microsoft.com/office/drawing/2014/main" id="{00000000-0008-0000-0800-00000108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9763125" cy="9001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485775</xdr:colOff>
      <xdr:row>2</xdr:row>
      <xdr:rowOff>295275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44823"/>
          <a:ext cx="1344705" cy="67235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FFFF"/>
  </sheetPr>
  <dimension ref="A1:R22"/>
  <sheetViews>
    <sheetView tabSelected="1" view="pageBreakPreview" zoomScale="120" zoomScaleNormal="120" zoomScaleSheetLayoutView="120" workbookViewId="0">
      <pane ySplit="8" topLeftCell="A9" activePane="bottomLeft" state="frozen"/>
      <selection pane="bottomLeft" activeCell="R2" sqref="R2"/>
    </sheetView>
  </sheetViews>
  <sheetFormatPr defaultColWidth="8" defaultRowHeight="12.75"/>
  <cols>
    <col min="1" max="1" width="4.125" style="7" customWidth="1"/>
    <col min="2" max="2" width="12.75" style="7" customWidth="1"/>
    <col min="3" max="4" width="12.125" style="7" customWidth="1"/>
    <col min="5" max="5" width="13.75" style="7" customWidth="1"/>
    <col min="6" max="6" width="16.375" style="7" customWidth="1"/>
    <col min="7" max="7" width="13.125" style="7" customWidth="1"/>
    <col min="8" max="8" width="2.125" style="7" hidden="1" customWidth="1"/>
    <col min="9" max="16" width="8" style="7" hidden="1" customWidth="1"/>
    <col min="17" max="16384" width="8" style="8"/>
  </cols>
  <sheetData>
    <row r="1" spans="1:18" ht="16.5" customHeight="1" thickTop="1">
      <c r="A1" s="125" t="s">
        <v>79</v>
      </c>
      <c r="B1" s="126"/>
      <c r="C1" s="126"/>
      <c r="D1" s="131" t="str">
        <f>R2</f>
        <v>26.06.05 웰스홈_LT삼보_(주)우리이엔씨_LX판토스 신항에코 물류센터</v>
      </c>
      <c r="E1" s="131"/>
      <c r="F1" s="131"/>
      <c r="G1" s="132"/>
      <c r="R1" s="8" t="s">
        <v>72</v>
      </c>
    </row>
    <row r="2" spans="1:18" ht="16.5" customHeight="1">
      <c r="A2" s="127"/>
      <c r="B2" s="128"/>
      <c r="C2" s="128"/>
      <c r="D2" s="133"/>
      <c r="E2" s="133"/>
      <c r="F2" s="133"/>
      <c r="G2" s="134"/>
      <c r="R2" s="87" t="s">
        <v>111</v>
      </c>
    </row>
    <row r="3" spans="1:18" ht="16.5" customHeight="1">
      <c r="A3" s="127"/>
      <c r="B3" s="128"/>
      <c r="C3" s="128"/>
      <c r="D3" s="133"/>
      <c r="E3" s="133"/>
      <c r="F3" s="133"/>
      <c r="G3" s="134"/>
    </row>
    <row r="4" spans="1:18" ht="17.25" customHeight="1" thickBot="1">
      <c r="A4" s="129"/>
      <c r="B4" s="130"/>
      <c r="C4" s="130"/>
      <c r="D4" s="135"/>
      <c r="E4" s="135"/>
      <c r="F4" s="135"/>
      <c r="G4" s="136"/>
    </row>
    <row r="5" spans="1:18" ht="6.75" customHeight="1" thickTop="1">
      <c r="A5" s="88"/>
      <c r="B5" s="88"/>
      <c r="C5" s="88"/>
      <c r="D5" s="88"/>
      <c r="E5" s="88"/>
      <c r="F5" s="88"/>
      <c r="G5" s="88"/>
    </row>
    <row r="6" spans="1:18" s="10" customFormat="1" ht="18" customHeight="1" thickBot="1">
      <c r="A6" s="137" t="s">
        <v>1</v>
      </c>
      <c r="B6" s="139" t="s">
        <v>71</v>
      </c>
      <c r="C6" s="139" t="s">
        <v>4</v>
      </c>
      <c r="D6" s="139"/>
      <c r="E6" s="139" t="s">
        <v>46</v>
      </c>
      <c r="F6" s="139" t="s">
        <v>41</v>
      </c>
      <c r="G6" s="141" t="s">
        <v>20</v>
      </c>
      <c r="H6" s="9"/>
      <c r="I6" s="143" t="s">
        <v>10</v>
      </c>
      <c r="J6" s="143"/>
      <c r="K6" s="143"/>
      <c r="L6" s="143"/>
      <c r="M6" s="143"/>
      <c r="N6" s="143"/>
      <c r="O6" s="8"/>
    </row>
    <row r="7" spans="1:18" s="10" customFormat="1" ht="18" customHeight="1">
      <c r="A7" s="138"/>
      <c r="B7" s="140"/>
      <c r="C7" s="140" t="s">
        <v>68</v>
      </c>
      <c r="D7" s="140" t="s">
        <v>66</v>
      </c>
      <c r="E7" s="140"/>
      <c r="F7" s="140"/>
      <c r="G7" s="142"/>
      <c r="H7" s="11"/>
      <c r="I7" s="12"/>
      <c r="J7" s="12"/>
      <c r="K7" s="12"/>
      <c r="L7" s="12"/>
      <c r="M7" s="12"/>
      <c r="N7" s="12"/>
      <c r="O7" s="8"/>
    </row>
    <row r="8" spans="1:18" s="10" customFormat="1" ht="18" customHeight="1" thickBot="1">
      <c r="A8" s="138"/>
      <c r="B8" s="140"/>
      <c r="C8" s="140"/>
      <c r="D8" s="140"/>
      <c r="E8" s="140"/>
      <c r="F8" s="140"/>
      <c r="G8" s="142"/>
      <c r="H8" s="11"/>
      <c r="I8" s="12"/>
      <c r="J8" s="12"/>
      <c r="K8" s="12"/>
      <c r="L8" s="12"/>
      <c r="M8" s="12"/>
      <c r="N8" s="12"/>
      <c r="O8" s="8"/>
    </row>
    <row r="9" spans="1:18" s="10" customFormat="1" ht="18" customHeight="1" thickBot="1">
      <c r="A9" s="107" t="s">
        <v>81</v>
      </c>
      <c r="B9" s="62" t="s">
        <v>17</v>
      </c>
      <c r="C9" s="32">
        <v>200</v>
      </c>
      <c r="D9" s="32">
        <v>200</v>
      </c>
      <c r="E9" s="89"/>
      <c r="F9" s="89"/>
      <c r="G9" s="90" t="s">
        <v>95</v>
      </c>
      <c r="H9" s="13"/>
      <c r="I9" s="27"/>
      <c r="J9" s="25"/>
      <c r="K9" s="19"/>
      <c r="L9" s="20"/>
      <c r="M9" s="21"/>
      <c r="N9" s="25"/>
      <c r="O9" s="8"/>
      <c r="Q9" s="10" t="s">
        <v>97</v>
      </c>
    </row>
    <row r="10" spans="1:18" s="10" customFormat="1" ht="18" customHeight="1" thickBot="1">
      <c r="A10" s="107" t="s">
        <v>82</v>
      </c>
      <c r="B10" s="62" t="s">
        <v>17</v>
      </c>
      <c r="C10" s="32">
        <v>200</v>
      </c>
      <c r="D10" s="32">
        <v>200</v>
      </c>
      <c r="E10" s="75"/>
      <c r="F10" s="89"/>
      <c r="G10" s="90" t="s">
        <v>95</v>
      </c>
      <c r="H10" s="13"/>
      <c r="I10" s="27"/>
      <c r="J10" s="25"/>
      <c r="K10" s="19"/>
      <c r="L10" s="20"/>
      <c r="M10" s="21"/>
      <c r="N10" s="25"/>
      <c r="O10" s="8"/>
      <c r="Q10" s="10" t="s">
        <v>98</v>
      </c>
    </row>
    <row r="11" spans="1:18" s="10" customFormat="1" ht="18" customHeight="1" thickBot="1">
      <c r="A11" s="107" t="s">
        <v>83</v>
      </c>
      <c r="B11" s="62" t="s">
        <v>17</v>
      </c>
      <c r="C11" s="32">
        <v>200</v>
      </c>
      <c r="D11" s="32">
        <v>200</v>
      </c>
      <c r="E11" s="75"/>
      <c r="F11" s="89"/>
      <c r="G11" s="90" t="s">
        <v>95</v>
      </c>
      <c r="H11" s="13"/>
      <c r="I11" s="27"/>
      <c r="J11" s="25"/>
      <c r="K11" s="19"/>
      <c r="L11" s="20"/>
      <c r="M11" s="21"/>
      <c r="N11" s="25"/>
      <c r="O11" s="8"/>
      <c r="Q11" s="10" t="s">
        <v>99</v>
      </c>
    </row>
    <row r="12" spans="1:18" s="10" customFormat="1" ht="18" customHeight="1" thickBot="1">
      <c r="A12" s="107" t="s">
        <v>84</v>
      </c>
      <c r="B12" s="62" t="s">
        <v>17</v>
      </c>
      <c r="C12" s="32">
        <v>200</v>
      </c>
      <c r="D12" s="32">
        <v>200</v>
      </c>
      <c r="E12" s="75"/>
      <c r="F12" s="89"/>
      <c r="G12" s="90" t="s">
        <v>95</v>
      </c>
      <c r="H12" s="13"/>
      <c r="I12" s="27"/>
      <c r="J12" s="25"/>
      <c r="K12" s="19"/>
      <c r="L12" s="20"/>
      <c r="M12" s="21"/>
      <c r="N12" s="25"/>
      <c r="O12" s="8"/>
      <c r="Q12" s="10" t="s">
        <v>100</v>
      </c>
    </row>
    <row r="13" spans="1:18" s="10" customFormat="1" ht="18" customHeight="1" thickBot="1">
      <c r="A13" s="107" t="s">
        <v>85</v>
      </c>
      <c r="B13" s="62" t="s">
        <v>17</v>
      </c>
      <c r="C13" s="32">
        <v>300</v>
      </c>
      <c r="D13" s="32">
        <v>250</v>
      </c>
      <c r="E13" s="75"/>
      <c r="F13" s="89"/>
      <c r="G13" s="90" t="s">
        <v>95</v>
      </c>
      <c r="H13" s="13"/>
      <c r="I13" s="12"/>
      <c r="J13" s="12"/>
      <c r="K13" s="19"/>
      <c r="L13" s="20"/>
      <c r="M13" s="21"/>
      <c r="N13" s="12"/>
      <c r="O13" s="8"/>
      <c r="Q13" s="10" t="s">
        <v>101</v>
      </c>
    </row>
    <row r="14" spans="1:18" s="10" customFormat="1" ht="18" customHeight="1" thickBot="1">
      <c r="A14" s="107" t="s">
        <v>86</v>
      </c>
      <c r="B14" s="62" t="s">
        <v>17</v>
      </c>
      <c r="C14" s="32">
        <v>300</v>
      </c>
      <c r="D14" s="32">
        <v>250</v>
      </c>
      <c r="E14" s="75"/>
      <c r="F14" s="89"/>
      <c r="G14" s="90" t="s">
        <v>95</v>
      </c>
      <c r="H14" s="13"/>
      <c r="I14" s="27"/>
      <c r="J14" s="25"/>
      <c r="K14" s="19"/>
      <c r="L14" s="20"/>
      <c r="M14" s="21"/>
      <c r="N14" s="25"/>
      <c r="O14" s="8"/>
      <c r="Q14" s="10" t="s">
        <v>102</v>
      </c>
    </row>
    <row r="15" spans="1:18" s="10" customFormat="1" ht="18" customHeight="1" thickBot="1">
      <c r="A15" s="107" t="s">
        <v>87</v>
      </c>
      <c r="B15" s="62" t="s">
        <v>17</v>
      </c>
      <c r="C15" s="32">
        <v>350</v>
      </c>
      <c r="D15" s="32">
        <v>200</v>
      </c>
      <c r="E15" s="75"/>
      <c r="F15" s="89"/>
      <c r="G15" s="90" t="s">
        <v>95</v>
      </c>
      <c r="H15" s="13"/>
      <c r="I15" s="26"/>
      <c r="J15" s="24"/>
      <c r="K15" s="19"/>
      <c r="L15" s="20"/>
      <c r="M15" s="21"/>
      <c r="N15" s="24"/>
      <c r="O15" s="8"/>
      <c r="Q15" s="10" t="s">
        <v>103</v>
      </c>
    </row>
    <row r="16" spans="1:18" s="10" customFormat="1" ht="18" customHeight="1" thickBot="1">
      <c r="A16" s="107" t="s">
        <v>88</v>
      </c>
      <c r="B16" s="62" t="s">
        <v>17</v>
      </c>
      <c r="C16" s="32">
        <v>350</v>
      </c>
      <c r="D16" s="32">
        <v>200</v>
      </c>
      <c r="E16" s="75"/>
      <c r="F16" s="89"/>
      <c r="G16" s="90" t="s">
        <v>95</v>
      </c>
      <c r="H16" s="13"/>
      <c r="I16" s="27"/>
      <c r="J16" s="25"/>
      <c r="K16" s="19"/>
      <c r="L16" s="20"/>
      <c r="M16" s="21"/>
      <c r="N16" s="25"/>
      <c r="O16" s="8"/>
      <c r="Q16" s="10" t="s">
        <v>104</v>
      </c>
    </row>
    <row r="17" spans="1:17" s="10" customFormat="1" ht="18" customHeight="1" thickBot="1">
      <c r="A17" s="107" t="s">
        <v>89</v>
      </c>
      <c r="B17" s="62" t="s">
        <v>17</v>
      </c>
      <c r="C17" s="32">
        <v>500</v>
      </c>
      <c r="D17" s="32">
        <v>400</v>
      </c>
      <c r="E17" s="75"/>
      <c r="F17" s="89"/>
      <c r="G17" s="90" t="s">
        <v>95</v>
      </c>
      <c r="H17" s="13"/>
      <c r="I17" s="27"/>
      <c r="J17" s="25"/>
      <c r="K17" s="19"/>
      <c r="L17" s="20"/>
      <c r="M17" s="21"/>
      <c r="N17" s="25"/>
      <c r="O17" s="8"/>
      <c r="Q17" s="10" t="s">
        <v>105</v>
      </c>
    </row>
    <row r="18" spans="1:17" s="10" customFormat="1" ht="18" customHeight="1" thickBot="1">
      <c r="A18" s="107" t="s">
        <v>90</v>
      </c>
      <c r="B18" s="62" t="s">
        <v>17</v>
      </c>
      <c r="C18" s="32">
        <v>500</v>
      </c>
      <c r="D18" s="32">
        <v>400</v>
      </c>
      <c r="E18" s="75"/>
      <c r="F18" s="89"/>
      <c r="G18" s="90" t="s">
        <v>95</v>
      </c>
      <c r="H18" s="13"/>
      <c r="I18" s="27"/>
      <c r="J18" s="25"/>
      <c r="K18" s="19"/>
      <c r="L18" s="20"/>
      <c r="M18" s="21"/>
      <c r="N18" s="25"/>
      <c r="O18" s="8"/>
      <c r="Q18" s="10" t="s">
        <v>106</v>
      </c>
    </row>
    <row r="19" spans="1:17" s="10" customFormat="1" ht="18" customHeight="1" thickBot="1">
      <c r="A19" s="107" t="s">
        <v>91</v>
      </c>
      <c r="B19" s="62" t="s">
        <v>17</v>
      </c>
      <c r="C19" s="32">
        <v>500</v>
      </c>
      <c r="D19" s="32">
        <v>400</v>
      </c>
      <c r="E19" s="75"/>
      <c r="F19" s="89"/>
      <c r="G19" s="90" t="s">
        <v>95</v>
      </c>
      <c r="H19" s="13"/>
      <c r="I19" s="27"/>
      <c r="J19" s="25"/>
      <c r="K19" s="19"/>
      <c r="L19" s="20"/>
      <c r="M19" s="21"/>
      <c r="N19" s="25"/>
      <c r="O19" s="8"/>
      <c r="Q19" s="10" t="s">
        <v>107</v>
      </c>
    </row>
    <row r="20" spans="1:17" s="10" customFormat="1" ht="18" customHeight="1" thickBot="1">
      <c r="A20" s="107" t="s">
        <v>92</v>
      </c>
      <c r="B20" s="62" t="s">
        <v>17</v>
      </c>
      <c r="C20" s="32">
        <v>500</v>
      </c>
      <c r="D20" s="32">
        <v>400</v>
      </c>
      <c r="E20" s="89"/>
      <c r="F20" s="89"/>
      <c r="G20" s="90" t="s">
        <v>95</v>
      </c>
      <c r="H20" s="13"/>
      <c r="I20" s="27"/>
      <c r="J20" s="25"/>
      <c r="K20" s="19"/>
      <c r="L20" s="20"/>
      <c r="M20" s="21"/>
      <c r="N20" s="25"/>
      <c r="O20" s="8"/>
      <c r="Q20" s="10" t="s">
        <v>108</v>
      </c>
    </row>
    <row r="21" spans="1:17" s="10" customFormat="1" ht="18" customHeight="1" thickBot="1">
      <c r="A21" s="107" t="s">
        <v>93</v>
      </c>
      <c r="B21" s="62" t="s">
        <v>17</v>
      </c>
      <c r="C21" s="32">
        <v>500</v>
      </c>
      <c r="D21" s="32">
        <v>400</v>
      </c>
      <c r="E21" s="89"/>
      <c r="F21" s="89"/>
      <c r="G21" s="90" t="s">
        <v>95</v>
      </c>
      <c r="H21" s="13"/>
      <c r="I21" s="27"/>
      <c r="J21" s="25"/>
      <c r="K21" s="19"/>
      <c r="L21" s="20"/>
      <c r="M21" s="21"/>
      <c r="N21" s="25"/>
      <c r="O21" s="8"/>
      <c r="Q21" s="10" t="s">
        <v>109</v>
      </c>
    </row>
    <row r="22" spans="1:17" s="10" customFormat="1" ht="16.5">
      <c r="A22" s="107" t="s">
        <v>96</v>
      </c>
      <c r="B22" s="65" t="s">
        <v>51</v>
      </c>
      <c r="C22" s="32">
        <v>1500</v>
      </c>
      <c r="D22" s="32">
        <v>550</v>
      </c>
      <c r="E22" s="89"/>
      <c r="F22" s="89"/>
      <c r="G22" s="90" t="s">
        <v>95</v>
      </c>
      <c r="H22" s="13"/>
      <c r="I22" s="7"/>
      <c r="J22" s="7"/>
      <c r="K22" s="19"/>
      <c r="L22" s="20"/>
      <c r="M22" s="21"/>
      <c r="N22" s="7"/>
      <c r="O22" s="8"/>
      <c r="Q22" s="10" t="s">
        <v>110</v>
      </c>
    </row>
  </sheetData>
  <mergeCells count="11">
    <mergeCell ref="I6:N6"/>
    <mergeCell ref="C7:C8"/>
    <mergeCell ref="D7:D8"/>
    <mergeCell ref="A1:C4"/>
    <mergeCell ref="D1:G4"/>
    <mergeCell ref="A6:A8"/>
    <mergeCell ref="B6:B8"/>
    <mergeCell ref="C6:D6"/>
    <mergeCell ref="E6:E8"/>
    <mergeCell ref="F6:F8"/>
    <mergeCell ref="G6:G8"/>
  </mergeCells>
  <phoneticPr fontId="30" type="noConversion"/>
  <pageMargins left="0.23597222566604614" right="0.23597222566604614" top="0.74750000238418579" bottom="0.74750000238418579" header="0.31486111879348755" footer="0.3148611187934875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384E-E625-4433-A311-ACB260D6E4A3}">
  <dimension ref="A1:O24"/>
  <sheetViews>
    <sheetView zoomScaleNormal="100" zoomScaleSheetLayoutView="100" workbookViewId="0">
      <selection activeCell="F34" sqref="F34"/>
    </sheetView>
  </sheetViews>
  <sheetFormatPr defaultColWidth="9" defaultRowHeight="16.5"/>
  <cols>
    <col min="1" max="1" width="5.125" style="5" bestFit="1" customWidth="1"/>
    <col min="2" max="2" width="8.125" style="5" customWidth="1"/>
    <col min="3" max="4" width="6.875" style="5" customWidth="1"/>
    <col min="5" max="5" width="13.875" style="5" customWidth="1"/>
    <col min="6" max="6" width="5.75" style="5" customWidth="1"/>
    <col min="7" max="7" width="7.5" style="5" customWidth="1"/>
    <col min="8" max="8" width="7.125" style="5" customWidth="1"/>
    <col min="9" max="9" width="5.25" style="5" bestFit="1" customWidth="1"/>
    <col min="10" max="10" width="7.875" style="5" customWidth="1"/>
    <col min="11" max="11" width="7.5" style="5" customWidth="1"/>
    <col min="12" max="12" width="5.5" style="5" customWidth="1"/>
    <col min="13" max="13" width="7.5" style="5" customWidth="1"/>
    <col min="14" max="14" width="5.5" style="5" customWidth="1"/>
    <col min="15" max="15" width="26.875" style="5" customWidth="1"/>
    <col min="16" max="16384" width="9" style="5"/>
  </cols>
  <sheetData>
    <row r="1" spans="1:15" ht="16.5" customHeight="1">
      <c r="A1" s="125"/>
      <c r="B1" s="125"/>
      <c r="C1" s="125"/>
      <c r="D1" s="125"/>
      <c r="E1" s="150" t="s">
        <v>74</v>
      </c>
      <c r="F1" s="151"/>
      <c r="G1" s="151"/>
      <c r="H1" s="151" t="str">
        <f>'1. 소켓인수검사'!R2</f>
        <v>26.06.05 웰스홈_LT삼보_(주)우리이엔씨_LX판토스 신항에코 물류센터</v>
      </c>
      <c r="I1" s="151"/>
      <c r="J1" s="151"/>
      <c r="K1" s="151"/>
      <c r="L1" s="151"/>
      <c r="M1" s="151"/>
      <c r="N1" s="151"/>
      <c r="O1" s="156"/>
    </row>
    <row r="2" spans="1:15" ht="16.5" customHeight="1">
      <c r="A2" s="125"/>
      <c r="B2" s="125"/>
      <c r="C2" s="125"/>
      <c r="D2" s="125"/>
      <c r="E2" s="152"/>
      <c r="F2" s="153"/>
      <c r="G2" s="153"/>
      <c r="H2" s="153"/>
      <c r="I2" s="153"/>
      <c r="J2" s="153"/>
      <c r="K2" s="153"/>
      <c r="L2" s="153"/>
      <c r="M2" s="153"/>
      <c r="N2" s="153"/>
      <c r="O2" s="157"/>
    </row>
    <row r="3" spans="1:15" ht="16.5" customHeight="1">
      <c r="A3" s="125"/>
      <c r="B3" s="125"/>
      <c r="C3" s="125"/>
      <c r="D3" s="125"/>
      <c r="E3" s="154"/>
      <c r="F3" s="155"/>
      <c r="G3" s="155"/>
      <c r="H3" s="155"/>
      <c r="I3" s="155"/>
      <c r="J3" s="155"/>
      <c r="K3" s="155"/>
      <c r="L3" s="155"/>
      <c r="M3" s="155"/>
      <c r="N3" s="155"/>
      <c r="O3" s="158"/>
    </row>
    <row r="4" spans="1:15" ht="8.1" customHeight="1">
      <c r="A4" s="159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</row>
    <row r="5" spans="1:15" ht="26.45" customHeight="1">
      <c r="A5" s="160" t="s">
        <v>61</v>
      </c>
      <c r="B5" s="161" t="s">
        <v>71</v>
      </c>
      <c r="C5" s="149" t="s">
        <v>4</v>
      </c>
      <c r="D5" s="149"/>
      <c r="E5" s="149" t="s">
        <v>27</v>
      </c>
      <c r="F5" s="146" t="s">
        <v>59</v>
      </c>
      <c r="G5" s="144" t="s">
        <v>23</v>
      </c>
      <c r="H5" s="145"/>
      <c r="I5" s="145"/>
      <c r="J5" s="164"/>
      <c r="K5" s="144" t="s">
        <v>37</v>
      </c>
      <c r="L5" s="145"/>
      <c r="M5" s="145"/>
      <c r="N5" s="145"/>
      <c r="O5" s="146" t="s">
        <v>2</v>
      </c>
    </row>
    <row r="6" spans="1:15" ht="16.5" customHeight="1">
      <c r="A6" s="160"/>
      <c r="B6" s="162"/>
      <c r="C6" s="149" t="s">
        <v>68</v>
      </c>
      <c r="D6" s="149" t="s">
        <v>66</v>
      </c>
      <c r="E6" s="149"/>
      <c r="F6" s="147"/>
      <c r="G6" s="149" t="s">
        <v>68</v>
      </c>
      <c r="H6" s="149"/>
      <c r="I6" s="149" t="s">
        <v>66</v>
      </c>
      <c r="J6" s="149"/>
      <c r="K6" s="149" t="s">
        <v>70</v>
      </c>
      <c r="L6" s="149"/>
      <c r="M6" s="144" t="s">
        <v>67</v>
      </c>
      <c r="N6" s="145"/>
      <c r="O6" s="147"/>
    </row>
    <row r="7" spans="1:15">
      <c r="A7" s="160"/>
      <c r="B7" s="163"/>
      <c r="C7" s="149"/>
      <c r="D7" s="149"/>
      <c r="E7" s="149"/>
      <c r="F7" s="148"/>
      <c r="G7" s="109" t="s">
        <v>4</v>
      </c>
      <c r="H7" s="109" t="s">
        <v>34</v>
      </c>
      <c r="I7" s="112" t="s">
        <v>4</v>
      </c>
      <c r="J7" s="111" t="s">
        <v>34</v>
      </c>
      <c r="K7" s="109" t="s">
        <v>4</v>
      </c>
      <c r="L7" s="109" t="s">
        <v>59</v>
      </c>
      <c r="M7" s="109" t="s">
        <v>4</v>
      </c>
      <c r="N7" s="110" t="s">
        <v>59</v>
      </c>
      <c r="O7" s="148"/>
    </row>
    <row r="8" spans="1:15">
      <c r="A8" s="113" t="str">
        <f>'1. 소켓인수검사'!A9</f>
        <v>01</v>
      </c>
      <c r="B8" s="114" t="s">
        <v>17</v>
      </c>
      <c r="C8" s="70">
        <f>'1. 소켓인수검사'!C9</f>
        <v>200</v>
      </c>
      <c r="D8" s="70">
        <f>'1. 소켓인수검사'!D9</f>
        <v>200</v>
      </c>
      <c r="E8" s="58"/>
      <c r="F8" s="70">
        <v>1</v>
      </c>
      <c r="G8" s="115">
        <f>C8-5</f>
        <v>195</v>
      </c>
      <c r="H8" s="70">
        <f t="shared" ref="H8:H20" si="0">F8*4</f>
        <v>4</v>
      </c>
      <c r="I8" s="116">
        <f t="shared" ref="I8:I20" si="1">D8-30</f>
        <v>170</v>
      </c>
      <c r="J8" s="70">
        <f t="shared" ref="J8:J20" si="2">F8*4</f>
        <v>4</v>
      </c>
      <c r="K8" s="117">
        <f t="shared" ref="K8:K20" si="3">C8+60</f>
        <v>260</v>
      </c>
      <c r="L8" s="70">
        <v>2</v>
      </c>
      <c r="M8" s="117">
        <f>D8</f>
        <v>200</v>
      </c>
      <c r="N8" s="70">
        <v>2</v>
      </c>
      <c r="O8" s="60"/>
    </row>
    <row r="9" spans="1:15">
      <c r="A9" s="118" t="str">
        <f>'1. 소켓인수검사'!A10</f>
        <v>02</v>
      </c>
      <c r="B9" s="119" t="s">
        <v>17</v>
      </c>
      <c r="C9" s="72">
        <f>'1. 소켓인수검사'!C10</f>
        <v>200</v>
      </c>
      <c r="D9" s="72">
        <f>'1. 소켓인수검사'!D10</f>
        <v>200</v>
      </c>
      <c r="E9" s="42"/>
      <c r="F9" s="72">
        <v>1</v>
      </c>
      <c r="G9" s="120">
        <f t="shared" ref="G9:G20" si="4">C9-5</f>
        <v>195</v>
      </c>
      <c r="H9" s="72">
        <f t="shared" si="0"/>
        <v>4</v>
      </c>
      <c r="I9" s="121">
        <f t="shared" si="1"/>
        <v>170</v>
      </c>
      <c r="J9" s="72">
        <f t="shared" si="2"/>
        <v>4</v>
      </c>
      <c r="K9" s="122">
        <f t="shared" si="3"/>
        <v>260</v>
      </c>
      <c r="L9" s="72">
        <v>2</v>
      </c>
      <c r="M9" s="122">
        <f t="shared" ref="M9:M20" si="5">D9</f>
        <v>200</v>
      </c>
      <c r="N9" s="72">
        <v>2</v>
      </c>
      <c r="O9" s="123"/>
    </row>
    <row r="10" spans="1:15">
      <c r="A10" s="118" t="str">
        <f>'1. 소켓인수검사'!A11</f>
        <v>03</v>
      </c>
      <c r="B10" s="119" t="s">
        <v>17</v>
      </c>
      <c r="C10" s="72">
        <f>'1. 소켓인수검사'!C11</f>
        <v>200</v>
      </c>
      <c r="D10" s="72">
        <f>'1. 소켓인수검사'!D11</f>
        <v>200</v>
      </c>
      <c r="E10" s="42"/>
      <c r="F10" s="72">
        <v>1</v>
      </c>
      <c r="G10" s="120">
        <f t="shared" si="4"/>
        <v>195</v>
      </c>
      <c r="H10" s="72">
        <f t="shared" si="0"/>
        <v>4</v>
      </c>
      <c r="I10" s="121">
        <f t="shared" si="1"/>
        <v>170</v>
      </c>
      <c r="J10" s="72">
        <f t="shared" si="2"/>
        <v>4</v>
      </c>
      <c r="K10" s="122">
        <f t="shared" si="3"/>
        <v>260</v>
      </c>
      <c r="L10" s="72">
        <v>2</v>
      </c>
      <c r="M10" s="122">
        <f t="shared" si="5"/>
        <v>200</v>
      </c>
      <c r="N10" s="72">
        <v>2</v>
      </c>
      <c r="O10" s="123"/>
    </row>
    <row r="11" spans="1:15">
      <c r="A11" s="118" t="str">
        <f>'1. 소켓인수검사'!A12</f>
        <v>04</v>
      </c>
      <c r="B11" s="119" t="s">
        <v>17</v>
      </c>
      <c r="C11" s="72">
        <f>'1. 소켓인수검사'!C12</f>
        <v>200</v>
      </c>
      <c r="D11" s="72">
        <f>'1. 소켓인수검사'!D12</f>
        <v>200</v>
      </c>
      <c r="E11" s="42"/>
      <c r="F11" s="72">
        <v>1</v>
      </c>
      <c r="G11" s="120">
        <f t="shared" si="4"/>
        <v>195</v>
      </c>
      <c r="H11" s="72">
        <f t="shared" si="0"/>
        <v>4</v>
      </c>
      <c r="I11" s="121">
        <f t="shared" si="1"/>
        <v>170</v>
      </c>
      <c r="J11" s="72">
        <f t="shared" si="2"/>
        <v>4</v>
      </c>
      <c r="K11" s="122">
        <f t="shared" si="3"/>
        <v>260</v>
      </c>
      <c r="L11" s="72">
        <v>2</v>
      </c>
      <c r="M11" s="122">
        <f t="shared" si="5"/>
        <v>200</v>
      </c>
      <c r="N11" s="72">
        <v>2</v>
      </c>
      <c r="O11" s="123"/>
    </row>
    <row r="12" spans="1:15">
      <c r="A12" s="118" t="str">
        <f>'1. 소켓인수검사'!A13</f>
        <v>05</v>
      </c>
      <c r="B12" s="119" t="s">
        <v>17</v>
      </c>
      <c r="C12" s="72">
        <f>'1. 소켓인수검사'!C13</f>
        <v>300</v>
      </c>
      <c r="D12" s="72">
        <f>'1. 소켓인수검사'!D13</f>
        <v>250</v>
      </c>
      <c r="E12" s="42"/>
      <c r="F12" s="72">
        <v>1</v>
      </c>
      <c r="G12" s="120">
        <f t="shared" si="4"/>
        <v>295</v>
      </c>
      <c r="H12" s="72">
        <f t="shared" si="0"/>
        <v>4</v>
      </c>
      <c r="I12" s="121">
        <f t="shared" si="1"/>
        <v>220</v>
      </c>
      <c r="J12" s="72">
        <f t="shared" si="2"/>
        <v>4</v>
      </c>
      <c r="K12" s="122">
        <f t="shared" si="3"/>
        <v>360</v>
      </c>
      <c r="L12" s="72">
        <v>2</v>
      </c>
      <c r="M12" s="122">
        <f t="shared" si="5"/>
        <v>250</v>
      </c>
      <c r="N12" s="72">
        <v>2</v>
      </c>
      <c r="O12" s="123"/>
    </row>
    <row r="13" spans="1:15">
      <c r="A13" s="118" t="str">
        <f>'1. 소켓인수검사'!A14</f>
        <v>06</v>
      </c>
      <c r="B13" s="119" t="s">
        <v>17</v>
      </c>
      <c r="C13" s="72">
        <f>'1. 소켓인수검사'!C14</f>
        <v>300</v>
      </c>
      <c r="D13" s="72">
        <f>'1. 소켓인수검사'!D14</f>
        <v>250</v>
      </c>
      <c r="E13" s="42"/>
      <c r="F13" s="72">
        <v>1</v>
      </c>
      <c r="G13" s="120">
        <f t="shared" si="4"/>
        <v>295</v>
      </c>
      <c r="H13" s="72">
        <f t="shared" si="0"/>
        <v>4</v>
      </c>
      <c r="I13" s="121">
        <f t="shared" si="1"/>
        <v>220</v>
      </c>
      <c r="J13" s="72">
        <f t="shared" si="2"/>
        <v>4</v>
      </c>
      <c r="K13" s="122">
        <f t="shared" si="3"/>
        <v>360</v>
      </c>
      <c r="L13" s="72">
        <v>2</v>
      </c>
      <c r="M13" s="122">
        <f t="shared" si="5"/>
        <v>250</v>
      </c>
      <c r="N13" s="72">
        <v>2</v>
      </c>
      <c r="O13" s="123"/>
    </row>
    <row r="14" spans="1:15">
      <c r="A14" s="118" t="str">
        <f>'1. 소켓인수검사'!A15</f>
        <v>07</v>
      </c>
      <c r="B14" s="119" t="s">
        <v>17</v>
      </c>
      <c r="C14" s="72">
        <f>'1. 소켓인수검사'!C15</f>
        <v>350</v>
      </c>
      <c r="D14" s="72">
        <f>'1. 소켓인수검사'!D15</f>
        <v>200</v>
      </c>
      <c r="E14" s="42"/>
      <c r="F14" s="72">
        <v>1</v>
      </c>
      <c r="G14" s="120">
        <f t="shared" si="4"/>
        <v>345</v>
      </c>
      <c r="H14" s="72">
        <f t="shared" si="0"/>
        <v>4</v>
      </c>
      <c r="I14" s="121">
        <f t="shared" si="1"/>
        <v>170</v>
      </c>
      <c r="J14" s="72">
        <f t="shared" si="2"/>
        <v>4</v>
      </c>
      <c r="K14" s="122">
        <f t="shared" si="3"/>
        <v>410</v>
      </c>
      <c r="L14" s="72">
        <v>2</v>
      </c>
      <c r="M14" s="122">
        <f t="shared" si="5"/>
        <v>200</v>
      </c>
      <c r="N14" s="72">
        <v>2</v>
      </c>
      <c r="O14" s="123"/>
    </row>
    <row r="15" spans="1:15">
      <c r="A15" s="118" t="str">
        <f>'1. 소켓인수검사'!A16</f>
        <v>08</v>
      </c>
      <c r="B15" s="119" t="s">
        <v>17</v>
      </c>
      <c r="C15" s="72">
        <f>'1. 소켓인수검사'!C16</f>
        <v>350</v>
      </c>
      <c r="D15" s="72">
        <f>'1. 소켓인수검사'!D16</f>
        <v>200</v>
      </c>
      <c r="E15" s="42"/>
      <c r="F15" s="72">
        <v>1</v>
      </c>
      <c r="G15" s="120">
        <f t="shared" si="4"/>
        <v>345</v>
      </c>
      <c r="H15" s="72">
        <f t="shared" si="0"/>
        <v>4</v>
      </c>
      <c r="I15" s="121">
        <f t="shared" si="1"/>
        <v>170</v>
      </c>
      <c r="J15" s="72">
        <f t="shared" si="2"/>
        <v>4</v>
      </c>
      <c r="K15" s="122">
        <f t="shared" si="3"/>
        <v>410</v>
      </c>
      <c r="L15" s="72">
        <v>2</v>
      </c>
      <c r="M15" s="122">
        <f t="shared" si="5"/>
        <v>200</v>
      </c>
      <c r="N15" s="72">
        <v>2</v>
      </c>
      <c r="O15" s="123"/>
    </row>
    <row r="16" spans="1:15">
      <c r="A16" s="118" t="str">
        <f>'1. 소켓인수검사'!A17</f>
        <v>09</v>
      </c>
      <c r="B16" s="119" t="s">
        <v>17</v>
      </c>
      <c r="C16" s="72">
        <f>'1. 소켓인수검사'!C17</f>
        <v>500</v>
      </c>
      <c r="D16" s="72">
        <f>'1. 소켓인수검사'!D17</f>
        <v>400</v>
      </c>
      <c r="E16" s="42"/>
      <c r="F16" s="72">
        <v>1</v>
      </c>
      <c r="G16" s="120">
        <f t="shared" si="4"/>
        <v>495</v>
      </c>
      <c r="H16" s="72">
        <f t="shared" si="0"/>
        <v>4</v>
      </c>
      <c r="I16" s="121">
        <f t="shared" si="1"/>
        <v>370</v>
      </c>
      <c r="J16" s="72">
        <f t="shared" si="2"/>
        <v>4</v>
      </c>
      <c r="K16" s="122">
        <f t="shared" si="3"/>
        <v>560</v>
      </c>
      <c r="L16" s="72">
        <v>2</v>
      </c>
      <c r="M16" s="122">
        <f t="shared" si="5"/>
        <v>400</v>
      </c>
      <c r="N16" s="72">
        <v>2</v>
      </c>
      <c r="O16" s="123"/>
    </row>
    <row r="17" spans="1:15">
      <c r="A17" s="118" t="str">
        <f>'1. 소켓인수검사'!A18</f>
        <v>10</v>
      </c>
      <c r="B17" s="119" t="s">
        <v>17</v>
      </c>
      <c r="C17" s="72">
        <f>'1. 소켓인수검사'!C18</f>
        <v>500</v>
      </c>
      <c r="D17" s="72">
        <f>'1. 소켓인수검사'!D18</f>
        <v>400</v>
      </c>
      <c r="E17" s="42"/>
      <c r="F17" s="72">
        <v>1</v>
      </c>
      <c r="G17" s="120">
        <f t="shared" si="4"/>
        <v>495</v>
      </c>
      <c r="H17" s="72">
        <f t="shared" si="0"/>
        <v>4</v>
      </c>
      <c r="I17" s="121">
        <f t="shared" si="1"/>
        <v>370</v>
      </c>
      <c r="J17" s="72">
        <f t="shared" si="2"/>
        <v>4</v>
      </c>
      <c r="K17" s="122">
        <f t="shared" si="3"/>
        <v>560</v>
      </c>
      <c r="L17" s="72">
        <v>2</v>
      </c>
      <c r="M17" s="122">
        <f t="shared" si="5"/>
        <v>400</v>
      </c>
      <c r="N17" s="72">
        <v>2</v>
      </c>
      <c r="O17" s="123"/>
    </row>
    <row r="18" spans="1:15">
      <c r="A18" s="118" t="str">
        <f>'1. 소켓인수검사'!A19</f>
        <v>11</v>
      </c>
      <c r="B18" s="119" t="s">
        <v>17</v>
      </c>
      <c r="C18" s="72">
        <f>'1. 소켓인수검사'!C19</f>
        <v>500</v>
      </c>
      <c r="D18" s="72">
        <f>'1. 소켓인수검사'!D19</f>
        <v>400</v>
      </c>
      <c r="E18" s="42"/>
      <c r="F18" s="72">
        <v>1</v>
      </c>
      <c r="G18" s="120">
        <f t="shared" si="4"/>
        <v>495</v>
      </c>
      <c r="H18" s="72">
        <f t="shared" si="0"/>
        <v>4</v>
      </c>
      <c r="I18" s="121">
        <f t="shared" si="1"/>
        <v>370</v>
      </c>
      <c r="J18" s="72">
        <f t="shared" si="2"/>
        <v>4</v>
      </c>
      <c r="K18" s="122">
        <f t="shared" si="3"/>
        <v>560</v>
      </c>
      <c r="L18" s="72">
        <v>2</v>
      </c>
      <c r="M18" s="122">
        <f t="shared" si="5"/>
        <v>400</v>
      </c>
      <c r="N18" s="72">
        <v>2</v>
      </c>
      <c r="O18" s="123"/>
    </row>
    <row r="19" spans="1:15">
      <c r="A19" s="118" t="str">
        <f>'1. 소켓인수검사'!A20</f>
        <v>12</v>
      </c>
      <c r="B19" s="119" t="s">
        <v>17</v>
      </c>
      <c r="C19" s="72">
        <f>'1. 소켓인수검사'!C20</f>
        <v>500</v>
      </c>
      <c r="D19" s="72">
        <f>'1. 소켓인수검사'!D20</f>
        <v>400</v>
      </c>
      <c r="E19" s="42"/>
      <c r="F19" s="72">
        <v>1</v>
      </c>
      <c r="G19" s="120">
        <f t="shared" si="4"/>
        <v>495</v>
      </c>
      <c r="H19" s="72">
        <f t="shared" si="0"/>
        <v>4</v>
      </c>
      <c r="I19" s="121">
        <f t="shared" si="1"/>
        <v>370</v>
      </c>
      <c r="J19" s="72">
        <f t="shared" si="2"/>
        <v>4</v>
      </c>
      <c r="K19" s="122">
        <f t="shared" si="3"/>
        <v>560</v>
      </c>
      <c r="L19" s="72">
        <v>2</v>
      </c>
      <c r="M19" s="122">
        <f t="shared" si="5"/>
        <v>400</v>
      </c>
      <c r="N19" s="72">
        <v>2</v>
      </c>
      <c r="O19" s="123"/>
    </row>
    <row r="20" spans="1:15">
      <c r="A20" s="118" t="str">
        <f>'1. 소켓인수검사'!A21</f>
        <v>13</v>
      </c>
      <c r="B20" s="119" t="s">
        <v>17</v>
      </c>
      <c r="C20" s="72">
        <f>'1. 소켓인수검사'!C21</f>
        <v>500</v>
      </c>
      <c r="D20" s="72">
        <f>'1. 소켓인수검사'!D21</f>
        <v>400</v>
      </c>
      <c r="E20" s="42"/>
      <c r="F20" s="72">
        <v>1</v>
      </c>
      <c r="G20" s="120">
        <f t="shared" si="4"/>
        <v>495</v>
      </c>
      <c r="H20" s="72">
        <f t="shared" si="0"/>
        <v>4</v>
      </c>
      <c r="I20" s="121">
        <f t="shared" si="1"/>
        <v>370</v>
      </c>
      <c r="J20" s="72">
        <f t="shared" si="2"/>
        <v>4</v>
      </c>
      <c r="K20" s="122">
        <f t="shared" si="3"/>
        <v>560</v>
      </c>
      <c r="L20" s="72">
        <v>2</v>
      </c>
      <c r="M20" s="122">
        <f t="shared" si="5"/>
        <v>400</v>
      </c>
      <c r="N20" s="72">
        <v>2</v>
      </c>
      <c r="O20" s="123"/>
    </row>
    <row r="21" spans="1:15" ht="8.1" customHeight="1">
      <c r="A21" s="125"/>
      <c r="B21" s="125"/>
      <c r="C21" s="125"/>
      <c r="D21" s="125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</row>
    <row r="22" spans="1:15">
      <c r="A22" s="125" t="s">
        <v>49</v>
      </c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</row>
    <row r="23" spans="1:15">
      <c r="A23" s="125"/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</row>
    <row r="24" spans="1:15">
      <c r="A24" s="125"/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</row>
  </sheetData>
  <mergeCells count="21">
    <mergeCell ref="A1:D3"/>
    <mergeCell ref="E1:G3"/>
    <mergeCell ref="H1:O3"/>
    <mergeCell ref="A4:O4"/>
    <mergeCell ref="A5:A7"/>
    <mergeCell ref="B5:B7"/>
    <mergeCell ref="C5:D5"/>
    <mergeCell ref="E5:E7"/>
    <mergeCell ref="F5:F7"/>
    <mergeCell ref="G5:J5"/>
    <mergeCell ref="A21:O21"/>
    <mergeCell ref="A22:C24"/>
    <mergeCell ref="D22:O24"/>
    <mergeCell ref="K5:N5"/>
    <mergeCell ref="O5:O7"/>
    <mergeCell ref="C6:C7"/>
    <mergeCell ref="D6:D7"/>
    <mergeCell ref="G6:H6"/>
    <mergeCell ref="I6:J6"/>
    <mergeCell ref="K6:L6"/>
    <mergeCell ref="M6:N6"/>
  </mergeCells>
  <phoneticPr fontId="30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O16"/>
  <sheetViews>
    <sheetView zoomScaleNormal="100" zoomScaleSheetLayoutView="100" workbookViewId="0">
      <selection activeCell="J25" sqref="J25"/>
    </sheetView>
  </sheetViews>
  <sheetFormatPr defaultColWidth="9" defaultRowHeight="16.5"/>
  <cols>
    <col min="1" max="1" width="5.125" bestFit="1" customWidth="1"/>
    <col min="2" max="2" width="6" customWidth="1"/>
    <col min="3" max="4" width="8.125" customWidth="1"/>
    <col min="5" max="5" width="13.875" customWidth="1"/>
    <col min="6" max="6" width="5.125" customWidth="1"/>
    <col min="7" max="7" width="7" style="5" customWidth="1"/>
    <col min="8" max="8" width="7.75" style="5" customWidth="1"/>
    <col min="9" max="9" width="5.25" style="5" bestFit="1" customWidth="1"/>
    <col min="10" max="10" width="8" style="5" customWidth="1"/>
    <col min="11" max="11" width="7.375" customWidth="1"/>
    <col min="12" max="12" width="5.875" customWidth="1"/>
    <col min="13" max="13" width="7.125" customWidth="1"/>
    <col min="14" max="14" width="6.25" customWidth="1"/>
    <col min="15" max="15" width="25.5" customWidth="1"/>
  </cols>
  <sheetData>
    <row r="1" spans="1:15" ht="16.5" customHeight="1">
      <c r="A1" s="125"/>
      <c r="B1" s="125"/>
      <c r="C1" s="125"/>
      <c r="D1" s="125"/>
      <c r="E1" s="165" t="s">
        <v>73</v>
      </c>
      <c r="F1" s="166"/>
      <c r="G1" s="166"/>
      <c r="H1" s="171" t="str">
        <f>'1. 소켓인수검사'!R2</f>
        <v>26.06.05 웰스홈_LT삼보_(주)우리이엔씨_LX판토스 신항에코 물류센터</v>
      </c>
      <c r="I1" s="171"/>
      <c r="J1" s="171"/>
      <c r="K1" s="171"/>
      <c r="L1" s="171"/>
      <c r="M1" s="171"/>
      <c r="N1" s="171"/>
      <c r="O1" s="172"/>
    </row>
    <row r="2" spans="1:15" ht="38.25" customHeight="1">
      <c r="A2" s="125"/>
      <c r="B2" s="125"/>
      <c r="C2" s="125"/>
      <c r="D2" s="125"/>
      <c r="E2" s="167"/>
      <c r="F2" s="168"/>
      <c r="G2" s="168"/>
      <c r="H2" s="173"/>
      <c r="I2" s="173"/>
      <c r="J2" s="173"/>
      <c r="K2" s="173"/>
      <c r="L2" s="173"/>
      <c r="M2" s="173"/>
      <c r="N2" s="173"/>
      <c r="O2" s="174"/>
    </row>
    <row r="3" spans="1:15" ht="38.25" customHeight="1">
      <c r="A3" s="125"/>
      <c r="B3" s="125"/>
      <c r="C3" s="125"/>
      <c r="D3" s="125"/>
      <c r="E3" s="169"/>
      <c r="F3" s="170"/>
      <c r="G3" s="170"/>
      <c r="H3" s="175"/>
      <c r="I3" s="175"/>
      <c r="J3" s="175"/>
      <c r="K3" s="175"/>
      <c r="L3" s="175"/>
      <c r="M3" s="175"/>
      <c r="N3" s="175"/>
      <c r="O3" s="176"/>
    </row>
    <row r="4" spans="1:15" ht="8.1" customHeight="1">
      <c r="A4" s="177"/>
      <c r="B4" s="178"/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9"/>
      <c r="O4" s="15"/>
    </row>
    <row r="5" spans="1:15" s="18" customFormat="1" ht="26.45" customHeight="1">
      <c r="A5" s="180" t="s">
        <v>61</v>
      </c>
      <c r="B5" s="182" t="s">
        <v>71</v>
      </c>
      <c r="C5" s="184" t="s">
        <v>4</v>
      </c>
      <c r="D5" s="184"/>
      <c r="E5" s="184" t="s">
        <v>27</v>
      </c>
      <c r="F5" s="184" t="s">
        <v>59</v>
      </c>
      <c r="G5" s="184" t="s">
        <v>23</v>
      </c>
      <c r="H5" s="184"/>
      <c r="I5" s="184"/>
      <c r="J5" s="184"/>
      <c r="K5" s="184" t="s">
        <v>37</v>
      </c>
      <c r="L5" s="184"/>
      <c r="M5" s="184"/>
      <c r="N5" s="184"/>
      <c r="O5" s="186" t="s">
        <v>2</v>
      </c>
    </row>
    <row r="6" spans="1:15" s="18" customFormat="1" ht="16.5" customHeight="1">
      <c r="A6" s="181"/>
      <c r="B6" s="183"/>
      <c r="C6" s="185" t="s">
        <v>68</v>
      </c>
      <c r="D6" s="185" t="s">
        <v>66</v>
      </c>
      <c r="E6" s="185"/>
      <c r="F6" s="185"/>
      <c r="G6" s="188" t="s">
        <v>68</v>
      </c>
      <c r="H6" s="188"/>
      <c r="I6" s="188" t="s">
        <v>66</v>
      </c>
      <c r="J6" s="188"/>
      <c r="K6" s="185" t="s">
        <v>70</v>
      </c>
      <c r="L6" s="185"/>
      <c r="M6" s="185" t="s">
        <v>67</v>
      </c>
      <c r="N6" s="185"/>
      <c r="O6" s="187"/>
    </row>
    <row r="7" spans="1:15" s="18" customFormat="1" ht="16.5" customHeight="1">
      <c r="A7" s="181"/>
      <c r="B7" s="183"/>
      <c r="C7" s="185"/>
      <c r="D7" s="185"/>
      <c r="E7" s="185"/>
      <c r="F7" s="185"/>
      <c r="G7" s="97" t="s">
        <v>4</v>
      </c>
      <c r="H7" s="97" t="s">
        <v>34</v>
      </c>
      <c r="I7" s="97" t="s">
        <v>4</v>
      </c>
      <c r="J7" s="97" t="s">
        <v>34</v>
      </c>
      <c r="K7" s="98" t="s">
        <v>4</v>
      </c>
      <c r="L7" s="98" t="s">
        <v>59</v>
      </c>
      <c r="M7" s="98" t="s">
        <v>4</v>
      </c>
      <c r="N7" s="98" t="s">
        <v>59</v>
      </c>
      <c r="O7" s="187"/>
    </row>
    <row r="8" spans="1:15">
      <c r="A8" s="93" t="str">
        <f>'1. 소켓인수검사'!A22</f>
        <v>14</v>
      </c>
      <c r="B8" s="99" t="s">
        <v>51</v>
      </c>
      <c r="C8" s="41">
        <f>'1. 소켓인수검사'!C22</f>
        <v>1500</v>
      </c>
      <c r="D8" s="41">
        <f>'1. 소켓인수검사'!D22</f>
        <v>550</v>
      </c>
      <c r="E8" s="42"/>
      <c r="F8" s="41">
        <v>1</v>
      </c>
      <c r="G8" s="66">
        <f>(C8-30)/2-5</f>
        <v>730</v>
      </c>
      <c r="H8" s="72">
        <f>F8*8*2</f>
        <v>16</v>
      </c>
      <c r="I8" s="108">
        <f>(D8-20)/2-10</f>
        <v>255</v>
      </c>
      <c r="J8" s="72">
        <f>F8*16</f>
        <v>16</v>
      </c>
      <c r="K8" s="67">
        <f t="shared" ref="K8" si="0">C8+60</f>
        <v>1560</v>
      </c>
      <c r="L8" s="100">
        <v>4</v>
      </c>
      <c r="M8" s="67">
        <f>D8</f>
        <v>550</v>
      </c>
      <c r="N8" s="100">
        <v>4</v>
      </c>
      <c r="O8" s="63"/>
    </row>
    <row r="9" spans="1:15">
      <c r="A9" s="195"/>
      <c r="B9" s="196"/>
      <c r="C9" s="196"/>
      <c r="D9" s="101"/>
      <c r="E9" s="102"/>
      <c r="F9" s="102"/>
      <c r="G9" s="103"/>
      <c r="H9" s="68">
        <f>SUM(H8:H8)</f>
        <v>16</v>
      </c>
      <c r="I9" s="103"/>
      <c r="J9" s="68">
        <f>SUM(J8:J8)</f>
        <v>16</v>
      </c>
      <c r="K9" s="101"/>
      <c r="L9" s="68">
        <f>SUM(L8:L8)</f>
        <v>4</v>
      </c>
      <c r="M9" s="101"/>
      <c r="N9" s="68">
        <f>SUM(N8:N8)</f>
        <v>4</v>
      </c>
      <c r="O9" s="69"/>
    </row>
    <row r="10" spans="1:15" ht="8.1" customHeight="1">
      <c r="A10" s="189"/>
      <c r="B10" s="190"/>
      <c r="C10" s="190"/>
      <c r="D10" s="190"/>
      <c r="E10" s="190"/>
      <c r="F10" s="190"/>
      <c r="G10" s="190"/>
      <c r="H10" s="190"/>
      <c r="I10" s="190"/>
      <c r="J10" s="190"/>
      <c r="K10" s="190"/>
      <c r="L10" s="190"/>
      <c r="M10" s="190"/>
      <c r="N10" s="191"/>
      <c r="O10" s="4"/>
    </row>
    <row r="11" spans="1:15">
      <c r="A11" s="125" t="s">
        <v>18</v>
      </c>
      <c r="B11" s="125"/>
      <c r="C11" s="125"/>
      <c r="D11" s="189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1"/>
    </row>
    <row r="12" spans="1:15">
      <c r="A12" s="125"/>
      <c r="B12" s="125"/>
      <c r="C12" s="125"/>
      <c r="D12" s="177"/>
      <c r="E12" s="178"/>
      <c r="F12" s="178"/>
      <c r="G12" s="178"/>
      <c r="H12" s="178"/>
      <c r="I12" s="178"/>
      <c r="J12" s="178"/>
      <c r="K12" s="178"/>
      <c r="L12" s="178"/>
      <c r="M12" s="178"/>
      <c r="N12" s="178"/>
      <c r="O12" s="179"/>
    </row>
    <row r="13" spans="1:15">
      <c r="A13" s="125"/>
      <c r="B13" s="125"/>
      <c r="C13" s="125"/>
      <c r="D13" s="177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9"/>
    </row>
    <row r="14" spans="1:15">
      <c r="A14" s="125"/>
      <c r="B14" s="125"/>
      <c r="C14" s="125"/>
      <c r="D14" s="177"/>
      <c r="E14" s="178"/>
      <c r="F14" s="178"/>
      <c r="G14" s="178"/>
      <c r="H14" s="178"/>
      <c r="I14" s="178"/>
      <c r="J14" s="178"/>
      <c r="K14" s="178"/>
      <c r="L14" s="178"/>
      <c r="M14" s="178"/>
      <c r="N14" s="178"/>
      <c r="O14" s="179"/>
    </row>
    <row r="15" spans="1:15">
      <c r="A15" s="125"/>
      <c r="B15" s="125"/>
      <c r="C15" s="125"/>
      <c r="D15" s="177"/>
      <c r="E15" s="178"/>
      <c r="F15" s="178"/>
      <c r="G15" s="178"/>
      <c r="H15" s="178"/>
      <c r="I15" s="178"/>
      <c r="J15" s="178"/>
      <c r="K15" s="178"/>
      <c r="L15" s="178"/>
      <c r="M15" s="178"/>
      <c r="N15" s="178"/>
      <c r="O15" s="179"/>
    </row>
    <row r="16" spans="1:15">
      <c r="A16" s="125"/>
      <c r="B16" s="125"/>
      <c r="C16" s="125"/>
      <c r="D16" s="192"/>
      <c r="E16" s="193"/>
      <c r="F16" s="193"/>
      <c r="G16" s="193"/>
      <c r="H16" s="193"/>
      <c r="I16" s="193"/>
      <c r="J16" s="193"/>
      <c r="K16" s="193"/>
      <c r="L16" s="193"/>
      <c r="M16" s="193"/>
      <c r="N16" s="193"/>
      <c r="O16" s="194"/>
    </row>
  </sheetData>
  <mergeCells count="22">
    <mergeCell ref="K6:L6"/>
    <mergeCell ref="M6:N6"/>
    <mergeCell ref="A11:C16"/>
    <mergeCell ref="D11:O16"/>
    <mergeCell ref="A9:C9"/>
    <mergeCell ref="A10:N10"/>
    <mergeCell ref="E1:G3"/>
    <mergeCell ref="H1:O3"/>
    <mergeCell ref="A1:D3"/>
    <mergeCell ref="A4:N4"/>
    <mergeCell ref="A5:A7"/>
    <mergeCell ref="B5:B7"/>
    <mergeCell ref="C5:D5"/>
    <mergeCell ref="E5:E7"/>
    <mergeCell ref="F5:F7"/>
    <mergeCell ref="G5:J5"/>
    <mergeCell ref="K5:N5"/>
    <mergeCell ref="O5:O7"/>
    <mergeCell ref="C6:C7"/>
    <mergeCell ref="D6:D7"/>
    <mergeCell ref="G6:H6"/>
    <mergeCell ref="I6:J6"/>
  </mergeCells>
  <phoneticPr fontId="30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K24"/>
  <sheetViews>
    <sheetView zoomScaleNormal="100" zoomScaleSheetLayoutView="100" workbookViewId="0">
      <selection activeCell="K30" sqref="K30"/>
    </sheetView>
  </sheetViews>
  <sheetFormatPr defaultColWidth="9" defaultRowHeight="16.5"/>
  <cols>
    <col min="1" max="1" width="5.125" bestFit="1" customWidth="1"/>
    <col min="2" max="2" width="8.125" customWidth="1"/>
    <col min="3" max="4" width="6.875" customWidth="1"/>
    <col min="5" max="5" width="13.875" customWidth="1"/>
    <col min="6" max="6" width="5.75" customWidth="1"/>
    <col min="7" max="7" width="7.5" customWidth="1"/>
    <col min="8" max="8" width="5.5" customWidth="1"/>
    <col min="9" max="9" width="7.5" customWidth="1"/>
    <col min="10" max="10" width="5.5" customWidth="1"/>
    <col min="11" max="11" width="26.875" customWidth="1"/>
  </cols>
  <sheetData>
    <row r="1" spans="1:11" ht="16.5" customHeight="1">
      <c r="A1" s="125"/>
      <c r="B1" s="125"/>
      <c r="C1" s="125"/>
      <c r="D1" s="125"/>
      <c r="E1" s="199" t="s">
        <v>94</v>
      </c>
      <c r="F1" s="200"/>
      <c r="G1" s="205" t="str">
        <f>'1. 소켓인수검사'!R2</f>
        <v>26.06.05 웰스홈_LT삼보_(주)우리이엔씨_LX판토스 신항에코 물류센터</v>
      </c>
      <c r="H1" s="205"/>
      <c r="I1" s="205"/>
      <c r="J1" s="205"/>
      <c r="K1" s="206"/>
    </row>
    <row r="2" spans="1:11" ht="16.5" customHeight="1">
      <c r="A2" s="125"/>
      <c r="B2" s="125"/>
      <c r="C2" s="125"/>
      <c r="D2" s="125"/>
      <c r="E2" s="201"/>
      <c r="F2" s="202"/>
      <c r="G2" s="207"/>
      <c r="H2" s="207"/>
      <c r="I2" s="207"/>
      <c r="J2" s="207"/>
      <c r="K2" s="208"/>
    </row>
    <row r="3" spans="1:11" ht="16.5" customHeight="1">
      <c r="A3" s="125"/>
      <c r="B3" s="125"/>
      <c r="C3" s="125"/>
      <c r="D3" s="125"/>
      <c r="E3" s="203"/>
      <c r="F3" s="204"/>
      <c r="G3" s="209"/>
      <c r="H3" s="209"/>
      <c r="I3" s="209"/>
      <c r="J3" s="209"/>
      <c r="K3" s="210"/>
    </row>
    <row r="4" spans="1:11" ht="8.1" customHeight="1">
      <c r="A4" s="193"/>
      <c r="B4" s="193"/>
      <c r="C4" s="193"/>
      <c r="D4" s="193"/>
      <c r="E4" s="193"/>
      <c r="F4" s="193"/>
      <c r="G4" s="193"/>
      <c r="H4" s="193"/>
      <c r="I4" s="193"/>
      <c r="J4" s="193"/>
      <c r="K4" s="193"/>
    </row>
    <row r="5" spans="1:11" ht="26.45" customHeight="1">
      <c r="A5" s="211" t="s">
        <v>61</v>
      </c>
      <c r="B5" s="212" t="s">
        <v>71</v>
      </c>
      <c r="C5" s="215" t="s">
        <v>4</v>
      </c>
      <c r="D5" s="215"/>
      <c r="E5" s="215" t="s">
        <v>27</v>
      </c>
      <c r="F5" s="216" t="s">
        <v>59</v>
      </c>
      <c r="G5" s="197" t="s">
        <v>37</v>
      </c>
      <c r="H5" s="198"/>
      <c r="I5" s="198"/>
      <c r="J5" s="198"/>
      <c r="K5" s="216" t="s">
        <v>2</v>
      </c>
    </row>
    <row r="6" spans="1:11" ht="16.5" customHeight="1">
      <c r="A6" s="211"/>
      <c r="B6" s="213"/>
      <c r="C6" s="215" t="s">
        <v>68</v>
      </c>
      <c r="D6" s="215" t="s">
        <v>66</v>
      </c>
      <c r="E6" s="215"/>
      <c r="F6" s="217"/>
      <c r="G6" s="215" t="s">
        <v>70</v>
      </c>
      <c r="H6" s="215"/>
      <c r="I6" s="197" t="s">
        <v>67</v>
      </c>
      <c r="J6" s="198"/>
      <c r="K6" s="217"/>
    </row>
    <row r="7" spans="1:11">
      <c r="A7" s="211"/>
      <c r="B7" s="214"/>
      <c r="C7" s="215"/>
      <c r="D7" s="215"/>
      <c r="E7" s="215"/>
      <c r="F7" s="218"/>
      <c r="G7" s="16" t="s">
        <v>4</v>
      </c>
      <c r="H7" s="16" t="s">
        <v>59</v>
      </c>
      <c r="I7" s="16" t="s">
        <v>4</v>
      </c>
      <c r="J7" s="17" t="s">
        <v>59</v>
      </c>
      <c r="K7" s="218"/>
    </row>
    <row r="8" spans="1:11">
      <c r="A8" s="91" t="str">
        <f>'1. 소켓인수검사'!A9</f>
        <v>01</v>
      </c>
      <c r="B8" s="62" t="s">
        <v>17</v>
      </c>
      <c r="C8" s="57">
        <f>'1. 소켓인수검사'!C9</f>
        <v>200</v>
      </c>
      <c r="D8" s="57">
        <f>'1. 소켓인수검사'!D9</f>
        <v>200</v>
      </c>
      <c r="E8" s="58"/>
      <c r="F8" s="57">
        <v>1</v>
      </c>
      <c r="G8" s="92">
        <f t="shared" ref="G8:G11" si="0">C8+60</f>
        <v>260</v>
      </c>
      <c r="H8" s="57">
        <v>2</v>
      </c>
      <c r="I8" s="92">
        <f>D8</f>
        <v>200</v>
      </c>
      <c r="J8" s="57">
        <v>2</v>
      </c>
      <c r="K8" s="60"/>
    </row>
    <row r="9" spans="1:11">
      <c r="A9" s="93" t="str">
        <f>'1. 소켓인수검사'!A10</f>
        <v>02</v>
      </c>
      <c r="B9" s="62" t="s">
        <v>17</v>
      </c>
      <c r="C9" s="41">
        <f>'1. 소켓인수검사'!C10</f>
        <v>200</v>
      </c>
      <c r="D9" s="41">
        <f>'1. 소켓인수검사'!D10</f>
        <v>200</v>
      </c>
      <c r="E9" s="42"/>
      <c r="F9" s="41">
        <v>1</v>
      </c>
      <c r="G9" s="64">
        <f t="shared" si="0"/>
        <v>260</v>
      </c>
      <c r="H9" s="41">
        <v>2</v>
      </c>
      <c r="I9" s="64">
        <f t="shared" ref="I9:I20" si="1">D9</f>
        <v>200</v>
      </c>
      <c r="J9" s="41">
        <v>2</v>
      </c>
      <c r="K9" s="63"/>
    </row>
    <row r="10" spans="1:11">
      <c r="A10" s="93" t="str">
        <f>'1. 소켓인수검사'!A11</f>
        <v>03</v>
      </c>
      <c r="B10" s="62" t="s">
        <v>17</v>
      </c>
      <c r="C10" s="41">
        <f>'1. 소켓인수검사'!C11</f>
        <v>200</v>
      </c>
      <c r="D10" s="41">
        <f>'1. 소켓인수검사'!D11</f>
        <v>200</v>
      </c>
      <c r="E10" s="42"/>
      <c r="F10" s="41">
        <v>1</v>
      </c>
      <c r="G10" s="64">
        <f t="shared" si="0"/>
        <v>260</v>
      </c>
      <c r="H10" s="41">
        <v>2</v>
      </c>
      <c r="I10" s="64">
        <f t="shared" si="1"/>
        <v>200</v>
      </c>
      <c r="J10" s="41">
        <v>2</v>
      </c>
      <c r="K10" s="63"/>
    </row>
    <row r="11" spans="1:11">
      <c r="A11" s="93" t="str">
        <f>'1. 소켓인수검사'!A12</f>
        <v>04</v>
      </c>
      <c r="B11" s="62" t="s">
        <v>17</v>
      </c>
      <c r="C11" s="41">
        <f>'1. 소켓인수검사'!C12</f>
        <v>200</v>
      </c>
      <c r="D11" s="41">
        <f>'1. 소켓인수검사'!D12</f>
        <v>200</v>
      </c>
      <c r="E11" s="42"/>
      <c r="F11" s="41">
        <v>1</v>
      </c>
      <c r="G11" s="64">
        <f t="shared" si="0"/>
        <v>260</v>
      </c>
      <c r="H11" s="41">
        <v>2</v>
      </c>
      <c r="I11" s="64">
        <f t="shared" si="1"/>
        <v>200</v>
      </c>
      <c r="J11" s="41">
        <v>2</v>
      </c>
      <c r="K11" s="63"/>
    </row>
    <row r="12" spans="1:11">
      <c r="A12" s="93" t="str">
        <f>'1. 소켓인수검사'!A13</f>
        <v>05</v>
      </c>
      <c r="B12" s="62" t="s">
        <v>17</v>
      </c>
      <c r="C12" s="41">
        <f>'1. 소켓인수검사'!C13</f>
        <v>300</v>
      </c>
      <c r="D12" s="41">
        <f>'1. 소켓인수검사'!D13</f>
        <v>250</v>
      </c>
      <c r="E12" s="42"/>
      <c r="F12" s="41">
        <v>1</v>
      </c>
      <c r="G12" s="64">
        <f t="shared" ref="G12:G19" si="2">C12+60</f>
        <v>360</v>
      </c>
      <c r="H12" s="41">
        <v>2</v>
      </c>
      <c r="I12" s="64">
        <f t="shared" si="1"/>
        <v>250</v>
      </c>
      <c r="J12" s="41">
        <v>2</v>
      </c>
      <c r="K12" s="63"/>
    </row>
    <row r="13" spans="1:11">
      <c r="A13" s="93" t="str">
        <f>'1. 소켓인수검사'!A14</f>
        <v>06</v>
      </c>
      <c r="B13" s="62" t="s">
        <v>17</v>
      </c>
      <c r="C13" s="41">
        <f>'1. 소켓인수검사'!C14</f>
        <v>300</v>
      </c>
      <c r="D13" s="41">
        <f>'1. 소켓인수검사'!D14</f>
        <v>250</v>
      </c>
      <c r="E13" s="42"/>
      <c r="F13" s="41">
        <v>1</v>
      </c>
      <c r="G13" s="64">
        <f t="shared" si="2"/>
        <v>360</v>
      </c>
      <c r="H13" s="41">
        <v>2</v>
      </c>
      <c r="I13" s="64">
        <f t="shared" si="1"/>
        <v>250</v>
      </c>
      <c r="J13" s="41">
        <v>2</v>
      </c>
      <c r="K13" s="63"/>
    </row>
    <row r="14" spans="1:11">
      <c r="A14" s="93" t="str">
        <f>'1. 소켓인수검사'!A15</f>
        <v>07</v>
      </c>
      <c r="B14" s="62" t="s">
        <v>17</v>
      </c>
      <c r="C14" s="41">
        <f>'1. 소켓인수검사'!C15</f>
        <v>350</v>
      </c>
      <c r="D14" s="41">
        <f>'1. 소켓인수검사'!D15</f>
        <v>200</v>
      </c>
      <c r="E14" s="42"/>
      <c r="F14" s="41">
        <v>1</v>
      </c>
      <c r="G14" s="64">
        <f t="shared" si="2"/>
        <v>410</v>
      </c>
      <c r="H14" s="41">
        <v>2</v>
      </c>
      <c r="I14" s="64">
        <f t="shared" si="1"/>
        <v>200</v>
      </c>
      <c r="J14" s="41">
        <v>2</v>
      </c>
      <c r="K14" s="63"/>
    </row>
    <row r="15" spans="1:11">
      <c r="A15" s="93" t="str">
        <f>'1. 소켓인수검사'!A16</f>
        <v>08</v>
      </c>
      <c r="B15" s="62" t="s">
        <v>17</v>
      </c>
      <c r="C15" s="41">
        <f>'1. 소켓인수검사'!C16</f>
        <v>350</v>
      </c>
      <c r="D15" s="41">
        <f>'1. 소켓인수검사'!D16</f>
        <v>200</v>
      </c>
      <c r="E15" s="42"/>
      <c r="F15" s="41">
        <v>1</v>
      </c>
      <c r="G15" s="64">
        <f t="shared" si="2"/>
        <v>410</v>
      </c>
      <c r="H15" s="41">
        <v>2</v>
      </c>
      <c r="I15" s="64">
        <f t="shared" si="1"/>
        <v>200</v>
      </c>
      <c r="J15" s="41">
        <v>2</v>
      </c>
      <c r="K15" s="63"/>
    </row>
    <row r="16" spans="1:11">
      <c r="A16" s="93" t="str">
        <f>'1. 소켓인수검사'!A17</f>
        <v>09</v>
      </c>
      <c r="B16" s="62" t="s">
        <v>17</v>
      </c>
      <c r="C16" s="41">
        <f>'1. 소켓인수검사'!C17</f>
        <v>500</v>
      </c>
      <c r="D16" s="41">
        <f>'1. 소켓인수검사'!D17</f>
        <v>400</v>
      </c>
      <c r="E16" s="42"/>
      <c r="F16" s="41">
        <v>1</v>
      </c>
      <c r="G16" s="64">
        <f t="shared" si="2"/>
        <v>560</v>
      </c>
      <c r="H16" s="41">
        <v>2</v>
      </c>
      <c r="I16" s="64">
        <f t="shared" si="1"/>
        <v>400</v>
      </c>
      <c r="J16" s="41">
        <v>2</v>
      </c>
      <c r="K16" s="63"/>
    </row>
    <row r="17" spans="1:11">
      <c r="A17" s="93" t="str">
        <f>'1. 소켓인수검사'!A18</f>
        <v>10</v>
      </c>
      <c r="B17" s="62" t="s">
        <v>17</v>
      </c>
      <c r="C17" s="41">
        <f>'1. 소켓인수검사'!C18</f>
        <v>500</v>
      </c>
      <c r="D17" s="41">
        <f>'1. 소켓인수검사'!D18</f>
        <v>400</v>
      </c>
      <c r="E17" s="42"/>
      <c r="F17" s="41">
        <v>1</v>
      </c>
      <c r="G17" s="64">
        <f t="shared" si="2"/>
        <v>560</v>
      </c>
      <c r="H17" s="41">
        <v>2</v>
      </c>
      <c r="I17" s="64">
        <f t="shared" si="1"/>
        <v>400</v>
      </c>
      <c r="J17" s="41">
        <v>2</v>
      </c>
      <c r="K17" s="63"/>
    </row>
    <row r="18" spans="1:11">
      <c r="A18" s="93" t="str">
        <f>'1. 소켓인수검사'!A19</f>
        <v>11</v>
      </c>
      <c r="B18" s="62" t="s">
        <v>17</v>
      </c>
      <c r="C18" s="41">
        <f>'1. 소켓인수검사'!C19</f>
        <v>500</v>
      </c>
      <c r="D18" s="41">
        <f>'1. 소켓인수검사'!D19</f>
        <v>400</v>
      </c>
      <c r="E18" s="42"/>
      <c r="F18" s="41">
        <v>1</v>
      </c>
      <c r="G18" s="64">
        <f t="shared" si="2"/>
        <v>560</v>
      </c>
      <c r="H18" s="41">
        <v>2</v>
      </c>
      <c r="I18" s="64">
        <f t="shared" si="1"/>
        <v>400</v>
      </c>
      <c r="J18" s="41">
        <v>2</v>
      </c>
      <c r="K18" s="63"/>
    </row>
    <row r="19" spans="1:11">
      <c r="A19" s="93" t="str">
        <f>'1. 소켓인수검사'!A20</f>
        <v>12</v>
      </c>
      <c r="B19" s="62" t="s">
        <v>17</v>
      </c>
      <c r="C19" s="41">
        <f>'1. 소켓인수검사'!C20</f>
        <v>500</v>
      </c>
      <c r="D19" s="41">
        <f>'1. 소켓인수검사'!D20</f>
        <v>400</v>
      </c>
      <c r="E19" s="42"/>
      <c r="F19" s="41">
        <v>1</v>
      </c>
      <c r="G19" s="64">
        <f t="shared" si="2"/>
        <v>560</v>
      </c>
      <c r="H19" s="41">
        <v>2</v>
      </c>
      <c r="I19" s="64">
        <f t="shared" si="1"/>
        <v>400</v>
      </c>
      <c r="J19" s="41">
        <v>2</v>
      </c>
      <c r="K19" s="63"/>
    </row>
    <row r="20" spans="1:11">
      <c r="A20" s="93" t="str">
        <f>'1. 소켓인수검사'!A21</f>
        <v>13</v>
      </c>
      <c r="B20" s="62" t="s">
        <v>17</v>
      </c>
      <c r="C20" s="41">
        <f>'1. 소켓인수검사'!C21</f>
        <v>500</v>
      </c>
      <c r="D20" s="41">
        <f>'1. 소켓인수검사'!D21</f>
        <v>400</v>
      </c>
      <c r="E20" s="42"/>
      <c r="F20" s="41">
        <v>1</v>
      </c>
      <c r="G20" s="64">
        <f t="shared" ref="G20" si="3">C20+60</f>
        <v>560</v>
      </c>
      <c r="H20" s="41">
        <v>2</v>
      </c>
      <c r="I20" s="64">
        <f t="shared" si="1"/>
        <v>400</v>
      </c>
      <c r="J20" s="41">
        <v>2</v>
      </c>
      <c r="K20" s="63"/>
    </row>
    <row r="21" spans="1:11">
      <c r="A21" s="94" t="str">
        <f>'1. 소켓인수검사'!A22</f>
        <v>14</v>
      </c>
      <c r="B21" s="65" t="s">
        <v>51</v>
      </c>
      <c r="C21" s="41">
        <f>'1. 소켓인수검사'!C22</f>
        <v>1500</v>
      </c>
      <c r="D21" s="41">
        <f>'1. 소켓인수검사'!D22</f>
        <v>550</v>
      </c>
      <c r="E21" s="53"/>
      <c r="F21" s="52">
        <v>1</v>
      </c>
      <c r="G21" s="95">
        <f t="shared" ref="G21" si="4">C21+60</f>
        <v>1560</v>
      </c>
      <c r="H21" s="52">
        <v>2</v>
      </c>
      <c r="I21" s="95">
        <f t="shared" ref="I21" si="5">D21</f>
        <v>550</v>
      </c>
      <c r="J21" s="52">
        <v>2</v>
      </c>
      <c r="K21" s="96"/>
    </row>
    <row r="22" spans="1:11">
      <c r="A22" s="125" t="s">
        <v>49</v>
      </c>
      <c r="B22" s="125"/>
      <c r="C22" s="125"/>
      <c r="D22" s="125"/>
      <c r="E22" s="125"/>
      <c r="F22" s="125"/>
      <c r="G22" s="125"/>
      <c r="H22" s="125"/>
      <c r="I22" s="125"/>
      <c r="J22" s="125"/>
      <c r="K22" s="125"/>
    </row>
    <row r="23" spans="1:11">
      <c r="A23" s="125"/>
      <c r="B23" s="125"/>
      <c r="C23" s="125"/>
      <c r="D23" s="125"/>
      <c r="E23" s="125"/>
      <c r="F23" s="125"/>
      <c r="G23" s="125"/>
      <c r="H23" s="125"/>
      <c r="I23" s="125"/>
      <c r="J23" s="125"/>
      <c r="K23" s="125"/>
    </row>
    <row r="24" spans="1:11">
      <c r="A24" s="125"/>
      <c r="B24" s="125"/>
      <c r="C24" s="125"/>
      <c r="D24" s="125"/>
      <c r="E24" s="125"/>
      <c r="F24" s="125"/>
      <c r="G24" s="125"/>
      <c r="H24" s="125"/>
      <c r="I24" s="125"/>
      <c r="J24" s="125"/>
      <c r="K24" s="125"/>
    </row>
  </sheetData>
  <mergeCells count="17">
    <mergeCell ref="G6:H6"/>
    <mergeCell ref="I6:J6"/>
    <mergeCell ref="E1:F3"/>
    <mergeCell ref="G1:K3"/>
    <mergeCell ref="A22:C24"/>
    <mergeCell ref="D22:K24"/>
    <mergeCell ref="A1:D3"/>
    <mergeCell ref="A4:K4"/>
    <mergeCell ref="A5:A7"/>
    <mergeCell ref="B5:B7"/>
    <mergeCell ref="C5:D5"/>
    <mergeCell ref="E5:E7"/>
    <mergeCell ref="F5:F7"/>
    <mergeCell ref="G5:J5"/>
    <mergeCell ref="K5:K7"/>
    <mergeCell ref="C6:C7"/>
    <mergeCell ref="D6:D7"/>
  </mergeCells>
  <phoneticPr fontId="30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P28"/>
  <sheetViews>
    <sheetView zoomScaleNormal="100" zoomScaleSheetLayoutView="100" workbookViewId="0">
      <selection activeCell="G36" sqref="G36"/>
    </sheetView>
  </sheetViews>
  <sheetFormatPr defaultColWidth="9" defaultRowHeight="16.5"/>
  <cols>
    <col min="1" max="1" width="3.625" style="5" customWidth="1"/>
    <col min="2" max="3" width="9.625" style="5" customWidth="1"/>
    <col min="4" max="4" width="5.625" style="5" customWidth="1"/>
    <col min="5" max="5" width="13.875" style="5" customWidth="1"/>
    <col min="6" max="6" width="5.125" style="5" customWidth="1"/>
    <col min="7" max="10" width="9.625" style="5" customWidth="1"/>
    <col min="11" max="13" width="3.625" style="5" customWidth="1"/>
    <col min="14" max="16" width="9.75" style="5" customWidth="1"/>
    <col min="17" max="16384" width="9" style="5"/>
  </cols>
  <sheetData>
    <row r="1" spans="1:16" ht="16.5" customHeight="1">
      <c r="A1" s="125"/>
      <c r="B1" s="125"/>
      <c r="C1" s="125"/>
      <c r="D1" s="125"/>
      <c r="E1" s="219" t="s">
        <v>75</v>
      </c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1"/>
    </row>
    <row r="2" spans="1:16" ht="16.5" customHeight="1">
      <c r="A2" s="125"/>
      <c r="B2" s="125"/>
      <c r="C2" s="125"/>
      <c r="D2" s="125"/>
      <c r="E2" s="222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4"/>
    </row>
    <row r="3" spans="1:16" ht="16.5" customHeight="1">
      <c r="A3" s="125"/>
      <c r="B3" s="125"/>
      <c r="C3" s="125"/>
      <c r="D3" s="125"/>
      <c r="E3" s="222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4"/>
    </row>
    <row r="4" spans="1:16" ht="16.5" customHeight="1">
      <c r="A4" s="125" t="s">
        <v>19</v>
      </c>
      <c r="B4" s="125"/>
      <c r="C4" s="228"/>
      <c r="D4" s="229"/>
      <c r="E4" s="225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7"/>
    </row>
    <row r="5" spans="1:16">
      <c r="A5" s="125" t="s">
        <v>29</v>
      </c>
      <c r="B5" s="125"/>
      <c r="C5" s="125"/>
      <c r="D5" s="125"/>
      <c r="E5" s="6" t="s">
        <v>35</v>
      </c>
      <c r="F5" s="125"/>
      <c r="G5" s="125"/>
      <c r="H5" s="125" t="s">
        <v>64</v>
      </c>
      <c r="I5" s="125"/>
      <c r="J5" s="125"/>
      <c r="K5" s="125" t="s">
        <v>60</v>
      </c>
      <c r="L5" s="125"/>
      <c r="M5" s="125"/>
      <c r="N5" s="230" t="str">
        <f>'1. 소켓인수검사'!R2</f>
        <v>26.06.05 웰스홈_LT삼보_(주)우리이엔씨_LX판토스 신항에코 물류센터</v>
      </c>
      <c r="O5" s="230"/>
      <c r="P5" s="230"/>
    </row>
    <row r="6" spans="1:16">
      <c r="A6" s="125"/>
      <c r="B6" s="125"/>
      <c r="C6" s="125"/>
      <c r="D6" s="125"/>
      <c r="E6" s="6" t="s">
        <v>32</v>
      </c>
      <c r="F6" s="125"/>
      <c r="G6" s="125"/>
      <c r="H6" s="125"/>
      <c r="I6" s="125"/>
      <c r="J6" s="125"/>
      <c r="K6" s="125"/>
      <c r="L6" s="125"/>
      <c r="M6" s="125"/>
      <c r="N6" s="230"/>
      <c r="O6" s="230"/>
      <c r="P6" s="230"/>
    </row>
    <row r="7" spans="1:16" ht="8.1" customHeight="1">
      <c r="A7" s="159"/>
      <c r="B7" s="159"/>
      <c r="C7" s="159"/>
      <c r="D7" s="159"/>
      <c r="E7" s="159"/>
      <c r="F7" s="159"/>
      <c r="G7" s="159"/>
      <c r="H7" s="159"/>
      <c r="I7" s="159"/>
      <c r="J7" s="159"/>
      <c r="K7" s="159"/>
      <c r="L7" s="159"/>
      <c r="M7" s="159"/>
      <c r="N7" s="159"/>
      <c r="O7" s="159"/>
      <c r="P7" s="159"/>
    </row>
    <row r="8" spans="1:16">
      <c r="A8" s="231" t="s">
        <v>61</v>
      </c>
      <c r="B8" s="233" t="s">
        <v>4</v>
      </c>
      <c r="C8" s="233"/>
      <c r="D8" s="233" t="s">
        <v>31</v>
      </c>
      <c r="E8" s="233" t="s">
        <v>27</v>
      </c>
      <c r="F8" s="233" t="s">
        <v>65</v>
      </c>
      <c r="G8" s="233" t="s">
        <v>30</v>
      </c>
      <c r="H8" s="233"/>
      <c r="I8" s="233"/>
      <c r="J8" s="233"/>
      <c r="K8" s="233"/>
      <c r="L8" s="233"/>
      <c r="M8" s="233"/>
      <c r="N8" s="233"/>
      <c r="O8" s="233"/>
      <c r="P8" s="235" t="s">
        <v>2</v>
      </c>
    </row>
    <row r="9" spans="1:16" ht="16.5" customHeight="1">
      <c r="A9" s="232"/>
      <c r="B9" s="234" t="s">
        <v>68</v>
      </c>
      <c r="C9" s="234" t="s">
        <v>66</v>
      </c>
      <c r="D9" s="234"/>
      <c r="E9" s="234"/>
      <c r="F9" s="234"/>
      <c r="G9" s="234" t="s">
        <v>62</v>
      </c>
      <c r="H9" s="234" t="s">
        <v>68</v>
      </c>
      <c r="I9" s="234"/>
      <c r="J9" s="234" t="s">
        <v>11</v>
      </c>
      <c r="K9" s="234" t="s">
        <v>66</v>
      </c>
      <c r="L9" s="234"/>
      <c r="M9" s="234"/>
      <c r="N9" s="234"/>
      <c r="O9" s="234" t="s">
        <v>11</v>
      </c>
      <c r="P9" s="236"/>
    </row>
    <row r="10" spans="1:16">
      <c r="A10" s="232"/>
      <c r="B10" s="234"/>
      <c r="C10" s="234"/>
      <c r="D10" s="234"/>
      <c r="E10" s="234"/>
      <c r="F10" s="234"/>
      <c r="G10" s="234"/>
      <c r="H10" s="31" t="s">
        <v>4</v>
      </c>
      <c r="I10" s="31" t="s">
        <v>34</v>
      </c>
      <c r="J10" s="234"/>
      <c r="K10" s="234" t="s">
        <v>4</v>
      </c>
      <c r="L10" s="234"/>
      <c r="M10" s="234"/>
      <c r="N10" s="31" t="s">
        <v>34</v>
      </c>
      <c r="O10" s="234"/>
      <c r="P10" s="236"/>
    </row>
    <row r="11" spans="1:16">
      <c r="A11" s="30" t="str">
        <f>'1. 소켓인수검사'!A9</f>
        <v>01</v>
      </c>
      <c r="B11" s="32">
        <f>'1. 소켓인수검사'!C9</f>
        <v>200</v>
      </c>
      <c r="C11" s="32">
        <f>'1. 소켓인수검사'!D9</f>
        <v>200</v>
      </c>
      <c r="D11" s="33">
        <v>1</v>
      </c>
      <c r="E11" s="34"/>
      <c r="F11" s="33">
        <v>1.6</v>
      </c>
      <c r="G11" s="33"/>
      <c r="H11" s="33">
        <f>B11-1</f>
        <v>199</v>
      </c>
      <c r="I11" s="33">
        <f t="shared" ref="I11:I12" si="0">D11*4</f>
        <v>4</v>
      </c>
      <c r="J11" s="33"/>
      <c r="K11" s="237">
        <f t="shared" ref="K11:K12" si="1">C11-30</f>
        <v>170</v>
      </c>
      <c r="L11" s="237"/>
      <c r="M11" s="237"/>
      <c r="N11" s="33">
        <f t="shared" ref="N11:N12" si="2">D11*4</f>
        <v>4</v>
      </c>
      <c r="O11" s="33"/>
      <c r="P11" s="35"/>
    </row>
    <row r="12" spans="1:16">
      <c r="A12" s="30" t="str">
        <f>'1. 소켓인수검사'!A10</f>
        <v>02</v>
      </c>
      <c r="B12" s="32">
        <f>'1. 소켓인수검사'!C10</f>
        <v>200</v>
      </c>
      <c r="C12" s="32">
        <f>'1. 소켓인수검사'!D10</f>
        <v>200</v>
      </c>
      <c r="D12" s="33">
        <v>1</v>
      </c>
      <c r="E12" s="34"/>
      <c r="F12" s="33">
        <v>1.6</v>
      </c>
      <c r="G12" s="33"/>
      <c r="H12" s="33">
        <f t="shared" ref="H12" si="3">B12-1</f>
        <v>199</v>
      </c>
      <c r="I12" s="33">
        <f t="shared" si="0"/>
        <v>4</v>
      </c>
      <c r="J12" s="33"/>
      <c r="K12" s="237">
        <f t="shared" si="1"/>
        <v>170</v>
      </c>
      <c r="L12" s="237"/>
      <c r="M12" s="237"/>
      <c r="N12" s="33">
        <f t="shared" si="2"/>
        <v>4</v>
      </c>
      <c r="O12" s="33"/>
      <c r="P12" s="36"/>
    </row>
    <row r="13" spans="1:16">
      <c r="A13" s="30" t="str">
        <f>'1. 소켓인수검사'!A11</f>
        <v>03</v>
      </c>
      <c r="B13" s="32">
        <f>'1. 소켓인수검사'!C11</f>
        <v>200</v>
      </c>
      <c r="C13" s="32">
        <f>'1. 소켓인수검사'!D11</f>
        <v>200</v>
      </c>
      <c r="D13" s="33">
        <v>1</v>
      </c>
      <c r="E13" s="34"/>
      <c r="F13" s="33">
        <v>1.6</v>
      </c>
      <c r="G13" s="33"/>
      <c r="H13" s="33">
        <f t="shared" ref="H13:H23" si="4">B13-1</f>
        <v>199</v>
      </c>
      <c r="I13" s="33">
        <f t="shared" ref="I13:I23" si="5">D13*4</f>
        <v>4</v>
      </c>
      <c r="J13" s="33"/>
      <c r="K13" s="237">
        <f t="shared" ref="K13:K23" si="6">C13-30</f>
        <v>170</v>
      </c>
      <c r="L13" s="237"/>
      <c r="M13" s="237"/>
      <c r="N13" s="33">
        <f t="shared" ref="N13:N23" si="7">D13*4</f>
        <v>4</v>
      </c>
      <c r="O13" s="33"/>
      <c r="P13" s="36"/>
    </row>
    <row r="14" spans="1:16">
      <c r="A14" s="30" t="str">
        <f>'1. 소켓인수검사'!A12</f>
        <v>04</v>
      </c>
      <c r="B14" s="32">
        <f>'1. 소켓인수검사'!C12</f>
        <v>200</v>
      </c>
      <c r="C14" s="32">
        <f>'1. 소켓인수검사'!D12</f>
        <v>200</v>
      </c>
      <c r="D14" s="33">
        <v>1</v>
      </c>
      <c r="E14" s="34"/>
      <c r="F14" s="33">
        <v>1.6</v>
      </c>
      <c r="G14" s="33"/>
      <c r="H14" s="33">
        <f t="shared" si="4"/>
        <v>199</v>
      </c>
      <c r="I14" s="33">
        <f t="shared" si="5"/>
        <v>4</v>
      </c>
      <c r="J14" s="33"/>
      <c r="K14" s="237">
        <f t="shared" si="6"/>
        <v>170</v>
      </c>
      <c r="L14" s="237"/>
      <c r="M14" s="237"/>
      <c r="N14" s="33">
        <f t="shared" si="7"/>
        <v>4</v>
      </c>
      <c r="O14" s="33"/>
      <c r="P14" s="37"/>
    </row>
    <row r="15" spans="1:16">
      <c r="A15" s="30" t="str">
        <f>'1. 소켓인수검사'!A13</f>
        <v>05</v>
      </c>
      <c r="B15" s="32">
        <f>'1. 소켓인수검사'!C13</f>
        <v>300</v>
      </c>
      <c r="C15" s="32">
        <f>'1. 소켓인수검사'!D13</f>
        <v>250</v>
      </c>
      <c r="D15" s="33">
        <v>1</v>
      </c>
      <c r="E15" s="34"/>
      <c r="F15" s="33">
        <v>1.6</v>
      </c>
      <c r="G15" s="33"/>
      <c r="H15" s="33">
        <f t="shared" si="4"/>
        <v>299</v>
      </c>
      <c r="I15" s="33">
        <f t="shared" si="5"/>
        <v>4</v>
      </c>
      <c r="J15" s="33"/>
      <c r="K15" s="237">
        <f t="shared" si="6"/>
        <v>220</v>
      </c>
      <c r="L15" s="237"/>
      <c r="M15" s="237"/>
      <c r="N15" s="33">
        <f t="shared" si="7"/>
        <v>4</v>
      </c>
      <c r="O15" s="33"/>
      <c r="P15" s="37"/>
    </row>
    <row r="16" spans="1:16">
      <c r="A16" s="30" t="str">
        <f>'1. 소켓인수검사'!A14</f>
        <v>06</v>
      </c>
      <c r="B16" s="32">
        <f>'1. 소켓인수검사'!C14</f>
        <v>300</v>
      </c>
      <c r="C16" s="32">
        <f>'1. 소켓인수검사'!D14</f>
        <v>250</v>
      </c>
      <c r="D16" s="33">
        <v>1</v>
      </c>
      <c r="E16" s="34"/>
      <c r="F16" s="33">
        <v>1.6</v>
      </c>
      <c r="G16" s="33"/>
      <c r="H16" s="33">
        <f t="shared" si="4"/>
        <v>299</v>
      </c>
      <c r="I16" s="33">
        <f t="shared" si="5"/>
        <v>4</v>
      </c>
      <c r="J16" s="33"/>
      <c r="K16" s="237">
        <f t="shared" si="6"/>
        <v>220</v>
      </c>
      <c r="L16" s="237"/>
      <c r="M16" s="237"/>
      <c r="N16" s="33">
        <f t="shared" si="7"/>
        <v>4</v>
      </c>
      <c r="O16" s="33"/>
      <c r="P16" s="37"/>
    </row>
    <row r="17" spans="1:16">
      <c r="A17" s="30" t="str">
        <f>'1. 소켓인수검사'!A15</f>
        <v>07</v>
      </c>
      <c r="B17" s="32">
        <f>'1. 소켓인수검사'!C15</f>
        <v>350</v>
      </c>
      <c r="C17" s="32">
        <f>'1. 소켓인수검사'!D15</f>
        <v>200</v>
      </c>
      <c r="D17" s="33">
        <v>1</v>
      </c>
      <c r="E17" s="34"/>
      <c r="F17" s="33">
        <v>1.6</v>
      </c>
      <c r="G17" s="33"/>
      <c r="H17" s="33">
        <f t="shared" si="4"/>
        <v>349</v>
      </c>
      <c r="I17" s="33">
        <f t="shared" si="5"/>
        <v>4</v>
      </c>
      <c r="J17" s="33"/>
      <c r="K17" s="237">
        <f t="shared" si="6"/>
        <v>170</v>
      </c>
      <c r="L17" s="237"/>
      <c r="M17" s="237"/>
      <c r="N17" s="33">
        <f t="shared" si="7"/>
        <v>4</v>
      </c>
      <c r="O17" s="33"/>
      <c r="P17" s="37"/>
    </row>
    <row r="18" spans="1:16">
      <c r="A18" s="30" t="str">
        <f>'1. 소켓인수검사'!A16</f>
        <v>08</v>
      </c>
      <c r="B18" s="32">
        <f>'1. 소켓인수검사'!C16</f>
        <v>350</v>
      </c>
      <c r="C18" s="32">
        <f>'1. 소켓인수검사'!D16</f>
        <v>200</v>
      </c>
      <c r="D18" s="33">
        <v>1</v>
      </c>
      <c r="E18" s="34"/>
      <c r="F18" s="33">
        <v>1.6</v>
      </c>
      <c r="G18" s="33"/>
      <c r="H18" s="33">
        <f t="shared" si="4"/>
        <v>349</v>
      </c>
      <c r="I18" s="33">
        <f t="shared" si="5"/>
        <v>4</v>
      </c>
      <c r="J18" s="33"/>
      <c r="K18" s="237">
        <f t="shared" si="6"/>
        <v>170</v>
      </c>
      <c r="L18" s="237"/>
      <c r="M18" s="237"/>
      <c r="N18" s="33">
        <f t="shared" si="7"/>
        <v>4</v>
      </c>
      <c r="O18" s="33"/>
      <c r="P18" s="37"/>
    </row>
    <row r="19" spans="1:16">
      <c r="A19" s="30" t="str">
        <f>'1. 소켓인수검사'!A17</f>
        <v>09</v>
      </c>
      <c r="B19" s="32">
        <f>'1. 소켓인수검사'!C17</f>
        <v>500</v>
      </c>
      <c r="C19" s="32">
        <f>'1. 소켓인수검사'!D17</f>
        <v>400</v>
      </c>
      <c r="D19" s="33">
        <v>1</v>
      </c>
      <c r="E19" s="34"/>
      <c r="F19" s="33">
        <v>1.6</v>
      </c>
      <c r="G19" s="33"/>
      <c r="H19" s="33">
        <f t="shared" si="4"/>
        <v>499</v>
      </c>
      <c r="I19" s="33">
        <f t="shared" si="5"/>
        <v>4</v>
      </c>
      <c r="J19" s="33"/>
      <c r="K19" s="237">
        <f t="shared" si="6"/>
        <v>370</v>
      </c>
      <c r="L19" s="237"/>
      <c r="M19" s="237"/>
      <c r="N19" s="33">
        <f t="shared" si="7"/>
        <v>4</v>
      </c>
      <c r="O19" s="33"/>
      <c r="P19" s="37"/>
    </row>
    <row r="20" spans="1:16">
      <c r="A20" s="30" t="str">
        <f>'1. 소켓인수검사'!A18</f>
        <v>10</v>
      </c>
      <c r="B20" s="32">
        <f>'1. 소켓인수검사'!C18</f>
        <v>500</v>
      </c>
      <c r="C20" s="32">
        <f>'1. 소켓인수검사'!D18</f>
        <v>400</v>
      </c>
      <c r="D20" s="33">
        <v>1</v>
      </c>
      <c r="E20" s="34"/>
      <c r="F20" s="33">
        <v>1.6</v>
      </c>
      <c r="G20" s="33"/>
      <c r="H20" s="33">
        <f t="shared" si="4"/>
        <v>499</v>
      </c>
      <c r="I20" s="33">
        <f t="shared" si="5"/>
        <v>4</v>
      </c>
      <c r="J20" s="33"/>
      <c r="K20" s="237">
        <f t="shared" si="6"/>
        <v>370</v>
      </c>
      <c r="L20" s="237"/>
      <c r="M20" s="237"/>
      <c r="N20" s="33">
        <f t="shared" si="7"/>
        <v>4</v>
      </c>
      <c r="O20" s="33"/>
      <c r="P20" s="38"/>
    </row>
    <row r="21" spans="1:16">
      <c r="A21" s="30" t="str">
        <f>'1. 소켓인수검사'!A19</f>
        <v>11</v>
      </c>
      <c r="B21" s="32">
        <f>'1. 소켓인수검사'!C19</f>
        <v>500</v>
      </c>
      <c r="C21" s="32">
        <f>'1. 소켓인수검사'!D19</f>
        <v>400</v>
      </c>
      <c r="D21" s="33">
        <v>1</v>
      </c>
      <c r="E21" s="34"/>
      <c r="F21" s="33">
        <v>1.6</v>
      </c>
      <c r="G21" s="33"/>
      <c r="H21" s="33">
        <f t="shared" si="4"/>
        <v>499</v>
      </c>
      <c r="I21" s="33">
        <f t="shared" si="5"/>
        <v>4</v>
      </c>
      <c r="J21" s="33"/>
      <c r="K21" s="237">
        <f t="shared" si="6"/>
        <v>370</v>
      </c>
      <c r="L21" s="237"/>
      <c r="M21" s="237"/>
      <c r="N21" s="33">
        <f t="shared" si="7"/>
        <v>4</v>
      </c>
      <c r="O21" s="33"/>
      <c r="P21" s="38"/>
    </row>
    <row r="22" spans="1:16">
      <c r="A22" s="30" t="str">
        <f>'1. 소켓인수검사'!A20</f>
        <v>12</v>
      </c>
      <c r="B22" s="32">
        <f>'1. 소켓인수검사'!C20</f>
        <v>500</v>
      </c>
      <c r="C22" s="32">
        <f>'1. 소켓인수검사'!D20</f>
        <v>400</v>
      </c>
      <c r="D22" s="33">
        <v>1</v>
      </c>
      <c r="E22" s="34"/>
      <c r="F22" s="33">
        <v>1.6</v>
      </c>
      <c r="G22" s="33"/>
      <c r="H22" s="33">
        <f t="shared" si="4"/>
        <v>499</v>
      </c>
      <c r="I22" s="33">
        <f t="shared" si="5"/>
        <v>4</v>
      </c>
      <c r="J22" s="33"/>
      <c r="K22" s="237">
        <f t="shared" si="6"/>
        <v>370</v>
      </c>
      <c r="L22" s="237"/>
      <c r="M22" s="237"/>
      <c r="N22" s="33">
        <f t="shared" si="7"/>
        <v>4</v>
      </c>
      <c r="O22" s="33"/>
      <c r="P22" s="38"/>
    </row>
    <row r="23" spans="1:16">
      <c r="A23" s="30" t="str">
        <f>'1. 소켓인수검사'!A21</f>
        <v>13</v>
      </c>
      <c r="B23" s="32">
        <f>'1. 소켓인수검사'!C21</f>
        <v>500</v>
      </c>
      <c r="C23" s="32">
        <f>'1. 소켓인수검사'!D21</f>
        <v>400</v>
      </c>
      <c r="D23" s="33">
        <v>1</v>
      </c>
      <c r="E23" s="34"/>
      <c r="F23" s="33">
        <v>1.6</v>
      </c>
      <c r="G23" s="33"/>
      <c r="H23" s="33">
        <f t="shared" si="4"/>
        <v>499</v>
      </c>
      <c r="I23" s="33">
        <f t="shared" si="5"/>
        <v>4</v>
      </c>
      <c r="J23" s="33"/>
      <c r="K23" s="237">
        <f t="shared" si="6"/>
        <v>370</v>
      </c>
      <c r="L23" s="237"/>
      <c r="M23" s="237"/>
      <c r="N23" s="33">
        <f t="shared" si="7"/>
        <v>4</v>
      </c>
      <c r="O23" s="33"/>
      <c r="P23" s="38"/>
    </row>
    <row r="24" spans="1:16" ht="8.1" customHeight="1">
      <c r="A24" s="125"/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</row>
    <row r="25" spans="1:16">
      <c r="A25" s="238" t="s">
        <v>50</v>
      </c>
      <c r="B25" s="238"/>
      <c r="C25" s="239"/>
      <c r="D25" s="239"/>
      <c r="E25" s="239"/>
      <c r="F25" s="239"/>
      <c r="G25" s="239"/>
      <c r="H25" s="239"/>
      <c r="I25" s="239"/>
      <c r="J25" s="239"/>
      <c r="K25" s="239"/>
      <c r="L25" s="239"/>
      <c r="M25" s="239"/>
      <c r="N25" s="239"/>
      <c r="O25" s="239"/>
      <c r="P25" s="239"/>
    </row>
    <row r="26" spans="1:16">
      <c r="A26" s="238"/>
      <c r="B26" s="238"/>
      <c r="C26" s="239"/>
      <c r="D26" s="239"/>
      <c r="E26" s="239"/>
      <c r="F26" s="239"/>
      <c r="G26" s="239"/>
      <c r="H26" s="239"/>
      <c r="I26" s="239"/>
      <c r="J26" s="239"/>
      <c r="K26" s="239"/>
      <c r="L26" s="239"/>
      <c r="M26" s="239"/>
      <c r="N26" s="239"/>
      <c r="O26" s="239"/>
      <c r="P26" s="239"/>
    </row>
    <row r="27" spans="1:16">
      <c r="A27" s="238"/>
      <c r="B27" s="238"/>
      <c r="C27" s="239"/>
      <c r="D27" s="239"/>
      <c r="E27" s="239"/>
      <c r="F27" s="239"/>
      <c r="G27" s="239"/>
      <c r="H27" s="239"/>
      <c r="I27" s="239"/>
      <c r="J27" s="239"/>
      <c r="K27" s="239"/>
      <c r="L27" s="239"/>
      <c r="M27" s="239"/>
      <c r="N27" s="239"/>
      <c r="O27" s="239"/>
      <c r="P27" s="239"/>
    </row>
    <row r="28" spans="1:16">
      <c r="A28" s="238"/>
      <c r="B28" s="238"/>
      <c r="C28" s="239"/>
      <c r="D28" s="239"/>
      <c r="E28" s="239"/>
      <c r="F28" s="239"/>
      <c r="G28" s="239"/>
      <c r="H28" s="239"/>
      <c r="I28" s="239"/>
      <c r="J28" s="239"/>
      <c r="K28" s="239"/>
      <c r="L28" s="239"/>
      <c r="M28" s="239"/>
      <c r="N28" s="239"/>
      <c r="O28" s="239"/>
      <c r="P28" s="239"/>
    </row>
  </sheetData>
  <mergeCells count="44">
    <mergeCell ref="K21:M21"/>
    <mergeCell ref="K22:M22"/>
    <mergeCell ref="K23:M23"/>
    <mergeCell ref="A24:P24"/>
    <mergeCell ref="A25:B28"/>
    <mergeCell ref="C25:P28"/>
    <mergeCell ref="K16:M16"/>
    <mergeCell ref="K17:M17"/>
    <mergeCell ref="K18:M18"/>
    <mergeCell ref="K19:M19"/>
    <mergeCell ref="K20:M20"/>
    <mergeCell ref="K11:M11"/>
    <mergeCell ref="K12:M12"/>
    <mergeCell ref="K13:M13"/>
    <mergeCell ref="K14:M14"/>
    <mergeCell ref="K15:M15"/>
    <mergeCell ref="A7:P7"/>
    <mergeCell ref="A8:A10"/>
    <mergeCell ref="B8:C8"/>
    <mergeCell ref="D8:D10"/>
    <mergeCell ref="E8:E10"/>
    <mergeCell ref="F8:F10"/>
    <mergeCell ref="G8:O8"/>
    <mergeCell ref="P8:P10"/>
    <mergeCell ref="B9:B10"/>
    <mergeCell ref="C9:C10"/>
    <mergeCell ref="G9:G10"/>
    <mergeCell ref="H9:I9"/>
    <mergeCell ref="J9:J10"/>
    <mergeCell ref="K9:N9"/>
    <mergeCell ref="O9:O10"/>
    <mergeCell ref="K10:M10"/>
    <mergeCell ref="A1:D3"/>
    <mergeCell ref="E1:P4"/>
    <mergeCell ref="A4:B4"/>
    <mergeCell ref="C4:D4"/>
    <mergeCell ref="A5:B6"/>
    <mergeCell ref="C5:D6"/>
    <mergeCell ref="F5:G5"/>
    <mergeCell ref="H5:H6"/>
    <mergeCell ref="I5:J6"/>
    <mergeCell ref="K5:M6"/>
    <mergeCell ref="N5:P6"/>
    <mergeCell ref="F6:G6"/>
  </mergeCells>
  <phoneticPr fontId="30" type="noConversion"/>
  <pageMargins left="0.39347222447395325" right="0.19666667282581329" top="0.47236111760139465" bottom="0.31486111879348755" header="0.31486111879348755" footer="0.31486111879348755"/>
  <pageSetup paperSize="9" scale="9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/>
  <dimension ref="A1:P18"/>
  <sheetViews>
    <sheetView showGridLines="0" zoomScaleNormal="100" zoomScaleSheetLayoutView="100" workbookViewId="0">
      <selection activeCell="G29" sqref="G29"/>
    </sheetView>
  </sheetViews>
  <sheetFormatPr defaultColWidth="9" defaultRowHeight="16.5"/>
  <cols>
    <col min="1" max="1" width="3.625" style="5" customWidth="1"/>
    <col min="2" max="3" width="9.625" style="5" customWidth="1"/>
    <col min="4" max="4" width="6.875" style="5" customWidth="1"/>
    <col min="5" max="5" width="19" style="5" bestFit="1" customWidth="1"/>
    <col min="6" max="6" width="6.375" style="5" customWidth="1"/>
    <col min="7" max="7" width="6.125" style="5" customWidth="1"/>
    <col min="8" max="9" width="9.625" style="5" customWidth="1"/>
    <col min="10" max="10" width="7.125" style="5" customWidth="1"/>
    <col min="11" max="13" width="3.625" style="5" customWidth="1"/>
    <col min="14" max="16" width="9.75" style="5" customWidth="1"/>
    <col min="17" max="16384" width="9" style="5"/>
  </cols>
  <sheetData>
    <row r="1" spans="1:16" ht="16.5" customHeight="1">
      <c r="A1" s="125"/>
      <c r="B1" s="125"/>
      <c r="C1" s="125"/>
      <c r="D1" s="125"/>
      <c r="E1" s="241" t="s">
        <v>76</v>
      </c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3"/>
    </row>
    <row r="2" spans="1:16" ht="16.5" customHeight="1">
      <c r="A2" s="125"/>
      <c r="B2" s="125"/>
      <c r="C2" s="125"/>
      <c r="D2" s="125"/>
      <c r="E2" s="244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6"/>
    </row>
    <row r="3" spans="1:16" ht="16.5" customHeight="1">
      <c r="A3" s="125"/>
      <c r="B3" s="125"/>
      <c r="C3" s="125"/>
      <c r="D3" s="125"/>
      <c r="E3" s="244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6"/>
    </row>
    <row r="4" spans="1:16" ht="16.5" customHeight="1">
      <c r="A4" s="125" t="s">
        <v>19</v>
      </c>
      <c r="B4" s="125"/>
      <c r="C4" s="125"/>
      <c r="D4" s="125"/>
      <c r="E4" s="247"/>
      <c r="F4" s="248"/>
      <c r="G4" s="248"/>
      <c r="H4" s="248"/>
      <c r="I4" s="248"/>
      <c r="J4" s="248"/>
      <c r="K4" s="248"/>
      <c r="L4" s="248"/>
      <c r="M4" s="248"/>
      <c r="N4" s="248"/>
      <c r="O4" s="248"/>
      <c r="P4" s="249"/>
    </row>
    <row r="5" spans="1:16" ht="16.5" customHeight="1">
      <c r="A5" s="125" t="s">
        <v>29</v>
      </c>
      <c r="B5" s="125"/>
      <c r="C5" s="125"/>
      <c r="D5" s="125"/>
      <c r="E5" s="6" t="s">
        <v>35</v>
      </c>
      <c r="F5" s="125"/>
      <c r="G5" s="125"/>
      <c r="H5" s="125" t="s">
        <v>64</v>
      </c>
      <c r="I5" s="125"/>
      <c r="J5" s="125"/>
      <c r="K5" s="125" t="s">
        <v>60</v>
      </c>
      <c r="L5" s="125"/>
      <c r="M5" s="125"/>
      <c r="N5" s="240" t="str">
        <f>'1. 소켓인수검사'!R2</f>
        <v>26.06.05 웰스홈_LT삼보_(주)우리이엔씨_LX판토스 신항에코 물류센터</v>
      </c>
      <c r="O5" s="240"/>
      <c r="P5" s="240"/>
    </row>
    <row r="6" spans="1:16">
      <c r="A6" s="125"/>
      <c r="B6" s="125"/>
      <c r="C6" s="125"/>
      <c r="D6" s="125"/>
      <c r="E6" s="6" t="s">
        <v>32</v>
      </c>
      <c r="F6" s="125"/>
      <c r="G6" s="125"/>
      <c r="H6" s="125"/>
      <c r="I6" s="125"/>
      <c r="J6" s="125"/>
      <c r="K6" s="125"/>
      <c r="L6" s="125"/>
      <c r="M6" s="125"/>
      <c r="N6" s="240"/>
      <c r="O6" s="240"/>
      <c r="P6" s="240"/>
    </row>
    <row r="7" spans="1:16" ht="8.1" customHeight="1">
      <c r="A7" s="250"/>
      <c r="B7" s="159"/>
      <c r="C7" s="159"/>
      <c r="D7" s="159"/>
      <c r="E7" s="159"/>
      <c r="F7" s="159"/>
      <c r="G7" s="159"/>
      <c r="H7" s="159"/>
      <c r="I7" s="159"/>
      <c r="J7" s="159"/>
      <c r="K7" s="159"/>
      <c r="L7" s="159"/>
      <c r="M7" s="159"/>
      <c r="N7" s="159"/>
      <c r="O7" s="159"/>
      <c r="P7" s="251"/>
    </row>
    <row r="8" spans="1:16" ht="21" customHeight="1">
      <c r="A8" s="125" t="s">
        <v>61</v>
      </c>
      <c r="B8" s="253" t="s">
        <v>4</v>
      </c>
      <c r="C8" s="253"/>
      <c r="D8" s="253" t="s">
        <v>31</v>
      </c>
      <c r="E8" s="253" t="s">
        <v>27</v>
      </c>
      <c r="F8" s="253" t="s">
        <v>65</v>
      </c>
      <c r="G8" s="255" t="s">
        <v>30</v>
      </c>
      <c r="H8" s="256"/>
      <c r="I8" s="256"/>
      <c r="J8" s="256"/>
      <c r="K8" s="256"/>
      <c r="L8" s="256"/>
      <c r="M8" s="256"/>
      <c r="N8" s="256"/>
      <c r="O8" s="257"/>
      <c r="P8" s="253" t="s">
        <v>2</v>
      </c>
    </row>
    <row r="9" spans="1:16" ht="21" customHeight="1">
      <c r="A9" s="125"/>
      <c r="B9" s="255" t="s">
        <v>68</v>
      </c>
      <c r="C9" s="253" t="s">
        <v>66</v>
      </c>
      <c r="D9" s="253"/>
      <c r="E9" s="253"/>
      <c r="F9" s="253"/>
      <c r="G9" s="253" t="s">
        <v>62</v>
      </c>
      <c r="H9" s="253" t="s">
        <v>68</v>
      </c>
      <c r="I9" s="253"/>
      <c r="J9" s="254" t="s">
        <v>11</v>
      </c>
      <c r="K9" s="253" t="s">
        <v>66</v>
      </c>
      <c r="L9" s="253"/>
      <c r="M9" s="253"/>
      <c r="N9" s="253"/>
      <c r="O9" s="254" t="s">
        <v>11</v>
      </c>
      <c r="P9" s="253"/>
    </row>
    <row r="10" spans="1:16" ht="21" customHeight="1">
      <c r="A10" s="252"/>
      <c r="B10" s="258"/>
      <c r="C10" s="254"/>
      <c r="D10" s="254"/>
      <c r="E10" s="254"/>
      <c r="F10" s="254"/>
      <c r="G10" s="254"/>
      <c r="H10" s="22" t="s">
        <v>4</v>
      </c>
      <c r="I10" s="22" t="s">
        <v>34</v>
      </c>
      <c r="J10" s="259"/>
      <c r="K10" s="260" t="s">
        <v>4</v>
      </c>
      <c r="L10" s="261"/>
      <c r="M10" s="262"/>
      <c r="N10" s="23" t="s">
        <v>34</v>
      </c>
      <c r="O10" s="259"/>
      <c r="P10" s="254"/>
    </row>
    <row r="11" spans="1:16" ht="16.5" customHeight="1">
      <c r="A11" s="56" t="str">
        <f>'1. 소켓인수검사'!A22</f>
        <v>14</v>
      </c>
      <c r="B11" s="57">
        <f>'1. 소켓인수검사'!C22</f>
        <v>1500</v>
      </c>
      <c r="C11" s="57">
        <f>'1. 소켓인수검사'!D22</f>
        <v>550</v>
      </c>
      <c r="D11" s="59">
        <v>1</v>
      </c>
      <c r="E11" s="58"/>
      <c r="F11" s="73" t="s">
        <v>53</v>
      </c>
      <c r="G11" s="59" t="s">
        <v>52</v>
      </c>
      <c r="H11" s="70">
        <f>(B11-30)/2-1</f>
        <v>734</v>
      </c>
      <c r="I11" s="59">
        <f>D11*8*2</f>
        <v>16</v>
      </c>
      <c r="J11" s="59"/>
      <c r="K11" s="263">
        <f>(C11-20)/2-10-1</f>
        <v>254</v>
      </c>
      <c r="L11" s="263"/>
      <c r="M11" s="263"/>
      <c r="N11" s="59">
        <f>D11*16*2</f>
        <v>32</v>
      </c>
      <c r="O11" s="59"/>
      <c r="P11" s="71"/>
    </row>
    <row r="12" spans="1:16" ht="8.1" customHeight="1">
      <c r="A12" s="264"/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265"/>
    </row>
    <row r="13" spans="1:16">
      <c r="A13" s="238" t="s">
        <v>50</v>
      </c>
      <c r="B13" s="238"/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</row>
    <row r="14" spans="1:16">
      <c r="A14" s="238"/>
      <c r="B14" s="238"/>
      <c r="C14" s="125"/>
      <c r="D14" s="125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</row>
    <row r="15" spans="1:16">
      <c r="A15" s="238"/>
      <c r="B15" s="238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</row>
    <row r="16" spans="1:16">
      <c r="A16" s="238"/>
      <c r="B16" s="238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</row>
    <row r="17" spans="1:16">
      <c r="A17" s="238"/>
      <c r="B17" s="238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</row>
    <row r="18" spans="1:16">
      <c r="A18" s="238"/>
      <c r="B18" s="238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</row>
  </sheetData>
  <mergeCells count="32">
    <mergeCell ref="A12:P12"/>
    <mergeCell ref="A13:B18"/>
    <mergeCell ref="C13:P18"/>
    <mergeCell ref="K11:M11"/>
    <mergeCell ref="F5:G5"/>
    <mergeCell ref="H5:H6"/>
    <mergeCell ref="I5:J6"/>
    <mergeCell ref="K5:M6"/>
    <mergeCell ref="K9:N9"/>
    <mergeCell ref="O9:O10"/>
    <mergeCell ref="K10:M10"/>
    <mergeCell ref="A1:D3"/>
    <mergeCell ref="A4:B4"/>
    <mergeCell ref="C4:D4"/>
    <mergeCell ref="A5:B6"/>
    <mergeCell ref="C5:D6"/>
    <mergeCell ref="N5:P6"/>
    <mergeCell ref="F6:G6"/>
    <mergeCell ref="E1:P4"/>
    <mergeCell ref="A7:P7"/>
    <mergeCell ref="A8:A10"/>
    <mergeCell ref="B8:C8"/>
    <mergeCell ref="D8:D10"/>
    <mergeCell ref="E8:E10"/>
    <mergeCell ref="F8:F10"/>
    <mergeCell ref="G8:O8"/>
    <mergeCell ref="P8:P10"/>
    <mergeCell ref="B9:B10"/>
    <mergeCell ref="C9:C10"/>
    <mergeCell ref="G9:G10"/>
    <mergeCell ref="H9:I9"/>
    <mergeCell ref="J9:J10"/>
  </mergeCells>
  <phoneticPr fontId="30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/>
  <dimension ref="A1:Q18"/>
  <sheetViews>
    <sheetView showGridLines="0" zoomScaleNormal="100" zoomScaleSheetLayoutView="100" workbookViewId="0">
      <selection activeCell="I30" sqref="I30"/>
    </sheetView>
  </sheetViews>
  <sheetFormatPr defaultColWidth="9" defaultRowHeight="16.5"/>
  <cols>
    <col min="1" max="1" width="3.625" style="5" customWidth="1"/>
    <col min="2" max="3" width="9.625" style="5" customWidth="1"/>
    <col min="4" max="4" width="5.625" style="5" customWidth="1"/>
    <col min="5" max="5" width="16.625" style="5" customWidth="1"/>
    <col min="6" max="6" width="6.75" style="5" customWidth="1"/>
    <col min="7" max="7" width="6.625" style="5" customWidth="1"/>
    <col min="8" max="9" width="9.625" style="5" customWidth="1"/>
    <col min="10" max="10" width="7.125" style="5" customWidth="1"/>
    <col min="11" max="11" width="6.625" style="5" customWidth="1"/>
    <col min="12" max="14" width="3" style="5" customWidth="1"/>
    <col min="15" max="17" width="9.75" style="5" customWidth="1"/>
    <col min="18" max="16384" width="9" style="5"/>
  </cols>
  <sheetData>
    <row r="1" spans="1:17" ht="16.5" customHeight="1">
      <c r="A1" s="125"/>
      <c r="B1" s="125"/>
      <c r="C1" s="125"/>
      <c r="D1" s="125"/>
      <c r="E1" s="241" t="s">
        <v>16</v>
      </c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2"/>
      <c r="Q1" s="243"/>
    </row>
    <row r="2" spans="1:17" ht="16.5" customHeight="1">
      <c r="A2" s="125"/>
      <c r="B2" s="125"/>
      <c r="C2" s="125"/>
      <c r="D2" s="125"/>
      <c r="E2" s="244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6"/>
    </row>
    <row r="3" spans="1:17" ht="16.5" customHeight="1">
      <c r="A3" s="125"/>
      <c r="B3" s="125"/>
      <c r="C3" s="125"/>
      <c r="D3" s="125"/>
      <c r="E3" s="244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6"/>
    </row>
    <row r="4" spans="1:17" ht="16.5" customHeight="1">
      <c r="A4" s="125" t="s">
        <v>19</v>
      </c>
      <c r="B4" s="125"/>
      <c r="C4" s="125"/>
      <c r="D4" s="125"/>
      <c r="E4" s="247"/>
      <c r="F4" s="248"/>
      <c r="G4" s="248"/>
      <c r="H4" s="248"/>
      <c r="I4" s="248"/>
      <c r="J4" s="248"/>
      <c r="K4" s="248"/>
      <c r="L4" s="248"/>
      <c r="M4" s="248"/>
      <c r="N4" s="248"/>
      <c r="O4" s="248"/>
      <c r="P4" s="248"/>
      <c r="Q4" s="249"/>
    </row>
    <row r="5" spans="1:17" ht="16.5" customHeight="1">
      <c r="A5" s="125" t="s">
        <v>29</v>
      </c>
      <c r="B5" s="125"/>
      <c r="C5" s="125"/>
      <c r="D5" s="125"/>
      <c r="E5" s="6" t="s">
        <v>35</v>
      </c>
      <c r="F5" s="125"/>
      <c r="G5" s="125"/>
      <c r="H5" s="125" t="s">
        <v>64</v>
      </c>
      <c r="I5" s="125"/>
      <c r="J5" s="125"/>
      <c r="K5" s="264" t="s">
        <v>60</v>
      </c>
      <c r="L5" s="125"/>
      <c r="M5" s="125"/>
      <c r="N5" s="265"/>
      <c r="O5" s="240" t="str">
        <f>'1. 소켓인수검사'!R2</f>
        <v>26.06.05 웰스홈_LT삼보_(주)우리이엔씨_LX판토스 신항에코 물류센터</v>
      </c>
      <c r="P5" s="240"/>
      <c r="Q5" s="240"/>
    </row>
    <row r="6" spans="1:17">
      <c r="A6" s="125"/>
      <c r="B6" s="125"/>
      <c r="C6" s="125"/>
      <c r="D6" s="125"/>
      <c r="E6" s="6" t="s">
        <v>32</v>
      </c>
      <c r="F6" s="125"/>
      <c r="G6" s="125"/>
      <c r="H6" s="125"/>
      <c r="I6" s="125"/>
      <c r="J6" s="125"/>
      <c r="K6" s="250"/>
      <c r="L6" s="159"/>
      <c r="M6" s="159"/>
      <c r="N6" s="251"/>
      <c r="O6" s="240"/>
      <c r="P6" s="240"/>
      <c r="Q6" s="240"/>
    </row>
    <row r="7" spans="1:17" ht="8.1" customHeight="1">
      <c r="A7" s="250"/>
      <c r="B7" s="159"/>
      <c r="C7" s="159"/>
      <c r="D7" s="159"/>
      <c r="E7" s="159"/>
      <c r="F7" s="159"/>
      <c r="G7" s="159"/>
      <c r="H7" s="159"/>
      <c r="I7" s="159"/>
      <c r="J7" s="159"/>
      <c r="K7" s="159"/>
      <c r="L7" s="159"/>
      <c r="M7" s="159"/>
      <c r="N7" s="159"/>
      <c r="O7" s="159"/>
      <c r="P7" s="159"/>
      <c r="Q7" s="251"/>
    </row>
    <row r="8" spans="1:17">
      <c r="A8" s="125" t="s">
        <v>61</v>
      </c>
      <c r="B8" s="253" t="s">
        <v>4</v>
      </c>
      <c r="C8" s="253"/>
      <c r="D8" s="253" t="s">
        <v>31</v>
      </c>
      <c r="E8" s="253" t="s">
        <v>27</v>
      </c>
      <c r="F8" s="253" t="s">
        <v>65</v>
      </c>
      <c r="G8" s="255" t="s">
        <v>30</v>
      </c>
      <c r="H8" s="256"/>
      <c r="I8" s="256"/>
      <c r="J8" s="256"/>
      <c r="K8" s="255"/>
      <c r="L8" s="256"/>
      <c r="M8" s="256"/>
      <c r="N8" s="256"/>
      <c r="O8" s="256"/>
      <c r="P8" s="257"/>
      <c r="Q8" s="253" t="s">
        <v>2</v>
      </c>
    </row>
    <row r="9" spans="1:17" ht="16.5" customHeight="1">
      <c r="A9" s="125"/>
      <c r="B9" s="255" t="s">
        <v>68</v>
      </c>
      <c r="C9" s="253" t="s">
        <v>66</v>
      </c>
      <c r="D9" s="253"/>
      <c r="E9" s="253"/>
      <c r="F9" s="253"/>
      <c r="G9" s="253" t="s">
        <v>62</v>
      </c>
      <c r="H9" s="253" t="s">
        <v>54</v>
      </c>
      <c r="I9" s="253"/>
      <c r="J9" s="254" t="s">
        <v>11</v>
      </c>
      <c r="K9" s="254" t="s">
        <v>62</v>
      </c>
      <c r="L9" s="253" t="s">
        <v>21</v>
      </c>
      <c r="M9" s="253"/>
      <c r="N9" s="253"/>
      <c r="O9" s="253"/>
      <c r="P9" s="254" t="s">
        <v>11</v>
      </c>
      <c r="Q9" s="253"/>
    </row>
    <row r="10" spans="1:17">
      <c r="A10" s="252"/>
      <c r="B10" s="258"/>
      <c r="C10" s="254"/>
      <c r="D10" s="254"/>
      <c r="E10" s="254"/>
      <c r="F10" s="254"/>
      <c r="G10" s="254"/>
      <c r="H10" s="22" t="s">
        <v>4</v>
      </c>
      <c r="I10" s="22" t="s">
        <v>34</v>
      </c>
      <c r="J10" s="259"/>
      <c r="K10" s="259"/>
      <c r="L10" s="260" t="s">
        <v>4</v>
      </c>
      <c r="M10" s="261"/>
      <c r="N10" s="262"/>
      <c r="O10" s="23" t="s">
        <v>34</v>
      </c>
      <c r="P10" s="259"/>
      <c r="Q10" s="254"/>
    </row>
    <row r="11" spans="1:17" ht="20.100000000000001" customHeight="1">
      <c r="A11" s="56" t="str">
        <f>'1. 소켓인수검사'!A22</f>
        <v>14</v>
      </c>
      <c r="B11" s="57">
        <f>'1. 소켓인수검사'!C22</f>
        <v>1500</v>
      </c>
      <c r="C11" s="57">
        <f>'1. 소켓인수검사'!D22</f>
        <v>550</v>
      </c>
      <c r="D11" s="59">
        <v>1</v>
      </c>
      <c r="E11" s="74"/>
      <c r="F11" s="28" t="s">
        <v>53</v>
      </c>
      <c r="G11" s="70">
        <f>228-3</f>
        <v>225</v>
      </c>
      <c r="H11" s="59">
        <f>((B11-30)/2)-1</f>
        <v>734</v>
      </c>
      <c r="I11" s="59">
        <f t="shared" ref="I11" si="0">D11*4*2</f>
        <v>8</v>
      </c>
      <c r="J11" s="59"/>
      <c r="K11" s="70">
        <f>240-3</f>
        <v>237</v>
      </c>
      <c r="L11" s="266">
        <f t="shared" ref="L11" si="1">C11</f>
        <v>550</v>
      </c>
      <c r="M11" s="267"/>
      <c r="N11" s="267"/>
      <c r="O11" s="59">
        <f t="shared" ref="O11" si="2">D11*2*2</f>
        <v>4</v>
      </c>
      <c r="P11" s="28"/>
      <c r="Q11" s="29"/>
    </row>
    <row r="12" spans="1:17" ht="8.1" customHeight="1">
      <c r="A12" s="264"/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265"/>
    </row>
    <row r="13" spans="1:17">
      <c r="A13" s="238" t="s">
        <v>50</v>
      </c>
      <c r="B13" s="238"/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</row>
    <row r="14" spans="1:17">
      <c r="A14" s="238"/>
      <c r="B14" s="238"/>
      <c r="C14" s="125"/>
      <c r="D14" s="125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5"/>
    </row>
    <row r="15" spans="1:17">
      <c r="A15" s="238"/>
      <c r="B15" s="238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</row>
    <row r="16" spans="1:17">
      <c r="A16" s="238"/>
      <c r="B16" s="238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5"/>
    </row>
    <row r="17" spans="1:17">
      <c r="A17" s="238"/>
      <c r="B17" s="238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</row>
    <row r="18" spans="1:17">
      <c r="A18" s="238"/>
      <c r="B18" s="238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</row>
  </sheetData>
  <mergeCells count="33">
    <mergeCell ref="P9:P10"/>
    <mergeCell ref="L10:N10"/>
    <mergeCell ref="A12:Q12"/>
    <mergeCell ref="A13:B18"/>
    <mergeCell ref="C13:Q18"/>
    <mergeCell ref="L11:N11"/>
    <mergeCell ref="E1:Q4"/>
    <mergeCell ref="A7:Q7"/>
    <mergeCell ref="A8:A10"/>
    <mergeCell ref="B8:C8"/>
    <mergeCell ref="D8:D10"/>
    <mergeCell ref="E8:E10"/>
    <mergeCell ref="F8:F10"/>
    <mergeCell ref="G8:P8"/>
    <mergeCell ref="Q8:Q10"/>
    <mergeCell ref="B9:B10"/>
    <mergeCell ref="C9:C10"/>
    <mergeCell ref="G9:G10"/>
    <mergeCell ref="H9:I9"/>
    <mergeCell ref="J9:J10"/>
    <mergeCell ref="K9:K10"/>
    <mergeCell ref="L9:O9"/>
    <mergeCell ref="F5:G5"/>
    <mergeCell ref="H5:H6"/>
    <mergeCell ref="I5:J6"/>
    <mergeCell ref="K5:N6"/>
    <mergeCell ref="O5:Q6"/>
    <mergeCell ref="F6:G6"/>
    <mergeCell ref="A1:D3"/>
    <mergeCell ref="A4:B4"/>
    <mergeCell ref="C4:D4"/>
    <mergeCell ref="A5:B6"/>
    <mergeCell ref="C5:D6"/>
  </mergeCells>
  <phoneticPr fontId="30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S33"/>
  <sheetViews>
    <sheetView zoomScaleNormal="100" zoomScaleSheetLayoutView="100" workbookViewId="0">
      <pane ySplit="9" topLeftCell="A10" activePane="bottomLeft" state="frozen"/>
      <selection pane="bottomLeft" activeCell="M41" sqref="M41"/>
    </sheetView>
  </sheetViews>
  <sheetFormatPr defaultColWidth="9" defaultRowHeight="16.5"/>
  <cols>
    <col min="1" max="1" width="3.625" customWidth="1"/>
    <col min="2" max="3" width="7.25" customWidth="1"/>
    <col min="4" max="4" width="13.875" customWidth="1"/>
    <col min="5" max="5" width="6.125" customWidth="1"/>
    <col min="6" max="6" width="6" customWidth="1"/>
    <col min="7" max="7" width="8" customWidth="1"/>
    <col min="8" max="8" width="5" customWidth="1"/>
    <col min="9" max="9" width="6.625" customWidth="1"/>
    <col min="10" max="10" width="8" customWidth="1"/>
    <col min="11" max="11" width="6" customWidth="1"/>
    <col min="12" max="12" width="6.625" customWidth="1"/>
    <col min="13" max="13" width="8" customWidth="1"/>
    <col min="14" max="14" width="6" customWidth="1"/>
    <col min="15" max="15" width="6.625" customWidth="1"/>
    <col min="16" max="16" width="8" customWidth="1"/>
    <col min="17" max="17" width="6" customWidth="1"/>
    <col min="18" max="18" width="3.625" customWidth="1"/>
    <col min="19" max="19" width="6.625" customWidth="1"/>
  </cols>
  <sheetData>
    <row r="1" spans="1:19" ht="16.5" customHeight="1">
      <c r="A1" s="125"/>
      <c r="B1" s="125"/>
      <c r="C1" s="125"/>
      <c r="D1" s="268" t="s">
        <v>48</v>
      </c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9"/>
      <c r="R1" s="270"/>
      <c r="S1" s="14"/>
    </row>
    <row r="2" spans="1:19">
      <c r="A2" s="125"/>
      <c r="B2" s="125"/>
      <c r="C2" s="125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9"/>
      <c r="R2" s="271"/>
      <c r="S2" s="272"/>
    </row>
    <row r="3" spans="1:19" ht="24" customHeight="1">
      <c r="A3" s="125"/>
      <c r="B3" s="125"/>
      <c r="C3" s="125"/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8"/>
      <c r="O3" s="268"/>
      <c r="P3" s="268"/>
      <c r="Q3" s="269"/>
      <c r="R3" s="271"/>
      <c r="S3" s="272"/>
    </row>
    <row r="4" spans="1:19">
      <c r="A4" s="125" t="s">
        <v>19</v>
      </c>
      <c r="B4" s="125"/>
      <c r="C4" s="1"/>
      <c r="D4" s="268"/>
      <c r="E4" s="268"/>
      <c r="F4" s="268"/>
      <c r="G4" s="268"/>
      <c r="H4" s="268"/>
      <c r="I4" s="268"/>
      <c r="J4" s="268"/>
      <c r="K4" s="268"/>
      <c r="L4" s="268"/>
      <c r="M4" s="268"/>
      <c r="N4" s="268"/>
      <c r="O4" s="268"/>
      <c r="P4" s="268"/>
      <c r="Q4" s="269"/>
      <c r="R4" s="271"/>
      <c r="S4" s="272"/>
    </row>
    <row r="5" spans="1:19">
      <c r="A5" s="125" t="s">
        <v>29</v>
      </c>
      <c r="B5" s="125"/>
      <c r="C5" s="125"/>
      <c r="D5" s="2" t="s">
        <v>35</v>
      </c>
      <c r="E5" s="273"/>
      <c r="F5" s="274"/>
      <c r="G5" s="275" t="s">
        <v>64</v>
      </c>
      <c r="H5" s="189"/>
      <c r="I5" s="190"/>
      <c r="J5" s="190"/>
      <c r="K5" s="191"/>
      <c r="L5" s="275" t="s">
        <v>24</v>
      </c>
      <c r="M5" s="78"/>
      <c r="N5" s="78"/>
      <c r="O5" s="275" t="s">
        <v>24</v>
      </c>
      <c r="P5" s="277" t="str">
        <f>'1. 소켓인수검사'!R2</f>
        <v>26.06.05 웰스홈_LT삼보_(주)우리이엔씨_LX판토스 신항에코 물류센터</v>
      </c>
      <c r="Q5" s="278"/>
      <c r="R5" s="278"/>
      <c r="S5" s="279"/>
    </row>
    <row r="6" spans="1:19">
      <c r="A6" s="125"/>
      <c r="B6" s="125"/>
      <c r="C6" s="125"/>
      <c r="D6" s="2" t="s">
        <v>32</v>
      </c>
      <c r="E6" s="273"/>
      <c r="F6" s="274"/>
      <c r="G6" s="276"/>
      <c r="H6" s="192"/>
      <c r="I6" s="193"/>
      <c r="J6" s="193"/>
      <c r="K6" s="194"/>
      <c r="L6" s="276"/>
      <c r="M6" s="79"/>
      <c r="N6" s="79"/>
      <c r="O6" s="276"/>
      <c r="P6" s="280"/>
      <c r="Q6" s="281"/>
      <c r="R6" s="281"/>
      <c r="S6" s="282"/>
    </row>
    <row r="7" spans="1:19" ht="8.1" customHeight="1">
      <c r="A7" s="192"/>
      <c r="B7" s="193"/>
      <c r="C7" s="193"/>
      <c r="D7" s="193"/>
      <c r="E7" s="193"/>
      <c r="F7" s="193"/>
      <c r="G7" s="193"/>
      <c r="H7" s="193"/>
      <c r="I7" s="193"/>
      <c r="J7" s="193"/>
      <c r="K7" s="193"/>
      <c r="L7" s="193"/>
      <c r="M7" s="193"/>
      <c r="N7" s="193"/>
      <c r="O7" s="193"/>
      <c r="P7" s="193"/>
      <c r="Q7" s="193"/>
      <c r="R7" s="193"/>
      <c r="S7" s="194"/>
    </row>
    <row r="8" spans="1:19" ht="16.5" customHeight="1">
      <c r="A8" s="137" t="s">
        <v>61</v>
      </c>
      <c r="B8" s="284" t="s">
        <v>68</v>
      </c>
      <c r="C8" s="284" t="s">
        <v>66</v>
      </c>
      <c r="D8" s="284" t="s">
        <v>71</v>
      </c>
      <c r="E8" s="284" t="s">
        <v>56</v>
      </c>
      <c r="F8" s="284" t="s">
        <v>63</v>
      </c>
      <c r="G8" s="284" t="s">
        <v>26</v>
      </c>
      <c r="H8" s="284"/>
      <c r="I8" s="284"/>
      <c r="J8" s="284" t="s">
        <v>0</v>
      </c>
      <c r="K8" s="284"/>
      <c r="L8" s="284"/>
      <c r="M8" s="284" t="s">
        <v>0</v>
      </c>
      <c r="N8" s="284"/>
      <c r="O8" s="284"/>
      <c r="P8" s="284" t="s">
        <v>0</v>
      </c>
      <c r="Q8" s="284"/>
      <c r="R8" s="284"/>
      <c r="S8" s="286"/>
    </row>
    <row r="9" spans="1:19" ht="33" customHeight="1">
      <c r="A9" s="283"/>
      <c r="B9" s="285"/>
      <c r="C9" s="285"/>
      <c r="D9" s="285"/>
      <c r="E9" s="285"/>
      <c r="F9" s="285"/>
      <c r="G9" s="81" t="s">
        <v>36</v>
      </c>
      <c r="H9" s="81" t="s">
        <v>59</v>
      </c>
      <c r="I9" s="81" t="s">
        <v>58</v>
      </c>
      <c r="J9" s="81" t="s">
        <v>22</v>
      </c>
      <c r="K9" s="81" t="s">
        <v>59</v>
      </c>
      <c r="L9" s="81" t="s">
        <v>58</v>
      </c>
      <c r="M9" s="81" t="s">
        <v>28</v>
      </c>
      <c r="N9" s="81" t="s">
        <v>59</v>
      </c>
      <c r="O9" s="81" t="s">
        <v>58</v>
      </c>
      <c r="P9" s="81" t="s">
        <v>25</v>
      </c>
      <c r="Q9" s="81" t="s">
        <v>59</v>
      </c>
      <c r="R9" s="285" t="s">
        <v>58</v>
      </c>
      <c r="S9" s="287"/>
    </row>
    <row r="10" spans="1:19">
      <c r="A10" s="61" t="str">
        <f>'1. 소켓인수검사'!A9</f>
        <v>01</v>
      </c>
      <c r="B10" s="41">
        <f>'1. 소켓인수검사'!C9</f>
        <v>200</v>
      </c>
      <c r="C10" s="41">
        <f>'1. 소켓인수검사'!D9</f>
        <v>200</v>
      </c>
      <c r="D10" s="62" t="s">
        <v>17</v>
      </c>
      <c r="E10" s="76">
        <f>B10*C10/1000000</f>
        <v>0.04</v>
      </c>
      <c r="F10" s="76">
        <f>(B10+C10)*2/1000</f>
        <v>0.8</v>
      </c>
      <c r="G10" s="32">
        <f>(F10+0.4)</f>
        <v>1.2000000000000002</v>
      </c>
      <c r="H10" s="32">
        <v>4</v>
      </c>
      <c r="I10" s="77">
        <f>G10*H10</f>
        <v>4.8000000000000007</v>
      </c>
      <c r="J10" s="32"/>
      <c r="K10" s="32"/>
      <c r="L10" s="32"/>
      <c r="M10" s="32"/>
      <c r="N10" s="32"/>
      <c r="O10" s="32"/>
      <c r="P10" s="32"/>
      <c r="Q10" s="32"/>
      <c r="R10" s="288"/>
      <c r="S10" s="289"/>
    </row>
    <row r="11" spans="1:19">
      <c r="A11" s="61" t="str">
        <f>'1. 소켓인수검사'!A10</f>
        <v>02</v>
      </c>
      <c r="B11" s="41">
        <f>'1. 소켓인수검사'!C10</f>
        <v>200</v>
      </c>
      <c r="C11" s="41">
        <f>'1. 소켓인수검사'!D10</f>
        <v>200</v>
      </c>
      <c r="D11" s="62" t="s">
        <v>17</v>
      </c>
      <c r="E11" s="76">
        <f t="shared" ref="E11:E22" si="0">B11*C11/1000000</f>
        <v>0.04</v>
      </c>
      <c r="F11" s="76">
        <f t="shared" ref="F11:F22" si="1">(B11+C11)*2/1000</f>
        <v>0.8</v>
      </c>
      <c r="G11" s="32">
        <f>(F11+0.4)</f>
        <v>1.2000000000000002</v>
      </c>
      <c r="H11" s="32">
        <v>4</v>
      </c>
      <c r="I11" s="77">
        <f>G11*H11</f>
        <v>4.8000000000000007</v>
      </c>
      <c r="J11" s="32"/>
      <c r="K11" s="32"/>
      <c r="L11" s="32"/>
      <c r="M11" s="32"/>
      <c r="N11" s="32"/>
      <c r="O11" s="32"/>
      <c r="P11" s="32"/>
      <c r="Q11" s="32"/>
      <c r="R11" s="288"/>
      <c r="S11" s="289"/>
    </row>
    <row r="12" spans="1:19">
      <c r="A12" s="61" t="str">
        <f>'1. 소켓인수검사'!A11</f>
        <v>03</v>
      </c>
      <c r="B12" s="41">
        <f>'1. 소켓인수검사'!C11</f>
        <v>200</v>
      </c>
      <c r="C12" s="41">
        <f>'1. 소켓인수검사'!D11</f>
        <v>200</v>
      </c>
      <c r="D12" s="62" t="s">
        <v>17</v>
      </c>
      <c r="E12" s="76">
        <f t="shared" si="0"/>
        <v>0.04</v>
      </c>
      <c r="F12" s="76">
        <f t="shared" si="1"/>
        <v>0.8</v>
      </c>
      <c r="G12" s="32">
        <f t="shared" ref="G12:G22" si="2">(F12+0.4)</f>
        <v>1.2000000000000002</v>
      </c>
      <c r="H12" s="32">
        <v>4</v>
      </c>
      <c r="I12" s="77">
        <f t="shared" ref="I12:I22" si="3">G12*H12</f>
        <v>4.8000000000000007</v>
      </c>
      <c r="J12" s="32"/>
      <c r="K12" s="32"/>
      <c r="L12" s="32"/>
      <c r="M12" s="32"/>
      <c r="N12" s="32"/>
      <c r="O12" s="32"/>
      <c r="P12" s="32"/>
      <c r="Q12" s="32"/>
      <c r="R12" s="288"/>
      <c r="S12" s="289"/>
    </row>
    <row r="13" spans="1:19">
      <c r="A13" s="61" t="str">
        <f>'1. 소켓인수검사'!A12</f>
        <v>04</v>
      </c>
      <c r="B13" s="41">
        <f>'1. 소켓인수검사'!C12</f>
        <v>200</v>
      </c>
      <c r="C13" s="41">
        <f>'1. 소켓인수검사'!D12</f>
        <v>200</v>
      </c>
      <c r="D13" s="62" t="s">
        <v>17</v>
      </c>
      <c r="E13" s="76">
        <f t="shared" si="0"/>
        <v>0.04</v>
      </c>
      <c r="F13" s="76">
        <f t="shared" si="1"/>
        <v>0.8</v>
      </c>
      <c r="G13" s="32">
        <f t="shared" si="2"/>
        <v>1.2000000000000002</v>
      </c>
      <c r="H13" s="32">
        <v>4</v>
      </c>
      <c r="I13" s="77">
        <f t="shared" si="3"/>
        <v>4.8000000000000007</v>
      </c>
      <c r="J13" s="32"/>
      <c r="K13" s="32"/>
      <c r="L13" s="32"/>
      <c r="M13" s="32"/>
      <c r="N13" s="32"/>
      <c r="O13" s="32"/>
      <c r="P13" s="32"/>
      <c r="Q13" s="32"/>
      <c r="R13" s="288"/>
      <c r="S13" s="289"/>
    </row>
    <row r="14" spans="1:19">
      <c r="A14" s="61" t="str">
        <f>'1. 소켓인수검사'!A13</f>
        <v>05</v>
      </c>
      <c r="B14" s="41">
        <f>'1. 소켓인수검사'!C13</f>
        <v>300</v>
      </c>
      <c r="C14" s="41">
        <f>'1. 소켓인수검사'!D13</f>
        <v>250</v>
      </c>
      <c r="D14" s="62" t="s">
        <v>17</v>
      </c>
      <c r="E14" s="76">
        <f t="shared" si="0"/>
        <v>7.4999999999999997E-2</v>
      </c>
      <c r="F14" s="76">
        <f t="shared" si="1"/>
        <v>1.1000000000000001</v>
      </c>
      <c r="G14" s="32">
        <f t="shared" si="2"/>
        <v>1.5</v>
      </c>
      <c r="H14" s="32">
        <v>4</v>
      </c>
      <c r="I14" s="77">
        <f t="shared" si="3"/>
        <v>6</v>
      </c>
      <c r="J14" s="32"/>
      <c r="K14" s="32"/>
      <c r="L14" s="32"/>
      <c r="M14" s="32"/>
      <c r="N14" s="32"/>
      <c r="O14" s="32"/>
      <c r="P14" s="32"/>
      <c r="Q14" s="32"/>
      <c r="R14" s="288"/>
      <c r="S14" s="289"/>
    </row>
    <row r="15" spans="1:19">
      <c r="A15" s="61" t="str">
        <f>'1. 소켓인수검사'!A14</f>
        <v>06</v>
      </c>
      <c r="B15" s="41">
        <f>'1. 소켓인수검사'!C14</f>
        <v>300</v>
      </c>
      <c r="C15" s="41">
        <f>'1. 소켓인수검사'!D14</f>
        <v>250</v>
      </c>
      <c r="D15" s="62" t="s">
        <v>17</v>
      </c>
      <c r="E15" s="76">
        <f t="shared" si="0"/>
        <v>7.4999999999999997E-2</v>
      </c>
      <c r="F15" s="76">
        <f t="shared" si="1"/>
        <v>1.1000000000000001</v>
      </c>
      <c r="G15" s="32">
        <f t="shared" si="2"/>
        <v>1.5</v>
      </c>
      <c r="H15" s="32">
        <v>4</v>
      </c>
      <c r="I15" s="77">
        <f t="shared" si="3"/>
        <v>6</v>
      </c>
      <c r="J15" s="32"/>
      <c r="K15" s="32"/>
      <c r="L15" s="32"/>
      <c r="M15" s="32"/>
      <c r="N15" s="32"/>
      <c r="O15" s="32"/>
      <c r="P15" s="32"/>
      <c r="Q15" s="32"/>
      <c r="R15" s="288"/>
      <c r="S15" s="289"/>
    </row>
    <row r="16" spans="1:19">
      <c r="A16" s="61" t="str">
        <f>'1. 소켓인수검사'!A15</f>
        <v>07</v>
      </c>
      <c r="B16" s="41">
        <f>'1. 소켓인수검사'!C15</f>
        <v>350</v>
      </c>
      <c r="C16" s="41">
        <f>'1. 소켓인수검사'!D15</f>
        <v>200</v>
      </c>
      <c r="D16" s="62" t="s">
        <v>17</v>
      </c>
      <c r="E16" s="76">
        <f t="shared" si="0"/>
        <v>7.0000000000000007E-2</v>
      </c>
      <c r="F16" s="76">
        <f t="shared" si="1"/>
        <v>1.1000000000000001</v>
      </c>
      <c r="G16" s="32">
        <f t="shared" si="2"/>
        <v>1.5</v>
      </c>
      <c r="H16" s="32">
        <v>4</v>
      </c>
      <c r="I16" s="77">
        <f t="shared" si="3"/>
        <v>6</v>
      </c>
      <c r="J16" s="32"/>
      <c r="K16" s="32"/>
      <c r="L16" s="32"/>
      <c r="M16" s="32"/>
      <c r="N16" s="32"/>
      <c r="O16" s="32"/>
      <c r="P16" s="32"/>
      <c r="Q16" s="32"/>
      <c r="R16" s="288"/>
      <c r="S16" s="289"/>
    </row>
    <row r="17" spans="1:19">
      <c r="A17" s="61" t="str">
        <f>'1. 소켓인수검사'!A16</f>
        <v>08</v>
      </c>
      <c r="B17" s="41">
        <f>'1. 소켓인수검사'!C16</f>
        <v>350</v>
      </c>
      <c r="C17" s="41">
        <f>'1. 소켓인수검사'!D16</f>
        <v>200</v>
      </c>
      <c r="D17" s="62" t="s">
        <v>17</v>
      </c>
      <c r="E17" s="76">
        <f t="shared" si="0"/>
        <v>7.0000000000000007E-2</v>
      </c>
      <c r="F17" s="76">
        <f t="shared" si="1"/>
        <v>1.1000000000000001</v>
      </c>
      <c r="G17" s="32">
        <f t="shared" si="2"/>
        <v>1.5</v>
      </c>
      <c r="H17" s="32">
        <v>4</v>
      </c>
      <c r="I17" s="77">
        <f t="shared" si="3"/>
        <v>6</v>
      </c>
      <c r="J17" s="32"/>
      <c r="K17" s="32"/>
      <c r="L17" s="32"/>
      <c r="M17" s="32"/>
      <c r="N17" s="32"/>
      <c r="O17" s="32"/>
      <c r="P17" s="32"/>
      <c r="Q17" s="32"/>
      <c r="R17" s="288"/>
      <c r="S17" s="289"/>
    </row>
    <row r="18" spans="1:19">
      <c r="A18" s="61" t="str">
        <f>'1. 소켓인수검사'!A17</f>
        <v>09</v>
      </c>
      <c r="B18" s="41">
        <f>'1. 소켓인수검사'!C17</f>
        <v>500</v>
      </c>
      <c r="C18" s="41">
        <f>'1. 소켓인수검사'!D17</f>
        <v>400</v>
      </c>
      <c r="D18" s="62" t="s">
        <v>17</v>
      </c>
      <c r="E18" s="76">
        <f t="shared" si="0"/>
        <v>0.2</v>
      </c>
      <c r="F18" s="76">
        <f t="shared" si="1"/>
        <v>1.8</v>
      </c>
      <c r="G18" s="32">
        <f t="shared" si="2"/>
        <v>2.2000000000000002</v>
      </c>
      <c r="H18" s="32">
        <v>4</v>
      </c>
      <c r="I18" s="77">
        <f t="shared" si="3"/>
        <v>8.8000000000000007</v>
      </c>
      <c r="J18" s="32"/>
      <c r="K18" s="32"/>
      <c r="L18" s="32"/>
      <c r="M18" s="32"/>
      <c r="N18" s="32"/>
      <c r="O18" s="32"/>
      <c r="P18" s="32"/>
      <c r="Q18" s="32"/>
      <c r="R18" s="288"/>
      <c r="S18" s="289"/>
    </row>
    <row r="19" spans="1:19">
      <c r="A19" s="61" t="str">
        <f>'1. 소켓인수검사'!A18</f>
        <v>10</v>
      </c>
      <c r="B19" s="41">
        <f>'1. 소켓인수검사'!C18</f>
        <v>500</v>
      </c>
      <c r="C19" s="41">
        <f>'1. 소켓인수검사'!D18</f>
        <v>400</v>
      </c>
      <c r="D19" s="62" t="s">
        <v>17</v>
      </c>
      <c r="E19" s="76">
        <f t="shared" si="0"/>
        <v>0.2</v>
      </c>
      <c r="F19" s="76">
        <f t="shared" si="1"/>
        <v>1.8</v>
      </c>
      <c r="G19" s="32">
        <f t="shared" si="2"/>
        <v>2.2000000000000002</v>
      </c>
      <c r="H19" s="32">
        <v>4</v>
      </c>
      <c r="I19" s="77">
        <f t="shared" si="3"/>
        <v>8.8000000000000007</v>
      </c>
      <c r="J19" s="32"/>
      <c r="K19" s="32"/>
      <c r="L19" s="32"/>
      <c r="M19" s="32"/>
      <c r="N19" s="32"/>
      <c r="O19" s="32"/>
      <c r="P19" s="32"/>
      <c r="Q19" s="32"/>
      <c r="R19" s="288"/>
      <c r="S19" s="289"/>
    </row>
    <row r="20" spans="1:19">
      <c r="A20" s="61" t="str">
        <f>'1. 소켓인수검사'!A19</f>
        <v>11</v>
      </c>
      <c r="B20" s="41">
        <f>'1. 소켓인수검사'!C19</f>
        <v>500</v>
      </c>
      <c r="C20" s="41">
        <f>'1. 소켓인수검사'!D19</f>
        <v>400</v>
      </c>
      <c r="D20" s="62" t="s">
        <v>17</v>
      </c>
      <c r="E20" s="76">
        <f t="shared" si="0"/>
        <v>0.2</v>
      </c>
      <c r="F20" s="76">
        <f t="shared" si="1"/>
        <v>1.8</v>
      </c>
      <c r="G20" s="32">
        <f t="shared" si="2"/>
        <v>2.2000000000000002</v>
      </c>
      <c r="H20" s="32">
        <v>4</v>
      </c>
      <c r="I20" s="77">
        <f t="shared" si="3"/>
        <v>8.8000000000000007</v>
      </c>
      <c r="J20" s="32"/>
      <c r="K20" s="32"/>
      <c r="L20" s="32"/>
      <c r="M20" s="32"/>
      <c r="N20" s="32"/>
      <c r="O20" s="32"/>
      <c r="P20" s="32"/>
      <c r="Q20" s="32"/>
      <c r="R20" s="288"/>
      <c r="S20" s="289"/>
    </row>
    <row r="21" spans="1:19">
      <c r="A21" s="61" t="str">
        <f>'1. 소켓인수검사'!A20</f>
        <v>12</v>
      </c>
      <c r="B21" s="41">
        <f>'1. 소켓인수검사'!C20</f>
        <v>500</v>
      </c>
      <c r="C21" s="41">
        <f>'1. 소켓인수검사'!D20</f>
        <v>400</v>
      </c>
      <c r="D21" s="62" t="s">
        <v>17</v>
      </c>
      <c r="E21" s="76">
        <f t="shared" si="0"/>
        <v>0.2</v>
      </c>
      <c r="F21" s="76">
        <f t="shared" si="1"/>
        <v>1.8</v>
      </c>
      <c r="G21" s="32">
        <f t="shared" si="2"/>
        <v>2.2000000000000002</v>
      </c>
      <c r="H21" s="32">
        <v>4</v>
      </c>
      <c r="I21" s="77">
        <f t="shared" si="3"/>
        <v>8.8000000000000007</v>
      </c>
      <c r="J21" s="32"/>
      <c r="K21" s="32"/>
      <c r="L21" s="32"/>
      <c r="M21" s="32"/>
      <c r="N21" s="32"/>
      <c r="O21" s="32"/>
      <c r="P21" s="32"/>
      <c r="Q21" s="32"/>
      <c r="R21" s="288"/>
      <c r="S21" s="289"/>
    </row>
    <row r="22" spans="1:19">
      <c r="A22" s="61" t="str">
        <f>'1. 소켓인수검사'!A21</f>
        <v>13</v>
      </c>
      <c r="B22" s="41">
        <f>'1. 소켓인수검사'!C21</f>
        <v>500</v>
      </c>
      <c r="C22" s="41">
        <f>'1. 소켓인수검사'!D21</f>
        <v>400</v>
      </c>
      <c r="D22" s="62" t="s">
        <v>17</v>
      </c>
      <c r="E22" s="76">
        <f t="shared" si="0"/>
        <v>0.2</v>
      </c>
      <c r="F22" s="76">
        <f t="shared" si="1"/>
        <v>1.8</v>
      </c>
      <c r="G22" s="32">
        <f t="shared" si="2"/>
        <v>2.2000000000000002</v>
      </c>
      <c r="H22" s="32">
        <v>4</v>
      </c>
      <c r="I22" s="77">
        <f t="shared" si="3"/>
        <v>8.8000000000000007</v>
      </c>
      <c r="J22" s="32"/>
      <c r="K22" s="32"/>
      <c r="L22" s="32"/>
      <c r="M22" s="32"/>
      <c r="N22" s="32"/>
      <c r="O22" s="32"/>
      <c r="P22" s="32"/>
      <c r="Q22" s="32"/>
      <c r="R22" s="288"/>
      <c r="S22" s="289"/>
    </row>
    <row r="23" spans="1:19">
      <c r="A23" s="61" t="str">
        <f>'1. 소켓인수검사'!A22</f>
        <v>14</v>
      </c>
      <c r="B23" s="41">
        <f>'1. 소켓인수검사'!C22</f>
        <v>1500</v>
      </c>
      <c r="C23" s="41">
        <f>'1. 소켓인수검사'!D22</f>
        <v>550</v>
      </c>
      <c r="D23" s="65" t="s">
        <v>51</v>
      </c>
      <c r="E23" s="76">
        <f t="shared" ref="E23" si="4">B23*C23/1000000</f>
        <v>0.82499999999999996</v>
      </c>
      <c r="F23" s="76">
        <f t="shared" ref="F23" si="5">(B23+C23)*2/1000</f>
        <v>4.0999999999999996</v>
      </c>
      <c r="G23" s="32">
        <f t="shared" ref="G23" si="6">(F23+0.4)</f>
        <v>4.5</v>
      </c>
      <c r="H23" s="41">
        <v>2</v>
      </c>
      <c r="I23" s="32">
        <f>G23*H23</f>
        <v>9</v>
      </c>
      <c r="J23" s="32"/>
      <c r="K23" s="32"/>
      <c r="L23" s="32"/>
      <c r="M23" s="32"/>
      <c r="N23" s="32"/>
      <c r="O23" s="32"/>
      <c r="P23" s="32">
        <f t="shared" ref="P23" si="7">F23+0.5</f>
        <v>4.5999999999999996</v>
      </c>
      <c r="Q23" s="32">
        <v>2</v>
      </c>
      <c r="R23" s="288">
        <f>P23*Q23</f>
        <v>9.1999999999999993</v>
      </c>
      <c r="S23" s="289"/>
    </row>
    <row r="24" spans="1:19">
      <c r="A24" s="290" t="s">
        <v>3</v>
      </c>
      <c r="B24" s="291"/>
      <c r="C24" s="291"/>
      <c r="D24" s="291"/>
      <c r="E24" s="291"/>
      <c r="F24" s="292"/>
      <c r="G24" s="39"/>
      <c r="H24" s="52"/>
      <c r="I24" s="85">
        <f>SUM(I10:I23)</f>
        <v>96.199999999999989</v>
      </c>
      <c r="J24" s="39"/>
      <c r="K24" s="39"/>
      <c r="L24" s="85">
        <f>SUM(L10:L23)</f>
        <v>0</v>
      </c>
      <c r="M24" s="39"/>
      <c r="N24" s="39"/>
      <c r="O24" s="85">
        <f>SUM(O10:O23)</f>
        <v>0</v>
      </c>
      <c r="P24" s="39"/>
      <c r="Q24" s="39"/>
      <c r="R24" s="293">
        <f>SUM(R10:S23)</f>
        <v>9.1999999999999993</v>
      </c>
      <c r="S24" s="294"/>
    </row>
    <row r="25" spans="1:19" ht="17.25" customHeight="1">
      <c r="A25" s="297" t="s">
        <v>14</v>
      </c>
      <c r="B25" s="298"/>
      <c r="C25" s="298"/>
      <c r="D25" s="298"/>
      <c r="E25" s="298"/>
      <c r="F25" s="299"/>
      <c r="G25" s="300">
        <f>I24/20</f>
        <v>4.8099999999999996</v>
      </c>
      <c r="H25" s="301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2"/>
    </row>
    <row r="26" spans="1:19">
      <c r="A26" s="297" t="s">
        <v>13</v>
      </c>
      <c r="B26" s="298"/>
      <c r="C26" s="298"/>
      <c r="D26" s="298"/>
      <c r="E26" s="298"/>
      <c r="F26" s="299"/>
      <c r="G26" s="300">
        <f>L24/3.6</f>
        <v>0</v>
      </c>
      <c r="H26" s="301"/>
      <c r="I26" s="301"/>
      <c r="J26" s="301"/>
      <c r="K26" s="301"/>
      <c r="L26" s="301"/>
      <c r="M26" s="301"/>
      <c r="N26" s="301"/>
      <c r="O26" s="301"/>
      <c r="P26" s="301"/>
      <c r="Q26" s="301"/>
      <c r="R26" s="301"/>
      <c r="S26" s="302"/>
    </row>
    <row r="27" spans="1:19">
      <c r="A27" s="303" t="s">
        <v>80</v>
      </c>
      <c r="B27" s="298"/>
      <c r="C27" s="298"/>
      <c r="D27" s="298"/>
      <c r="E27" s="298"/>
      <c r="F27" s="299"/>
      <c r="G27" s="300">
        <f>O24/7.4</f>
        <v>0</v>
      </c>
      <c r="H27" s="301"/>
      <c r="I27" s="301"/>
      <c r="J27" s="301"/>
      <c r="K27" s="301"/>
      <c r="L27" s="301"/>
      <c r="M27" s="301"/>
      <c r="N27" s="301"/>
      <c r="O27" s="301"/>
      <c r="P27" s="301"/>
      <c r="Q27" s="301"/>
      <c r="R27" s="301"/>
      <c r="S27" s="302"/>
    </row>
    <row r="28" spans="1:19">
      <c r="A28" s="297" t="s">
        <v>15</v>
      </c>
      <c r="B28" s="298"/>
      <c r="C28" s="298"/>
      <c r="D28" s="298"/>
      <c r="E28" s="298"/>
      <c r="F28" s="299"/>
      <c r="G28" s="300">
        <f>R24/3.6</f>
        <v>2.5555555555555554</v>
      </c>
      <c r="H28" s="301"/>
      <c r="I28" s="301"/>
      <c r="J28" s="301"/>
      <c r="K28" s="301"/>
      <c r="L28" s="301"/>
      <c r="M28" s="301"/>
      <c r="N28" s="301"/>
      <c r="O28" s="301"/>
      <c r="P28" s="301"/>
      <c r="Q28" s="301"/>
      <c r="R28" s="301"/>
      <c r="S28" s="302"/>
    </row>
    <row r="29" spans="1:19" ht="8.1" customHeight="1">
      <c r="A29" s="190"/>
      <c r="B29" s="190"/>
      <c r="C29" s="190"/>
      <c r="D29" s="190"/>
      <c r="E29" s="190"/>
      <c r="F29" s="190"/>
      <c r="G29" s="190"/>
      <c r="H29" s="190"/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</row>
    <row r="30" spans="1:19">
      <c r="A30" s="125" t="s">
        <v>50</v>
      </c>
      <c r="B30" s="125"/>
      <c r="C30" s="295"/>
      <c r="D30" s="296"/>
      <c r="E30" s="296"/>
      <c r="F30" s="296"/>
      <c r="G30" s="296"/>
      <c r="H30" s="296"/>
      <c r="I30" s="296"/>
      <c r="J30" s="296"/>
      <c r="K30" s="296"/>
      <c r="L30" s="296"/>
      <c r="M30" s="296"/>
      <c r="N30" s="296"/>
      <c r="O30" s="296"/>
      <c r="P30" s="296"/>
      <c r="Q30" s="296"/>
      <c r="R30" s="296"/>
      <c r="S30" s="296"/>
    </row>
    <row r="31" spans="1:19">
      <c r="A31" s="125"/>
      <c r="B31" s="125"/>
      <c r="C31" s="296"/>
      <c r="D31" s="296"/>
      <c r="E31" s="296"/>
      <c r="F31" s="296"/>
      <c r="G31" s="296"/>
      <c r="H31" s="296"/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</row>
    <row r="32" spans="1:19">
      <c r="A32" s="125"/>
      <c r="B32" s="125"/>
      <c r="C32" s="296"/>
      <c r="D32" s="296"/>
      <c r="E32" s="296"/>
      <c r="F32" s="296"/>
      <c r="G32" s="296"/>
      <c r="H32" s="296"/>
      <c r="I32" s="296"/>
      <c r="J32" s="296"/>
      <c r="K32" s="296"/>
      <c r="L32" s="296"/>
      <c r="M32" s="296"/>
      <c r="N32" s="296"/>
      <c r="O32" s="296"/>
      <c r="P32" s="296"/>
      <c r="Q32" s="296"/>
      <c r="R32" s="296"/>
      <c r="S32" s="296"/>
    </row>
    <row r="33" spans="1:19">
      <c r="A33" s="125"/>
      <c r="B33" s="125"/>
      <c r="C33" s="296"/>
      <c r="D33" s="296"/>
      <c r="E33" s="296"/>
      <c r="F33" s="296"/>
      <c r="G33" s="296"/>
      <c r="H33" s="296"/>
      <c r="I33" s="296"/>
      <c r="J33" s="296"/>
      <c r="K33" s="296"/>
      <c r="L33" s="296"/>
      <c r="M33" s="296"/>
      <c r="N33" s="296"/>
      <c r="O33" s="296"/>
      <c r="P33" s="296"/>
      <c r="Q33" s="296"/>
      <c r="R33" s="296"/>
      <c r="S33" s="296"/>
    </row>
  </sheetData>
  <mergeCells count="53">
    <mergeCell ref="A30:B33"/>
    <mergeCell ref="C30:S33"/>
    <mergeCell ref="A25:F25"/>
    <mergeCell ref="G25:S25"/>
    <mergeCell ref="A26:F26"/>
    <mergeCell ref="G26:S26"/>
    <mergeCell ref="A27:F27"/>
    <mergeCell ref="G27:S27"/>
    <mergeCell ref="A28:F28"/>
    <mergeCell ref="G28:S28"/>
    <mergeCell ref="A29:S29"/>
    <mergeCell ref="R20:S20"/>
    <mergeCell ref="R21:S21"/>
    <mergeCell ref="R22:S22"/>
    <mergeCell ref="R23:S23"/>
    <mergeCell ref="A24:F24"/>
    <mergeCell ref="R24:S24"/>
    <mergeCell ref="R15:S15"/>
    <mergeCell ref="R16:S16"/>
    <mergeCell ref="R17:S17"/>
    <mergeCell ref="R18:S18"/>
    <mergeCell ref="R19:S19"/>
    <mergeCell ref="R10:S10"/>
    <mergeCell ref="R11:S11"/>
    <mergeCell ref="R12:S12"/>
    <mergeCell ref="R13:S13"/>
    <mergeCell ref="R14:S14"/>
    <mergeCell ref="F8:F9"/>
    <mergeCell ref="G8:I8"/>
    <mergeCell ref="J8:L8"/>
    <mergeCell ref="M8:O8"/>
    <mergeCell ref="P8:S8"/>
    <mergeCell ref="R9:S9"/>
    <mergeCell ref="A8:A9"/>
    <mergeCell ref="B8:B9"/>
    <mergeCell ref="C8:C9"/>
    <mergeCell ref="D8:D9"/>
    <mergeCell ref="E8:E9"/>
    <mergeCell ref="L5:L6"/>
    <mergeCell ref="O5:O6"/>
    <mergeCell ref="P5:S6"/>
    <mergeCell ref="E6:F6"/>
    <mergeCell ref="A7:S7"/>
    <mergeCell ref="A5:B6"/>
    <mergeCell ref="C5:C6"/>
    <mergeCell ref="E5:F5"/>
    <mergeCell ref="G5:G6"/>
    <mergeCell ref="H5:K6"/>
    <mergeCell ref="A1:C3"/>
    <mergeCell ref="D1:Q4"/>
    <mergeCell ref="R1:R4"/>
    <mergeCell ref="S2:S4"/>
    <mergeCell ref="A4:B4"/>
  </mergeCells>
  <phoneticPr fontId="30" type="noConversion"/>
  <pageMargins left="0.23597222566604614" right="0.23597222566604614" top="0.74750000238418579" bottom="0.35430556535720825" header="0.31486111879348755" footer="0.31486111879348755"/>
  <pageSetup paperSize="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/>
  <dimension ref="A1:U28"/>
  <sheetViews>
    <sheetView zoomScale="85" zoomScaleNormal="85" zoomScaleSheetLayoutView="85" workbookViewId="0">
      <pane xSplit="4" ySplit="6" topLeftCell="E7" activePane="bottomRight" state="frozen"/>
      <selection pane="topRight"/>
      <selection pane="bottomLeft"/>
      <selection pane="bottomRight" activeCell="Q38" sqref="Q38"/>
    </sheetView>
  </sheetViews>
  <sheetFormatPr defaultColWidth="9" defaultRowHeight="16.5"/>
  <cols>
    <col min="1" max="1" width="4.125" bestFit="1" customWidth="1"/>
    <col min="2" max="2" width="6" hidden="1" customWidth="1"/>
    <col min="3" max="4" width="7.25" customWidth="1"/>
    <col min="5" max="5" width="13.875" hidden="1" customWidth="1"/>
    <col min="6" max="6" width="6.125" customWidth="1"/>
    <col min="7" max="7" width="6" customWidth="1"/>
    <col min="8" max="8" width="5" customWidth="1"/>
    <col min="9" max="9" width="4.875" customWidth="1"/>
    <col min="10" max="10" width="5.25" customWidth="1"/>
    <col min="11" max="11" width="4.875" customWidth="1"/>
    <col min="12" max="12" width="5.125" customWidth="1"/>
    <col min="13" max="13" width="4.875" customWidth="1"/>
    <col min="14" max="14" width="5.125" customWidth="1"/>
    <col min="15" max="15" width="4.875" customWidth="1"/>
    <col min="16" max="16" width="5.25" customWidth="1"/>
    <col min="17" max="17" width="6" customWidth="1"/>
    <col min="18" max="18" width="5.25" customWidth="1"/>
    <col min="19" max="19" width="17.875" customWidth="1"/>
    <col min="20" max="20" width="19.25" customWidth="1"/>
    <col min="21" max="21" width="14.75" customWidth="1"/>
  </cols>
  <sheetData>
    <row r="1" spans="1:21" ht="16.5" customHeight="1">
      <c r="A1" s="125"/>
      <c r="B1" s="125"/>
      <c r="C1" s="125"/>
      <c r="D1" s="125"/>
      <c r="E1" s="105" t="s">
        <v>7</v>
      </c>
      <c r="F1" s="308" t="s">
        <v>77</v>
      </c>
      <c r="G1" s="308"/>
      <c r="H1" s="308"/>
      <c r="I1" s="308"/>
      <c r="J1" s="308"/>
      <c r="K1" s="205" t="str">
        <f>'1. 소켓인수검사'!R2</f>
        <v>26.06.05 웰스홈_LT삼보_(주)우리이엔씨_LX판토스 신항에코 물류센터</v>
      </c>
      <c r="L1" s="205"/>
      <c r="M1" s="205"/>
      <c r="N1" s="205"/>
      <c r="O1" s="205"/>
      <c r="P1" s="205"/>
      <c r="Q1" s="205"/>
      <c r="R1" s="205"/>
      <c r="S1" s="205"/>
      <c r="T1" s="205"/>
      <c r="U1" s="206"/>
    </row>
    <row r="2" spans="1:21" ht="16.5" customHeight="1">
      <c r="A2" s="125"/>
      <c r="B2" s="125"/>
      <c r="C2" s="125"/>
      <c r="D2" s="125"/>
      <c r="E2" s="104"/>
      <c r="F2" s="309"/>
      <c r="G2" s="309"/>
      <c r="H2" s="309"/>
      <c r="I2" s="309"/>
      <c r="J2" s="309"/>
      <c r="K2" s="207"/>
      <c r="L2" s="207"/>
      <c r="M2" s="207"/>
      <c r="N2" s="207"/>
      <c r="O2" s="207"/>
      <c r="P2" s="207"/>
      <c r="Q2" s="207"/>
      <c r="R2" s="207"/>
      <c r="S2" s="207"/>
      <c r="T2" s="207"/>
      <c r="U2" s="208"/>
    </row>
    <row r="3" spans="1:21" ht="24" customHeight="1">
      <c r="A3" s="125"/>
      <c r="B3" s="125"/>
      <c r="C3" s="125"/>
      <c r="D3" s="125"/>
      <c r="E3" s="106"/>
      <c r="F3" s="310"/>
      <c r="G3" s="310"/>
      <c r="H3" s="310"/>
      <c r="I3" s="310"/>
      <c r="J3" s="310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10"/>
    </row>
    <row r="4" spans="1:21" ht="8.1" customHeight="1">
      <c r="A4" s="192"/>
      <c r="B4" s="193"/>
      <c r="C4" s="193"/>
      <c r="D4" s="193"/>
      <c r="E4" s="193"/>
      <c r="F4" s="193"/>
      <c r="G4" s="193"/>
      <c r="H4" s="192"/>
      <c r="I4" s="193"/>
      <c r="J4" s="193"/>
      <c r="K4" s="193"/>
      <c r="L4" s="193"/>
      <c r="M4" s="193"/>
      <c r="N4" s="193"/>
      <c r="O4" s="193"/>
      <c r="P4" s="193"/>
      <c r="Q4" s="3"/>
      <c r="S4" s="3"/>
      <c r="T4" s="3"/>
      <c r="U4" s="3"/>
    </row>
    <row r="5" spans="1:21" ht="16.5" customHeight="1">
      <c r="A5" s="137" t="s">
        <v>61</v>
      </c>
      <c r="B5" s="311" t="s">
        <v>39</v>
      </c>
      <c r="C5" s="284" t="s">
        <v>68</v>
      </c>
      <c r="D5" s="284" t="s">
        <v>66</v>
      </c>
      <c r="E5" s="284" t="s">
        <v>27</v>
      </c>
      <c r="F5" s="284" t="s">
        <v>56</v>
      </c>
      <c r="G5" s="284" t="s">
        <v>63</v>
      </c>
      <c r="H5" s="284" t="s">
        <v>43</v>
      </c>
      <c r="I5" s="284" t="s">
        <v>26</v>
      </c>
      <c r="J5" s="284"/>
      <c r="K5" s="284" t="s">
        <v>0</v>
      </c>
      <c r="L5" s="284"/>
      <c r="M5" s="284" t="s">
        <v>0</v>
      </c>
      <c r="N5" s="284"/>
      <c r="O5" s="284" t="s">
        <v>0</v>
      </c>
      <c r="P5" s="284"/>
      <c r="Q5" s="313" t="s">
        <v>55</v>
      </c>
      <c r="R5" s="313"/>
      <c r="S5" s="314" t="s">
        <v>33</v>
      </c>
      <c r="T5" s="314" t="s">
        <v>60</v>
      </c>
      <c r="U5" s="304" t="s">
        <v>20</v>
      </c>
    </row>
    <row r="6" spans="1:21" ht="26.45" customHeight="1">
      <c r="A6" s="283"/>
      <c r="B6" s="312"/>
      <c r="C6" s="285"/>
      <c r="D6" s="285"/>
      <c r="E6" s="285"/>
      <c r="F6" s="285"/>
      <c r="G6" s="285"/>
      <c r="H6" s="285"/>
      <c r="I6" s="81" t="s">
        <v>8</v>
      </c>
      <c r="J6" s="40" t="s">
        <v>59</v>
      </c>
      <c r="K6" s="81" t="s">
        <v>78</v>
      </c>
      <c r="L6" s="40" t="s">
        <v>59</v>
      </c>
      <c r="M6" s="81" t="s">
        <v>38</v>
      </c>
      <c r="N6" s="40" t="s">
        <v>59</v>
      </c>
      <c r="O6" s="81" t="s">
        <v>40</v>
      </c>
      <c r="P6" s="40" t="s">
        <v>59</v>
      </c>
      <c r="Q6" s="81" t="s">
        <v>57</v>
      </c>
      <c r="R6" s="40" t="s">
        <v>69</v>
      </c>
      <c r="S6" s="315"/>
      <c r="T6" s="315"/>
      <c r="U6" s="305"/>
    </row>
    <row r="7" spans="1:21">
      <c r="A7" s="61" t="str">
        <f>'1. 소켓인수검사'!A9</f>
        <v>01</v>
      </c>
      <c r="B7" s="82" t="s">
        <v>45</v>
      </c>
      <c r="C7" s="41">
        <f>'1. 소켓인수검사'!C9</f>
        <v>200</v>
      </c>
      <c r="D7" s="41">
        <f>'1. 소켓인수검사'!D9</f>
        <v>200</v>
      </c>
      <c r="E7" s="42"/>
      <c r="F7" s="43">
        <f>C7*D7/1000000</f>
        <v>0.04</v>
      </c>
      <c r="G7" s="43">
        <f>(C7+D7)*2/1000</f>
        <v>0.8</v>
      </c>
      <c r="H7" s="48">
        <v>1</v>
      </c>
      <c r="I7" s="81">
        <f>(G7+0.4)</f>
        <v>1.2000000000000002</v>
      </c>
      <c r="J7" s="40">
        <v>4</v>
      </c>
      <c r="K7" s="32"/>
      <c r="L7" s="40"/>
      <c r="M7" s="32"/>
      <c r="N7" s="40"/>
      <c r="O7" s="32"/>
      <c r="P7" s="40"/>
      <c r="Q7" s="44">
        <f>(((C7+60)+250+(D7+60))*2/1000)*2</f>
        <v>3.08</v>
      </c>
      <c r="R7" s="124">
        <f>Q7</f>
        <v>3.08</v>
      </c>
      <c r="S7" s="45" t="s">
        <v>9</v>
      </c>
      <c r="T7" s="46" t="s">
        <v>12</v>
      </c>
      <c r="U7" s="47" t="str">
        <f>'1. 소켓인수검사'!G9</f>
        <v>지하1층</v>
      </c>
    </row>
    <row r="8" spans="1:21">
      <c r="A8" s="61" t="str">
        <f>'1. 소켓인수검사'!A10</f>
        <v>02</v>
      </c>
      <c r="B8" s="82" t="s">
        <v>44</v>
      </c>
      <c r="C8" s="41">
        <f>'1. 소켓인수검사'!C10</f>
        <v>200</v>
      </c>
      <c r="D8" s="41">
        <f>'1. 소켓인수검사'!D10</f>
        <v>200</v>
      </c>
      <c r="E8" s="42"/>
      <c r="F8" s="43">
        <f t="shared" ref="F8:F9" si="0">C8*D8/1000000</f>
        <v>0.04</v>
      </c>
      <c r="G8" s="43">
        <f t="shared" ref="G8:G9" si="1">(C8+D8)*2/1000</f>
        <v>0.8</v>
      </c>
      <c r="H8" s="48">
        <v>1</v>
      </c>
      <c r="I8" s="81">
        <f>(G8+0.4)</f>
        <v>1.2000000000000002</v>
      </c>
      <c r="J8" s="40">
        <v>4</v>
      </c>
      <c r="K8" s="32"/>
      <c r="L8" s="40"/>
      <c r="M8" s="32"/>
      <c r="N8" s="40"/>
      <c r="O8" s="32"/>
      <c r="P8" s="40"/>
      <c r="Q8" s="44">
        <f t="shared" ref="Q8:Q19" si="2">(((C8+60)+250+(D8+60))*2/1000)*2</f>
        <v>3.08</v>
      </c>
      <c r="R8" s="124">
        <f>Q8</f>
        <v>3.08</v>
      </c>
      <c r="S8" s="45" t="s">
        <v>9</v>
      </c>
      <c r="T8" s="46" t="s">
        <v>12</v>
      </c>
      <c r="U8" s="47" t="str">
        <f>'1. 소켓인수검사'!G10</f>
        <v>지하1층</v>
      </c>
    </row>
    <row r="9" spans="1:21">
      <c r="A9" s="61" t="str">
        <f>'1. 소켓인수검사'!A11</f>
        <v>03</v>
      </c>
      <c r="B9" s="82" t="s">
        <v>42</v>
      </c>
      <c r="C9" s="41">
        <f>'1. 소켓인수검사'!C11</f>
        <v>200</v>
      </c>
      <c r="D9" s="41">
        <f>'1. 소켓인수검사'!D11</f>
        <v>200</v>
      </c>
      <c r="E9" s="42"/>
      <c r="F9" s="43">
        <f t="shared" si="0"/>
        <v>0.04</v>
      </c>
      <c r="G9" s="43">
        <f t="shared" si="1"/>
        <v>0.8</v>
      </c>
      <c r="H9" s="48">
        <v>1</v>
      </c>
      <c r="I9" s="81">
        <f>(G9+0.4)</f>
        <v>1.2000000000000002</v>
      </c>
      <c r="J9" s="40">
        <v>4</v>
      </c>
      <c r="K9" s="32"/>
      <c r="L9" s="40"/>
      <c r="M9" s="32"/>
      <c r="N9" s="40"/>
      <c r="O9" s="32"/>
      <c r="P9" s="40"/>
      <c r="Q9" s="44">
        <f t="shared" si="2"/>
        <v>3.08</v>
      </c>
      <c r="R9" s="124">
        <f>Q9</f>
        <v>3.08</v>
      </c>
      <c r="S9" s="45" t="s">
        <v>9</v>
      </c>
      <c r="T9" s="46" t="s">
        <v>12</v>
      </c>
      <c r="U9" s="47" t="str">
        <f>'1. 소켓인수검사'!G11</f>
        <v>지하1층</v>
      </c>
    </row>
    <row r="10" spans="1:21">
      <c r="A10" s="61" t="str">
        <f>'1. 소켓인수검사'!A12</f>
        <v>04</v>
      </c>
      <c r="B10" s="82" t="s">
        <v>42</v>
      </c>
      <c r="C10" s="41">
        <f>'1. 소켓인수검사'!C12</f>
        <v>200</v>
      </c>
      <c r="D10" s="41">
        <f>'1. 소켓인수검사'!D12</f>
        <v>200</v>
      </c>
      <c r="E10" s="42"/>
      <c r="F10" s="43">
        <f t="shared" ref="F10:F19" si="3">C10*D10/1000000</f>
        <v>0.04</v>
      </c>
      <c r="G10" s="43">
        <f t="shared" ref="G10:G19" si="4">(C10+D10)*2/1000</f>
        <v>0.8</v>
      </c>
      <c r="H10" s="48">
        <v>1</v>
      </c>
      <c r="I10" s="81">
        <f t="shared" ref="I10:I19" si="5">(G10+0.4)</f>
        <v>1.2000000000000002</v>
      </c>
      <c r="J10" s="40">
        <v>4</v>
      </c>
      <c r="K10" s="32"/>
      <c r="L10" s="40"/>
      <c r="M10" s="32"/>
      <c r="N10" s="40"/>
      <c r="O10" s="32"/>
      <c r="P10" s="40"/>
      <c r="Q10" s="44">
        <f t="shared" si="2"/>
        <v>3.08</v>
      </c>
      <c r="R10" s="124">
        <f t="shared" ref="R10:R19" si="6">Q10</f>
        <v>3.08</v>
      </c>
      <c r="S10" s="45" t="s">
        <v>9</v>
      </c>
      <c r="T10" s="46" t="s">
        <v>12</v>
      </c>
      <c r="U10" s="47" t="str">
        <f>'1. 소켓인수검사'!G12</f>
        <v>지하1층</v>
      </c>
    </row>
    <row r="11" spans="1:21">
      <c r="A11" s="61" t="str">
        <f>'1. 소켓인수검사'!A13</f>
        <v>05</v>
      </c>
      <c r="B11" s="82" t="s">
        <v>42</v>
      </c>
      <c r="C11" s="41">
        <f>'1. 소켓인수검사'!C13</f>
        <v>300</v>
      </c>
      <c r="D11" s="41">
        <f>'1. 소켓인수검사'!D13</f>
        <v>250</v>
      </c>
      <c r="E11" s="42"/>
      <c r="F11" s="43">
        <f t="shared" si="3"/>
        <v>7.4999999999999997E-2</v>
      </c>
      <c r="G11" s="43">
        <f t="shared" si="4"/>
        <v>1.1000000000000001</v>
      </c>
      <c r="H11" s="48">
        <v>1</v>
      </c>
      <c r="I11" s="81">
        <f t="shared" si="5"/>
        <v>1.5</v>
      </c>
      <c r="J11" s="40">
        <v>4</v>
      </c>
      <c r="K11" s="32"/>
      <c r="L11" s="40"/>
      <c r="M11" s="32"/>
      <c r="N11" s="40"/>
      <c r="O11" s="32"/>
      <c r="P11" s="40"/>
      <c r="Q11" s="44">
        <f t="shared" si="2"/>
        <v>3.68</v>
      </c>
      <c r="R11" s="124">
        <f t="shared" si="6"/>
        <v>3.68</v>
      </c>
      <c r="S11" s="45" t="s">
        <v>9</v>
      </c>
      <c r="T11" s="46" t="s">
        <v>12</v>
      </c>
      <c r="U11" s="47" t="str">
        <f>'1. 소켓인수검사'!G13</f>
        <v>지하1층</v>
      </c>
    </row>
    <row r="12" spans="1:21">
      <c r="A12" s="61" t="str">
        <f>'1. 소켓인수검사'!A14</f>
        <v>06</v>
      </c>
      <c r="B12" s="82" t="s">
        <v>42</v>
      </c>
      <c r="C12" s="41">
        <f>'1. 소켓인수검사'!C14</f>
        <v>300</v>
      </c>
      <c r="D12" s="41">
        <f>'1. 소켓인수검사'!D14</f>
        <v>250</v>
      </c>
      <c r="E12" s="42"/>
      <c r="F12" s="43">
        <f t="shared" si="3"/>
        <v>7.4999999999999997E-2</v>
      </c>
      <c r="G12" s="43">
        <f t="shared" si="4"/>
        <v>1.1000000000000001</v>
      </c>
      <c r="H12" s="48">
        <v>1</v>
      </c>
      <c r="I12" s="81">
        <f t="shared" si="5"/>
        <v>1.5</v>
      </c>
      <c r="J12" s="40">
        <v>4</v>
      </c>
      <c r="K12" s="32"/>
      <c r="L12" s="40"/>
      <c r="M12" s="32"/>
      <c r="N12" s="40"/>
      <c r="O12" s="32"/>
      <c r="P12" s="40"/>
      <c r="Q12" s="44">
        <f t="shared" si="2"/>
        <v>3.68</v>
      </c>
      <c r="R12" s="124">
        <f t="shared" si="6"/>
        <v>3.68</v>
      </c>
      <c r="S12" s="45" t="s">
        <v>9</v>
      </c>
      <c r="T12" s="46" t="s">
        <v>12</v>
      </c>
      <c r="U12" s="47" t="str">
        <f>'1. 소켓인수검사'!G14</f>
        <v>지하1층</v>
      </c>
    </row>
    <row r="13" spans="1:21">
      <c r="A13" s="61" t="str">
        <f>'1. 소켓인수검사'!A15</f>
        <v>07</v>
      </c>
      <c r="B13" s="82" t="s">
        <v>42</v>
      </c>
      <c r="C13" s="41">
        <f>'1. 소켓인수검사'!C15</f>
        <v>350</v>
      </c>
      <c r="D13" s="41">
        <f>'1. 소켓인수검사'!D15</f>
        <v>200</v>
      </c>
      <c r="E13" s="42"/>
      <c r="F13" s="43">
        <f t="shared" si="3"/>
        <v>7.0000000000000007E-2</v>
      </c>
      <c r="G13" s="43">
        <f t="shared" si="4"/>
        <v>1.1000000000000001</v>
      </c>
      <c r="H13" s="48">
        <v>1</v>
      </c>
      <c r="I13" s="81">
        <f t="shared" si="5"/>
        <v>1.5</v>
      </c>
      <c r="J13" s="40">
        <v>4</v>
      </c>
      <c r="K13" s="32"/>
      <c r="L13" s="40"/>
      <c r="M13" s="32"/>
      <c r="N13" s="40"/>
      <c r="O13" s="32"/>
      <c r="P13" s="40"/>
      <c r="Q13" s="44">
        <f t="shared" si="2"/>
        <v>3.68</v>
      </c>
      <c r="R13" s="124">
        <f t="shared" si="6"/>
        <v>3.68</v>
      </c>
      <c r="S13" s="45" t="s">
        <v>9</v>
      </c>
      <c r="T13" s="46" t="s">
        <v>12</v>
      </c>
      <c r="U13" s="47" t="str">
        <f>'1. 소켓인수검사'!G15</f>
        <v>지하1층</v>
      </c>
    </row>
    <row r="14" spans="1:21">
      <c r="A14" s="61" t="str">
        <f>'1. 소켓인수검사'!A16</f>
        <v>08</v>
      </c>
      <c r="B14" s="82" t="s">
        <v>42</v>
      </c>
      <c r="C14" s="41">
        <f>'1. 소켓인수검사'!C16</f>
        <v>350</v>
      </c>
      <c r="D14" s="41">
        <f>'1. 소켓인수검사'!D16</f>
        <v>200</v>
      </c>
      <c r="E14" s="42"/>
      <c r="F14" s="43">
        <f t="shared" si="3"/>
        <v>7.0000000000000007E-2</v>
      </c>
      <c r="G14" s="43">
        <f t="shared" si="4"/>
        <v>1.1000000000000001</v>
      </c>
      <c r="H14" s="48">
        <v>1</v>
      </c>
      <c r="I14" s="81">
        <f t="shared" si="5"/>
        <v>1.5</v>
      </c>
      <c r="J14" s="40">
        <v>4</v>
      </c>
      <c r="K14" s="32"/>
      <c r="L14" s="40"/>
      <c r="M14" s="32"/>
      <c r="N14" s="40"/>
      <c r="O14" s="32"/>
      <c r="P14" s="40"/>
      <c r="Q14" s="44">
        <f t="shared" si="2"/>
        <v>3.68</v>
      </c>
      <c r="R14" s="124">
        <f t="shared" si="6"/>
        <v>3.68</v>
      </c>
      <c r="S14" s="45" t="s">
        <v>9</v>
      </c>
      <c r="T14" s="46" t="s">
        <v>12</v>
      </c>
      <c r="U14" s="47" t="str">
        <f>'1. 소켓인수검사'!G16</f>
        <v>지하1층</v>
      </c>
    </row>
    <row r="15" spans="1:21">
      <c r="A15" s="61" t="str">
        <f>'1. 소켓인수검사'!A17</f>
        <v>09</v>
      </c>
      <c r="B15" s="82" t="s">
        <v>42</v>
      </c>
      <c r="C15" s="41">
        <f>'1. 소켓인수검사'!C17</f>
        <v>500</v>
      </c>
      <c r="D15" s="41">
        <f>'1. 소켓인수검사'!D17</f>
        <v>400</v>
      </c>
      <c r="E15" s="42"/>
      <c r="F15" s="43">
        <f t="shared" si="3"/>
        <v>0.2</v>
      </c>
      <c r="G15" s="43">
        <f t="shared" si="4"/>
        <v>1.8</v>
      </c>
      <c r="H15" s="48">
        <v>1</v>
      </c>
      <c r="I15" s="81">
        <f t="shared" si="5"/>
        <v>2.2000000000000002</v>
      </c>
      <c r="J15" s="40">
        <v>4</v>
      </c>
      <c r="K15" s="32"/>
      <c r="L15" s="40"/>
      <c r="M15" s="32"/>
      <c r="N15" s="40"/>
      <c r="O15" s="32"/>
      <c r="P15" s="40"/>
      <c r="Q15" s="44">
        <f t="shared" si="2"/>
        <v>5.08</v>
      </c>
      <c r="R15" s="124">
        <f t="shared" si="6"/>
        <v>5.08</v>
      </c>
      <c r="S15" s="45" t="s">
        <v>9</v>
      </c>
      <c r="T15" s="46" t="s">
        <v>12</v>
      </c>
      <c r="U15" s="47" t="str">
        <f>'1. 소켓인수검사'!G17</f>
        <v>지하1층</v>
      </c>
    </row>
    <row r="16" spans="1:21">
      <c r="A16" s="61" t="str">
        <f>'1. 소켓인수검사'!A18</f>
        <v>10</v>
      </c>
      <c r="B16" s="82" t="s">
        <v>42</v>
      </c>
      <c r="C16" s="41">
        <f>'1. 소켓인수검사'!C18</f>
        <v>500</v>
      </c>
      <c r="D16" s="41">
        <f>'1. 소켓인수검사'!D18</f>
        <v>400</v>
      </c>
      <c r="E16" s="42"/>
      <c r="F16" s="43">
        <f t="shared" si="3"/>
        <v>0.2</v>
      </c>
      <c r="G16" s="43">
        <f t="shared" si="4"/>
        <v>1.8</v>
      </c>
      <c r="H16" s="48">
        <v>1</v>
      </c>
      <c r="I16" s="81">
        <f t="shared" si="5"/>
        <v>2.2000000000000002</v>
      </c>
      <c r="J16" s="40">
        <v>4</v>
      </c>
      <c r="K16" s="32"/>
      <c r="L16" s="40"/>
      <c r="M16" s="32"/>
      <c r="N16" s="40"/>
      <c r="O16" s="32"/>
      <c r="P16" s="40"/>
      <c r="Q16" s="44">
        <f t="shared" si="2"/>
        <v>5.08</v>
      </c>
      <c r="R16" s="124">
        <f t="shared" si="6"/>
        <v>5.08</v>
      </c>
      <c r="S16" s="45" t="s">
        <v>9</v>
      </c>
      <c r="T16" s="46" t="s">
        <v>12</v>
      </c>
      <c r="U16" s="47" t="str">
        <f>'1. 소켓인수검사'!G18</f>
        <v>지하1층</v>
      </c>
    </row>
    <row r="17" spans="1:21">
      <c r="A17" s="61" t="str">
        <f>'1. 소켓인수검사'!A19</f>
        <v>11</v>
      </c>
      <c r="B17" s="82" t="s">
        <v>42</v>
      </c>
      <c r="C17" s="41">
        <f>'1. 소켓인수검사'!C19</f>
        <v>500</v>
      </c>
      <c r="D17" s="41">
        <f>'1. 소켓인수검사'!D19</f>
        <v>400</v>
      </c>
      <c r="E17" s="42"/>
      <c r="F17" s="43">
        <f t="shared" si="3"/>
        <v>0.2</v>
      </c>
      <c r="G17" s="43">
        <f t="shared" si="4"/>
        <v>1.8</v>
      </c>
      <c r="H17" s="48">
        <v>1</v>
      </c>
      <c r="I17" s="81">
        <f t="shared" si="5"/>
        <v>2.2000000000000002</v>
      </c>
      <c r="J17" s="40">
        <v>4</v>
      </c>
      <c r="K17" s="32"/>
      <c r="L17" s="40"/>
      <c r="M17" s="32"/>
      <c r="N17" s="40"/>
      <c r="O17" s="32"/>
      <c r="P17" s="40"/>
      <c r="Q17" s="44">
        <f t="shared" si="2"/>
        <v>5.08</v>
      </c>
      <c r="R17" s="124">
        <f t="shared" si="6"/>
        <v>5.08</v>
      </c>
      <c r="S17" s="45" t="s">
        <v>9</v>
      </c>
      <c r="T17" s="46" t="s">
        <v>12</v>
      </c>
      <c r="U17" s="47" t="str">
        <f>'1. 소켓인수검사'!G19</f>
        <v>지하1층</v>
      </c>
    </row>
    <row r="18" spans="1:21">
      <c r="A18" s="61" t="str">
        <f>'1. 소켓인수검사'!A20</f>
        <v>12</v>
      </c>
      <c r="B18" s="82" t="s">
        <v>42</v>
      </c>
      <c r="C18" s="41">
        <f>'1. 소켓인수검사'!C20</f>
        <v>500</v>
      </c>
      <c r="D18" s="41">
        <f>'1. 소켓인수검사'!D20</f>
        <v>400</v>
      </c>
      <c r="E18" s="42"/>
      <c r="F18" s="43">
        <f t="shared" si="3"/>
        <v>0.2</v>
      </c>
      <c r="G18" s="43">
        <f t="shared" si="4"/>
        <v>1.8</v>
      </c>
      <c r="H18" s="48">
        <v>1</v>
      </c>
      <c r="I18" s="81">
        <f t="shared" si="5"/>
        <v>2.2000000000000002</v>
      </c>
      <c r="J18" s="40">
        <v>4</v>
      </c>
      <c r="K18" s="32"/>
      <c r="L18" s="40"/>
      <c r="M18" s="32"/>
      <c r="N18" s="40"/>
      <c r="O18" s="32"/>
      <c r="P18" s="40"/>
      <c r="Q18" s="44">
        <f t="shared" si="2"/>
        <v>5.08</v>
      </c>
      <c r="R18" s="124">
        <f t="shared" si="6"/>
        <v>5.08</v>
      </c>
      <c r="S18" s="45" t="s">
        <v>9</v>
      </c>
      <c r="T18" s="46" t="s">
        <v>12</v>
      </c>
      <c r="U18" s="47" t="str">
        <f>'1. 소켓인수검사'!G20</f>
        <v>지하1층</v>
      </c>
    </row>
    <row r="19" spans="1:21">
      <c r="A19" s="61" t="str">
        <f>'1. 소켓인수검사'!A21</f>
        <v>13</v>
      </c>
      <c r="B19" s="82" t="s">
        <v>42</v>
      </c>
      <c r="C19" s="41">
        <f>'1. 소켓인수검사'!C21</f>
        <v>500</v>
      </c>
      <c r="D19" s="41">
        <f>'1. 소켓인수검사'!D21</f>
        <v>400</v>
      </c>
      <c r="E19" s="42"/>
      <c r="F19" s="43">
        <f t="shared" si="3"/>
        <v>0.2</v>
      </c>
      <c r="G19" s="43">
        <f t="shared" si="4"/>
        <v>1.8</v>
      </c>
      <c r="H19" s="48">
        <v>1</v>
      </c>
      <c r="I19" s="81">
        <f t="shared" si="5"/>
        <v>2.2000000000000002</v>
      </c>
      <c r="J19" s="40">
        <v>4</v>
      </c>
      <c r="K19" s="32"/>
      <c r="L19" s="40"/>
      <c r="M19" s="32"/>
      <c r="N19" s="40"/>
      <c r="O19" s="32"/>
      <c r="P19" s="40"/>
      <c r="Q19" s="44">
        <f t="shared" si="2"/>
        <v>5.08</v>
      </c>
      <c r="R19" s="124">
        <f t="shared" si="6"/>
        <v>5.08</v>
      </c>
      <c r="S19" s="45" t="s">
        <v>9</v>
      </c>
      <c r="T19" s="46" t="s">
        <v>12</v>
      </c>
      <c r="U19" s="47" t="str">
        <f>'1. 소켓인수검사'!G21</f>
        <v>지하1층</v>
      </c>
    </row>
    <row r="20" spans="1:21">
      <c r="A20" s="61" t="str">
        <f>'1. 소켓인수검사'!A22</f>
        <v>14</v>
      </c>
      <c r="B20" s="82" t="s">
        <v>42</v>
      </c>
      <c r="C20" s="41">
        <f>'1. 소켓인수검사'!C22</f>
        <v>1500</v>
      </c>
      <c r="D20" s="41">
        <f>'1. 소켓인수검사'!D22</f>
        <v>550</v>
      </c>
      <c r="E20" s="42"/>
      <c r="F20" s="43">
        <f t="shared" ref="F20" si="7">C20*D20/1000000</f>
        <v>0.82499999999999996</v>
      </c>
      <c r="G20" s="43">
        <f t="shared" ref="G20" si="8">(C20+D20)*2/1000</f>
        <v>4.0999999999999996</v>
      </c>
      <c r="H20" s="48">
        <v>2</v>
      </c>
      <c r="I20" s="81">
        <f t="shared" ref="I20" si="9">(G20+0.4)</f>
        <v>4.5</v>
      </c>
      <c r="J20" s="49">
        <v>2</v>
      </c>
      <c r="K20" s="32"/>
      <c r="L20" s="40"/>
      <c r="M20" s="32"/>
      <c r="N20" s="40"/>
      <c r="O20" s="81">
        <f t="shared" ref="O20" si="10">(G20+0.5)</f>
        <v>4.5999999999999996</v>
      </c>
      <c r="P20" s="49">
        <v>2</v>
      </c>
      <c r="Q20" s="44">
        <f t="shared" ref="Q20" si="11">(((C20+60)+250+(D20+60))*2/1000)*2</f>
        <v>9.68</v>
      </c>
      <c r="R20" s="124">
        <f t="shared" ref="R20" si="12">Q20</f>
        <v>9.68</v>
      </c>
      <c r="S20" s="50" t="s">
        <v>47</v>
      </c>
      <c r="T20" s="51" t="s">
        <v>6</v>
      </c>
      <c r="U20" s="47" t="str">
        <f>'1. 소켓인수검사'!G22</f>
        <v>지하1층</v>
      </c>
    </row>
    <row r="21" spans="1:21">
      <c r="A21" s="306" t="s">
        <v>5</v>
      </c>
      <c r="B21" s="307"/>
      <c r="C21" s="307"/>
      <c r="D21" s="80"/>
      <c r="E21" s="55"/>
      <c r="F21" s="55"/>
      <c r="G21" s="55"/>
      <c r="H21" s="54">
        <f>SUM(H7:H20)</f>
        <v>15</v>
      </c>
      <c r="I21" s="86"/>
      <c r="J21" s="54">
        <f>SUM(J7:J20)</f>
        <v>54</v>
      </c>
      <c r="K21" s="86"/>
      <c r="L21" s="54">
        <f>SUM(L7:L20)</f>
        <v>0</v>
      </c>
      <c r="M21" s="86"/>
      <c r="N21" s="54">
        <f>SUM(N7:N20)</f>
        <v>0</v>
      </c>
      <c r="O21" s="86"/>
      <c r="P21" s="54">
        <f>SUM(P7:P20)</f>
        <v>2</v>
      </c>
      <c r="Q21" s="86">
        <f>SUM(Q7:Q20)</f>
        <v>62.11999999999999</v>
      </c>
      <c r="R21" s="54">
        <f>SUM(R7:R20)</f>
        <v>62.11999999999999</v>
      </c>
      <c r="S21" s="83"/>
      <c r="T21" s="83"/>
      <c r="U21" s="84"/>
    </row>
    <row r="22" spans="1:21" ht="8.1" customHeight="1">
      <c r="A22" s="178"/>
      <c r="B22" s="178"/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  <c r="N22" s="178"/>
      <c r="O22" s="178"/>
      <c r="P22" s="178"/>
      <c r="Q22" s="4"/>
    </row>
    <row r="23" spans="1:21">
      <c r="A23" s="125" t="s">
        <v>50</v>
      </c>
      <c r="B23" s="125"/>
      <c r="C23" s="125"/>
      <c r="D23" s="189"/>
      <c r="E23" s="190"/>
      <c r="F23" s="190"/>
      <c r="G23" s="190"/>
      <c r="H23" s="190"/>
      <c r="I23" s="190"/>
      <c r="J23" s="190"/>
      <c r="K23" s="190"/>
      <c r="L23" s="190"/>
      <c r="M23" s="190"/>
      <c r="N23" s="190"/>
      <c r="O23" s="190"/>
      <c r="P23" s="190"/>
      <c r="Q23" s="190"/>
      <c r="R23" s="190"/>
      <c r="S23" s="190"/>
      <c r="T23" s="190"/>
      <c r="U23" s="191"/>
    </row>
    <row r="24" spans="1:21">
      <c r="A24" s="125"/>
      <c r="B24" s="125"/>
      <c r="C24" s="125"/>
      <c r="D24" s="177"/>
      <c r="E24" s="178"/>
      <c r="F24" s="178"/>
      <c r="G24" s="178"/>
      <c r="H24" s="178"/>
      <c r="I24" s="178"/>
      <c r="J24" s="178"/>
      <c r="K24" s="178"/>
      <c r="L24" s="178"/>
      <c r="M24" s="178"/>
      <c r="N24" s="178"/>
      <c r="O24" s="178"/>
      <c r="P24" s="178"/>
      <c r="Q24" s="178"/>
      <c r="R24" s="178"/>
      <c r="S24" s="178"/>
      <c r="T24" s="178"/>
      <c r="U24" s="179"/>
    </row>
    <row r="25" spans="1:21">
      <c r="A25" s="125"/>
      <c r="B25" s="125"/>
      <c r="C25" s="125"/>
      <c r="D25" s="177"/>
      <c r="E25" s="178"/>
      <c r="F25" s="178"/>
      <c r="G25" s="178"/>
      <c r="H25" s="178"/>
      <c r="I25" s="178"/>
      <c r="J25" s="178"/>
      <c r="K25" s="178"/>
      <c r="L25" s="178"/>
      <c r="M25" s="178"/>
      <c r="N25" s="178"/>
      <c r="O25" s="178"/>
      <c r="P25" s="178"/>
      <c r="Q25" s="178"/>
      <c r="R25" s="178"/>
      <c r="S25" s="178"/>
      <c r="T25" s="178"/>
      <c r="U25" s="179"/>
    </row>
    <row r="26" spans="1:21">
      <c r="A26" s="125"/>
      <c r="B26" s="125"/>
      <c r="C26" s="125"/>
      <c r="D26" s="177"/>
      <c r="E26" s="178"/>
      <c r="F26" s="178"/>
      <c r="G26" s="178"/>
      <c r="H26" s="178"/>
      <c r="I26" s="178"/>
      <c r="J26" s="178"/>
      <c r="K26" s="178"/>
      <c r="L26" s="178"/>
      <c r="M26" s="178"/>
      <c r="N26" s="178"/>
      <c r="O26" s="178"/>
      <c r="P26" s="178"/>
      <c r="Q26" s="178"/>
      <c r="R26" s="178"/>
      <c r="S26" s="178"/>
      <c r="T26" s="178"/>
      <c r="U26" s="179"/>
    </row>
    <row r="27" spans="1:21">
      <c r="A27" s="125"/>
      <c r="B27" s="125"/>
      <c r="C27" s="125"/>
      <c r="D27" s="177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9"/>
    </row>
    <row r="28" spans="1:21">
      <c r="A28" s="125"/>
      <c r="B28" s="125"/>
      <c r="C28" s="125"/>
      <c r="D28" s="192"/>
      <c r="E28" s="193"/>
      <c r="F28" s="193"/>
      <c r="G28" s="193"/>
      <c r="H28" s="193"/>
      <c r="I28" s="193"/>
      <c r="J28" s="193"/>
      <c r="K28" s="193"/>
      <c r="L28" s="193"/>
      <c r="M28" s="193"/>
      <c r="N28" s="193"/>
      <c r="O28" s="193"/>
      <c r="P28" s="193"/>
      <c r="Q28" s="193"/>
      <c r="R28" s="193"/>
      <c r="S28" s="193"/>
      <c r="T28" s="193"/>
      <c r="U28" s="194"/>
    </row>
  </sheetData>
  <mergeCells count="24">
    <mergeCell ref="A22:P22"/>
    <mergeCell ref="A23:C28"/>
    <mergeCell ref="Q5:R5"/>
    <mergeCell ref="S5:S6"/>
    <mergeCell ref="T5:T6"/>
    <mergeCell ref="K5:L5"/>
    <mergeCell ref="O5:P5"/>
    <mergeCell ref="M5:N5"/>
    <mergeCell ref="U5:U6"/>
    <mergeCell ref="A21:C21"/>
    <mergeCell ref="F1:J3"/>
    <mergeCell ref="K1:U3"/>
    <mergeCell ref="D23:U28"/>
    <mergeCell ref="A1:D3"/>
    <mergeCell ref="A4:P4"/>
    <mergeCell ref="A5:A6"/>
    <mergeCell ref="B5:B6"/>
    <mergeCell ref="C5:C6"/>
    <mergeCell ref="D5:D6"/>
    <mergeCell ref="E5:E6"/>
    <mergeCell ref="F5:F6"/>
    <mergeCell ref="G5:G6"/>
    <mergeCell ref="H5:H6"/>
    <mergeCell ref="I5:J5"/>
  </mergeCells>
  <phoneticPr fontId="30" type="noConversion"/>
  <pageMargins left="0.23597222566604614" right="0.23597222566604614" top="0.74750000238418579" bottom="0.74750000238418579" header="0.31486111879348755" footer="0.31486111879348755"/>
  <pageSetup paperSize="9"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1817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10</vt:i4>
      </vt:variant>
    </vt:vector>
  </HeadingPairs>
  <TitlesOfParts>
    <vt:vector size="19" baseType="lpstr">
      <vt:lpstr>1. 소켓인수검사</vt:lpstr>
      <vt:lpstr>2.재단(VM)작업</vt:lpstr>
      <vt:lpstr>2.1 재단작업(VT)</vt:lpstr>
      <vt:lpstr>차열재 재단(VM,VT)</vt:lpstr>
      <vt:lpstr>3. 1절곡(VM)</vt:lpstr>
      <vt:lpstr>3.2 절곡(VT)</vt:lpstr>
      <vt:lpstr>3.3 절곡(VT-보강대)</vt:lpstr>
      <vt:lpstr>5. 차열재 출하용(VM,VT,VAG)</vt:lpstr>
      <vt:lpstr>6. 라벨소요량</vt:lpstr>
      <vt:lpstr>'1. 소켓인수검사'!Print_Area</vt:lpstr>
      <vt:lpstr>'1. 소켓인수검사'!Print_Titles</vt:lpstr>
      <vt:lpstr>'2.1 재단작업(VT)'!Print_Titles</vt:lpstr>
      <vt:lpstr>'2.재단(VM)작업'!Print_Titles</vt:lpstr>
      <vt:lpstr>'3. 1절곡(VM)'!Print_Titles</vt:lpstr>
      <vt:lpstr>'3.2 절곡(VT)'!Print_Titles</vt:lpstr>
      <vt:lpstr>'3.3 절곡(VT-보강대)'!Print_Titles</vt:lpstr>
      <vt:lpstr>'5. 차열재 출하용(VM,VT,VAG)'!Print_Titles</vt:lpstr>
      <vt:lpstr>'6. 라벨소요량'!Print_Titles</vt:lpstr>
      <vt:lpstr>'차열재 재단(VM,VT)'!Print_Titles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declan48@outlook.kr</dc:creator>
  <cp:lastModifiedBy>t35840</cp:lastModifiedBy>
  <cp:revision>53</cp:revision>
  <cp:lastPrinted>2026-01-07T23:38:07Z</cp:lastPrinted>
  <dcterms:created xsi:type="dcterms:W3CDTF">2025-03-13T00:09:10Z</dcterms:created>
  <dcterms:modified xsi:type="dcterms:W3CDTF">2026-06-05T05:53:59Z</dcterms:modified>
  <cp:version>1200.0100.01</cp:version>
</cp:coreProperties>
</file>