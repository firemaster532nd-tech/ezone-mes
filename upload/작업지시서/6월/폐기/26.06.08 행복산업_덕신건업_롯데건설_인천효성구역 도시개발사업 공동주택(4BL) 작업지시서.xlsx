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105CDCF1-EC21-46E4-A3C1-80E0BE3816E1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1. 소켓인수검사" sheetId="1" r:id="rId1"/>
    <sheet name="2.재단(VM)작업" sheetId="12" r:id="rId2"/>
    <sheet name="2.1 재단작업(VT)" sheetId="3" r:id="rId3"/>
    <sheet name="차열재 재단(VM,VT)" sheetId="2" r:id="rId4"/>
    <sheet name="3. 1절곡(VM)" sheetId="5" r:id="rId5"/>
    <sheet name="3.2 절곡(VT)" sheetId="6" r:id="rId6"/>
    <sheet name="3.3 절곡(VT-보강대)" sheetId="7" r:id="rId7"/>
    <sheet name="5. 차열재 출하용(VM,VT,VAG)" sheetId="9" r:id="rId8"/>
    <sheet name="6. 라벨소요량" sheetId="10" r:id="rId9"/>
    <sheet name="발주서정리" sheetId="11" r:id="rId10"/>
  </sheets>
  <definedNames>
    <definedName name="_xlnm.Print_Area" localSheetId="0">'1. 소켓인수검사'!$A$1:$P$33</definedName>
    <definedName name="_xlnm.Print_Titles" localSheetId="0">'1. 소켓인수검사'!$6:$8</definedName>
    <definedName name="_xlnm.Print_Titles" localSheetId="2">'2.1 재단작업(VT)'!$5:$7</definedName>
    <definedName name="_xlnm.Print_Titles" localSheetId="1">'2.재단(VM)작업'!$5:$7</definedName>
    <definedName name="_xlnm.Print_Titles" localSheetId="4">'3. 1절곡(VM)'!$1:$6</definedName>
    <definedName name="_xlnm.Print_Titles" localSheetId="5">'3.2 절곡(VT)'!$1:$6</definedName>
    <definedName name="_xlnm.Print_Titles" localSheetId="6">'3.3 절곡(VT-보강대)'!$1:$6</definedName>
    <definedName name="_xlnm.Print_Titles" localSheetId="7">'5. 차열재 출하용(VM,VT,VAG)'!$8:$9</definedName>
    <definedName name="_xlnm.Print_Titles" localSheetId="8">'6. 라벨소요량'!$5:$6</definedName>
    <definedName name="_xlnm.Print_Titles" localSheetId="3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" i="12" l="1"/>
  <c r="D8" i="12"/>
  <c r="I8" i="12" s="1"/>
  <c r="C8" i="12"/>
  <c r="G8" i="12" s="1"/>
  <c r="A8" i="12"/>
  <c r="J8" i="12"/>
  <c r="H8" i="12"/>
  <c r="K8" i="12"/>
  <c r="G1" i="2"/>
  <c r="D32" i="2"/>
  <c r="I32" i="2" s="1"/>
  <c r="C32" i="2"/>
  <c r="G32" i="2" s="1"/>
  <c r="D31" i="2"/>
  <c r="C31" i="2"/>
  <c r="G31" i="2" s="1"/>
  <c r="D30" i="2"/>
  <c r="I30" i="2" s="1"/>
  <c r="C30" i="2"/>
  <c r="G30" i="2" s="1"/>
  <c r="D29" i="2"/>
  <c r="I29" i="2" s="1"/>
  <c r="C29" i="2"/>
  <c r="G29" i="2" s="1"/>
  <c r="D28" i="2"/>
  <c r="I28" i="2" s="1"/>
  <c r="C28" i="2"/>
  <c r="D27" i="2"/>
  <c r="I27" i="2" s="1"/>
  <c r="C27" i="2"/>
  <c r="G27" i="2" s="1"/>
  <c r="D26" i="2"/>
  <c r="C26" i="2"/>
  <c r="G26" i="2" s="1"/>
  <c r="D25" i="2"/>
  <c r="I25" i="2" s="1"/>
  <c r="C25" i="2"/>
  <c r="G25" i="2" s="1"/>
  <c r="D24" i="2"/>
  <c r="I24" i="2" s="1"/>
  <c r="C24" i="2"/>
  <c r="G24" i="2" s="1"/>
  <c r="D23" i="2"/>
  <c r="I23" i="2" s="1"/>
  <c r="C23" i="2"/>
  <c r="G23" i="2" s="1"/>
  <c r="D22" i="2"/>
  <c r="I22" i="2" s="1"/>
  <c r="C22" i="2"/>
  <c r="G22" i="2" s="1"/>
  <c r="D21" i="2"/>
  <c r="I21" i="2" s="1"/>
  <c r="C21" i="2"/>
  <c r="G21" i="2" s="1"/>
  <c r="D20" i="2"/>
  <c r="I20" i="2" s="1"/>
  <c r="C20" i="2"/>
  <c r="G20" i="2" s="1"/>
  <c r="D19" i="2"/>
  <c r="I19" i="2" s="1"/>
  <c r="C19" i="2"/>
  <c r="G19" i="2" s="1"/>
  <c r="D18" i="2"/>
  <c r="I18" i="2" s="1"/>
  <c r="C18" i="2"/>
  <c r="G18" i="2" s="1"/>
  <c r="D17" i="2"/>
  <c r="I17" i="2" s="1"/>
  <c r="C17" i="2"/>
  <c r="G17" i="2" s="1"/>
  <c r="D16" i="2"/>
  <c r="I16" i="2" s="1"/>
  <c r="C16" i="2"/>
  <c r="G16" i="2" s="1"/>
  <c r="D15" i="2"/>
  <c r="I15" i="2" s="1"/>
  <c r="C15" i="2"/>
  <c r="G15" i="2" s="1"/>
  <c r="D14" i="2"/>
  <c r="I14" i="2" s="1"/>
  <c r="C14" i="2"/>
  <c r="G14" i="2" s="1"/>
  <c r="D13" i="2"/>
  <c r="I13" i="2" s="1"/>
  <c r="C13" i="2"/>
  <c r="G13" i="2" s="1"/>
  <c r="D12" i="2"/>
  <c r="I12" i="2" s="1"/>
  <c r="C12" i="2"/>
  <c r="G12" i="2" s="1"/>
  <c r="D11" i="2"/>
  <c r="I11" i="2" s="1"/>
  <c r="C11" i="2"/>
  <c r="G11" i="2" s="1"/>
  <c r="D10" i="2"/>
  <c r="I10" i="2" s="1"/>
  <c r="C10" i="2"/>
  <c r="G10" i="2" s="1"/>
  <c r="D9" i="2"/>
  <c r="I9" i="2" s="1"/>
  <c r="C9" i="2"/>
  <c r="G9" i="2" s="1"/>
  <c r="D8" i="2"/>
  <c r="C8" i="2"/>
  <c r="A32" i="2"/>
  <c r="I31" i="2"/>
  <c r="A31" i="2"/>
  <c r="A30" i="2"/>
  <c r="A29" i="2"/>
  <c r="G28" i="2"/>
  <c r="A28" i="2"/>
  <c r="A27" i="2"/>
  <c r="I26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C8" i="3"/>
  <c r="G8" i="3" s="1"/>
  <c r="K1" i="10"/>
  <c r="P5" i="9"/>
  <c r="O5" i="7"/>
  <c r="N5" i="6"/>
  <c r="N5" i="5"/>
  <c r="H1" i="3"/>
  <c r="D1" i="1"/>
  <c r="P32" i="10"/>
  <c r="H32" i="10"/>
  <c r="U31" i="10"/>
  <c r="D31" i="10"/>
  <c r="C31" i="10"/>
  <c r="A31" i="10"/>
  <c r="U30" i="10"/>
  <c r="D30" i="10"/>
  <c r="C30" i="10"/>
  <c r="A30" i="10"/>
  <c r="U29" i="10"/>
  <c r="D29" i="10"/>
  <c r="C29" i="10"/>
  <c r="A29" i="10"/>
  <c r="U28" i="10"/>
  <c r="D28" i="10"/>
  <c r="C28" i="10"/>
  <c r="A28" i="10"/>
  <c r="U27" i="10"/>
  <c r="D27" i="10"/>
  <c r="C27" i="10"/>
  <c r="A27" i="10"/>
  <c r="U26" i="10"/>
  <c r="D26" i="10"/>
  <c r="C26" i="10"/>
  <c r="A26" i="10"/>
  <c r="U25" i="10"/>
  <c r="D25" i="10"/>
  <c r="C25" i="10"/>
  <c r="A25" i="10"/>
  <c r="U24" i="10"/>
  <c r="D24" i="10"/>
  <c r="C24" i="10"/>
  <c r="A24" i="10"/>
  <c r="U23" i="10"/>
  <c r="D23" i="10"/>
  <c r="C23" i="10"/>
  <c r="A23" i="10"/>
  <c r="U22" i="10"/>
  <c r="D22" i="10"/>
  <c r="C22" i="10"/>
  <c r="A22" i="10"/>
  <c r="U21" i="10"/>
  <c r="D21" i="10"/>
  <c r="C21" i="10"/>
  <c r="A21" i="10"/>
  <c r="U20" i="10"/>
  <c r="D20" i="10"/>
  <c r="C20" i="10"/>
  <c r="A20" i="10"/>
  <c r="U19" i="10"/>
  <c r="D19" i="10"/>
  <c r="C19" i="10"/>
  <c r="A19" i="10"/>
  <c r="U18" i="10"/>
  <c r="D18" i="10"/>
  <c r="C18" i="10"/>
  <c r="A18" i="10"/>
  <c r="U17" i="10"/>
  <c r="D17" i="10"/>
  <c r="C17" i="10"/>
  <c r="A17" i="10"/>
  <c r="U16" i="10"/>
  <c r="D16" i="10"/>
  <c r="C16" i="10"/>
  <c r="A16" i="10"/>
  <c r="U15" i="10"/>
  <c r="D15" i="10"/>
  <c r="C15" i="10"/>
  <c r="A15" i="10"/>
  <c r="U14" i="10"/>
  <c r="D14" i="10"/>
  <c r="C14" i="10"/>
  <c r="A14" i="10"/>
  <c r="U13" i="10"/>
  <c r="D13" i="10"/>
  <c r="C13" i="10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A9" i="10"/>
  <c r="U8" i="10"/>
  <c r="D8" i="10"/>
  <c r="C8" i="10"/>
  <c r="A8" i="10"/>
  <c r="U7" i="10"/>
  <c r="D7" i="10"/>
  <c r="C7" i="10"/>
  <c r="A7" i="10"/>
  <c r="C34" i="9"/>
  <c r="B34" i="9"/>
  <c r="A34" i="9"/>
  <c r="C33" i="9"/>
  <c r="B33" i="9"/>
  <c r="A33" i="9"/>
  <c r="C32" i="9"/>
  <c r="B32" i="9"/>
  <c r="A32" i="9"/>
  <c r="C31" i="9"/>
  <c r="B31" i="9"/>
  <c r="A31" i="9"/>
  <c r="C30" i="9"/>
  <c r="B30" i="9"/>
  <c r="A30" i="9"/>
  <c r="C29" i="9"/>
  <c r="B29" i="9"/>
  <c r="A29" i="9"/>
  <c r="C28" i="9"/>
  <c r="B28" i="9"/>
  <c r="A28" i="9"/>
  <c r="C27" i="9"/>
  <c r="B27" i="9"/>
  <c r="A27" i="9"/>
  <c r="C26" i="9"/>
  <c r="B26" i="9"/>
  <c r="A26" i="9"/>
  <c r="C25" i="9"/>
  <c r="B25" i="9"/>
  <c r="A25" i="9"/>
  <c r="C24" i="9"/>
  <c r="B24" i="9"/>
  <c r="A24" i="9"/>
  <c r="C23" i="9"/>
  <c r="B23" i="9"/>
  <c r="A23" i="9"/>
  <c r="C22" i="9"/>
  <c r="B22" i="9"/>
  <c r="A22" i="9"/>
  <c r="C21" i="9"/>
  <c r="B21" i="9"/>
  <c r="A21" i="9"/>
  <c r="C20" i="9"/>
  <c r="B20" i="9"/>
  <c r="A20" i="9"/>
  <c r="C19" i="9"/>
  <c r="B19" i="9"/>
  <c r="A19" i="9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O34" i="7"/>
  <c r="K34" i="7"/>
  <c r="I34" i="7"/>
  <c r="G34" i="7"/>
  <c r="C34" i="7"/>
  <c r="L34" i="7" s="1"/>
  <c r="B34" i="7"/>
  <c r="H34" i="7" s="1"/>
  <c r="A34" i="7"/>
  <c r="O33" i="7"/>
  <c r="K33" i="7"/>
  <c r="I33" i="7"/>
  <c r="G33" i="7"/>
  <c r="C33" i="7"/>
  <c r="L33" i="7" s="1"/>
  <c r="B33" i="7"/>
  <c r="H33" i="7" s="1"/>
  <c r="A33" i="7"/>
  <c r="O32" i="7"/>
  <c r="K32" i="7"/>
  <c r="I32" i="7"/>
  <c r="G32" i="7"/>
  <c r="C32" i="7"/>
  <c r="L32" i="7" s="1"/>
  <c r="B32" i="7"/>
  <c r="H32" i="7" s="1"/>
  <c r="A32" i="7"/>
  <c r="O31" i="7"/>
  <c r="K31" i="7"/>
  <c r="I31" i="7"/>
  <c r="G31" i="7"/>
  <c r="C31" i="7"/>
  <c r="L31" i="7" s="1"/>
  <c r="B31" i="7"/>
  <c r="H31" i="7" s="1"/>
  <c r="A31" i="7"/>
  <c r="O30" i="7"/>
  <c r="K30" i="7"/>
  <c r="I30" i="7"/>
  <c r="G30" i="7"/>
  <c r="C30" i="7"/>
  <c r="L30" i="7" s="1"/>
  <c r="B30" i="7"/>
  <c r="H30" i="7" s="1"/>
  <c r="A30" i="7"/>
  <c r="O29" i="7"/>
  <c r="K29" i="7"/>
  <c r="I29" i="7"/>
  <c r="G29" i="7"/>
  <c r="C29" i="7"/>
  <c r="L29" i="7" s="1"/>
  <c r="B29" i="7"/>
  <c r="H29" i="7" s="1"/>
  <c r="A29" i="7"/>
  <c r="O28" i="7"/>
  <c r="K28" i="7"/>
  <c r="I28" i="7"/>
  <c r="G28" i="7"/>
  <c r="C28" i="7"/>
  <c r="L28" i="7" s="1"/>
  <c r="B28" i="7"/>
  <c r="H28" i="7" s="1"/>
  <c r="A28" i="7"/>
  <c r="O27" i="7"/>
  <c r="K27" i="7"/>
  <c r="I27" i="7"/>
  <c r="G27" i="7"/>
  <c r="C27" i="7"/>
  <c r="L27" i="7" s="1"/>
  <c r="B27" i="7"/>
  <c r="H27" i="7" s="1"/>
  <c r="A27" i="7"/>
  <c r="O26" i="7"/>
  <c r="K26" i="7"/>
  <c r="I26" i="7"/>
  <c r="G26" i="7"/>
  <c r="C26" i="7"/>
  <c r="L26" i="7" s="1"/>
  <c r="B26" i="7"/>
  <c r="H26" i="7" s="1"/>
  <c r="A26" i="7"/>
  <c r="O25" i="7"/>
  <c r="K25" i="7"/>
  <c r="I25" i="7"/>
  <c r="G25" i="7"/>
  <c r="C25" i="7"/>
  <c r="L25" i="7" s="1"/>
  <c r="B25" i="7"/>
  <c r="H25" i="7" s="1"/>
  <c r="A25" i="7"/>
  <c r="O24" i="7"/>
  <c r="K24" i="7"/>
  <c r="I24" i="7"/>
  <c r="G24" i="7"/>
  <c r="C24" i="7"/>
  <c r="L24" i="7" s="1"/>
  <c r="B24" i="7"/>
  <c r="H24" i="7" s="1"/>
  <c r="A24" i="7"/>
  <c r="O23" i="7"/>
  <c r="K23" i="7"/>
  <c r="I23" i="7"/>
  <c r="G23" i="7"/>
  <c r="C23" i="7"/>
  <c r="L23" i="7" s="1"/>
  <c r="B23" i="7"/>
  <c r="H23" i="7" s="1"/>
  <c r="A23" i="7"/>
  <c r="O22" i="7"/>
  <c r="K22" i="7"/>
  <c r="I22" i="7"/>
  <c r="G22" i="7"/>
  <c r="C22" i="7"/>
  <c r="L22" i="7" s="1"/>
  <c r="B22" i="7"/>
  <c r="H22" i="7" s="1"/>
  <c r="A22" i="7"/>
  <c r="O21" i="7"/>
  <c r="K21" i="7"/>
  <c r="I21" i="7"/>
  <c r="G21" i="7"/>
  <c r="C21" i="7"/>
  <c r="L21" i="7" s="1"/>
  <c r="B21" i="7"/>
  <c r="H21" i="7" s="1"/>
  <c r="A21" i="7"/>
  <c r="O20" i="7"/>
  <c r="K20" i="7"/>
  <c r="I20" i="7"/>
  <c r="G20" i="7"/>
  <c r="C20" i="7"/>
  <c r="L20" i="7" s="1"/>
  <c r="B20" i="7"/>
  <c r="H20" i="7" s="1"/>
  <c r="A20" i="7"/>
  <c r="O19" i="7"/>
  <c r="K19" i="7"/>
  <c r="I19" i="7"/>
  <c r="G19" i="7"/>
  <c r="C19" i="7"/>
  <c r="L19" i="7" s="1"/>
  <c r="B19" i="7"/>
  <c r="H19" i="7" s="1"/>
  <c r="A19" i="7"/>
  <c r="O18" i="7"/>
  <c r="K18" i="7"/>
  <c r="I18" i="7"/>
  <c r="G18" i="7"/>
  <c r="C18" i="7"/>
  <c r="L18" i="7" s="1"/>
  <c r="B18" i="7"/>
  <c r="H18" i="7" s="1"/>
  <c r="A18" i="7"/>
  <c r="O17" i="7"/>
  <c r="K17" i="7"/>
  <c r="I17" i="7"/>
  <c r="G17" i="7"/>
  <c r="C17" i="7"/>
  <c r="L17" i="7" s="1"/>
  <c r="B17" i="7"/>
  <c r="H17" i="7" s="1"/>
  <c r="A17" i="7"/>
  <c r="O16" i="7"/>
  <c r="K16" i="7"/>
  <c r="I16" i="7"/>
  <c r="G16" i="7"/>
  <c r="C16" i="7"/>
  <c r="L16" i="7" s="1"/>
  <c r="B16" i="7"/>
  <c r="H16" i="7" s="1"/>
  <c r="A16" i="7"/>
  <c r="O15" i="7"/>
  <c r="K15" i="7"/>
  <c r="I15" i="7"/>
  <c r="G15" i="7"/>
  <c r="C15" i="7"/>
  <c r="L15" i="7" s="1"/>
  <c r="B15" i="7"/>
  <c r="H15" i="7" s="1"/>
  <c r="A15" i="7"/>
  <c r="O14" i="7"/>
  <c r="K14" i="7"/>
  <c r="I14" i="7"/>
  <c r="G14" i="7"/>
  <c r="C14" i="7"/>
  <c r="L14" i="7" s="1"/>
  <c r="B14" i="7"/>
  <c r="H14" i="7" s="1"/>
  <c r="A14" i="7"/>
  <c r="O13" i="7"/>
  <c r="K13" i="7"/>
  <c r="I13" i="7"/>
  <c r="G13" i="7"/>
  <c r="C13" i="7"/>
  <c r="L13" i="7" s="1"/>
  <c r="B13" i="7"/>
  <c r="H13" i="7" s="1"/>
  <c r="A13" i="7"/>
  <c r="O12" i="7"/>
  <c r="K12" i="7"/>
  <c r="I12" i="7"/>
  <c r="G12" i="7"/>
  <c r="C12" i="7"/>
  <c r="L12" i="7" s="1"/>
  <c r="B12" i="7"/>
  <c r="H12" i="7" s="1"/>
  <c r="A12" i="7"/>
  <c r="O11" i="7"/>
  <c r="K11" i="7"/>
  <c r="I11" i="7"/>
  <c r="G11" i="7"/>
  <c r="C11" i="7"/>
  <c r="L11" i="7" s="1"/>
  <c r="B11" i="7"/>
  <c r="H11" i="7" s="1"/>
  <c r="A11" i="7"/>
  <c r="N34" i="6"/>
  <c r="I34" i="6"/>
  <c r="C34" i="6"/>
  <c r="K34" i="6" s="1"/>
  <c r="B34" i="6"/>
  <c r="H34" i="6" s="1"/>
  <c r="A34" i="6"/>
  <c r="N33" i="6"/>
  <c r="I33" i="6"/>
  <c r="C33" i="6"/>
  <c r="K33" i="6" s="1"/>
  <c r="B33" i="6"/>
  <c r="H33" i="6" s="1"/>
  <c r="A33" i="6"/>
  <c r="N32" i="6"/>
  <c r="I32" i="6"/>
  <c r="C32" i="6"/>
  <c r="K32" i="6" s="1"/>
  <c r="B32" i="6"/>
  <c r="H32" i="6" s="1"/>
  <c r="A32" i="6"/>
  <c r="N31" i="6"/>
  <c r="I31" i="6"/>
  <c r="C31" i="6"/>
  <c r="K31" i="6" s="1"/>
  <c r="B31" i="6"/>
  <c r="H31" i="6" s="1"/>
  <c r="A31" i="6"/>
  <c r="N30" i="6"/>
  <c r="I30" i="6"/>
  <c r="C30" i="6"/>
  <c r="K30" i="6" s="1"/>
  <c r="B30" i="6"/>
  <c r="H30" i="6" s="1"/>
  <c r="A30" i="6"/>
  <c r="N29" i="6"/>
  <c r="I29" i="6"/>
  <c r="C29" i="6"/>
  <c r="K29" i="6" s="1"/>
  <c r="B29" i="6"/>
  <c r="H29" i="6" s="1"/>
  <c r="A29" i="6"/>
  <c r="N28" i="6"/>
  <c r="I28" i="6"/>
  <c r="C28" i="6"/>
  <c r="K28" i="6" s="1"/>
  <c r="B28" i="6"/>
  <c r="H28" i="6" s="1"/>
  <c r="A28" i="6"/>
  <c r="N27" i="6"/>
  <c r="I27" i="6"/>
  <c r="C27" i="6"/>
  <c r="K27" i="6" s="1"/>
  <c r="B27" i="6"/>
  <c r="H27" i="6" s="1"/>
  <c r="A27" i="6"/>
  <c r="N26" i="6"/>
  <c r="I26" i="6"/>
  <c r="C26" i="6"/>
  <c r="K26" i="6" s="1"/>
  <c r="B26" i="6"/>
  <c r="H26" i="6" s="1"/>
  <c r="A26" i="6"/>
  <c r="N25" i="6"/>
  <c r="I25" i="6"/>
  <c r="C25" i="6"/>
  <c r="K25" i="6" s="1"/>
  <c r="B25" i="6"/>
  <c r="H25" i="6" s="1"/>
  <c r="A25" i="6"/>
  <c r="N24" i="6"/>
  <c r="I24" i="6"/>
  <c r="C24" i="6"/>
  <c r="K24" i="6" s="1"/>
  <c r="B24" i="6"/>
  <c r="H24" i="6" s="1"/>
  <c r="A24" i="6"/>
  <c r="N23" i="6"/>
  <c r="I23" i="6"/>
  <c r="C23" i="6"/>
  <c r="K23" i="6" s="1"/>
  <c r="B23" i="6"/>
  <c r="H23" i="6" s="1"/>
  <c r="A23" i="6"/>
  <c r="N22" i="6"/>
  <c r="I22" i="6"/>
  <c r="C22" i="6"/>
  <c r="K22" i="6" s="1"/>
  <c r="B22" i="6"/>
  <c r="H22" i="6" s="1"/>
  <c r="A22" i="6"/>
  <c r="N21" i="6"/>
  <c r="I21" i="6"/>
  <c r="C21" i="6"/>
  <c r="K21" i="6" s="1"/>
  <c r="B21" i="6"/>
  <c r="H21" i="6" s="1"/>
  <c r="A21" i="6"/>
  <c r="N20" i="6"/>
  <c r="I20" i="6"/>
  <c r="C20" i="6"/>
  <c r="K20" i="6" s="1"/>
  <c r="B20" i="6"/>
  <c r="H20" i="6" s="1"/>
  <c r="A20" i="6"/>
  <c r="N19" i="6"/>
  <c r="I19" i="6"/>
  <c r="C19" i="6"/>
  <c r="K19" i="6" s="1"/>
  <c r="B19" i="6"/>
  <c r="H19" i="6" s="1"/>
  <c r="A19" i="6"/>
  <c r="N18" i="6"/>
  <c r="I18" i="6"/>
  <c r="C18" i="6"/>
  <c r="K18" i="6" s="1"/>
  <c r="B18" i="6"/>
  <c r="H18" i="6" s="1"/>
  <c r="A18" i="6"/>
  <c r="N17" i="6"/>
  <c r="I17" i="6"/>
  <c r="C17" i="6"/>
  <c r="K17" i="6" s="1"/>
  <c r="B17" i="6"/>
  <c r="H17" i="6" s="1"/>
  <c r="A17" i="6"/>
  <c r="N16" i="6"/>
  <c r="I16" i="6"/>
  <c r="C16" i="6"/>
  <c r="K16" i="6" s="1"/>
  <c r="B16" i="6"/>
  <c r="H16" i="6" s="1"/>
  <c r="A16" i="6"/>
  <c r="N15" i="6"/>
  <c r="I15" i="6"/>
  <c r="C15" i="6"/>
  <c r="K15" i="6" s="1"/>
  <c r="B15" i="6"/>
  <c r="H15" i="6" s="1"/>
  <c r="A15" i="6"/>
  <c r="N14" i="6"/>
  <c r="I14" i="6"/>
  <c r="C14" i="6"/>
  <c r="K14" i="6" s="1"/>
  <c r="B14" i="6"/>
  <c r="H14" i="6" s="1"/>
  <c r="A14" i="6"/>
  <c r="N13" i="6"/>
  <c r="I13" i="6"/>
  <c r="C13" i="6"/>
  <c r="K13" i="6" s="1"/>
  <c r="B13" i="6"/>
  <c r="H13" i="6" s="1"/>
  <c r="A13" i="6"/>
  <c r="N12" i="6"/>
  <c r="I12" i="6"/>
  <c r="C12" i="6"/>
  <c r="K12" i="6" s="1"/>
  <c r="B12" i="6"/>
  <c r="H12" i="6" s="1"/>
  <c r="A12" i="6"/>
  <c r="N11" i="6"/>
  <c r="I11" i="6"/>
  <c r="C11" i="6"/>
  <c r="K11" i="6" s="1"/>
  <c r="B11" i="6"/>
  <c r="H11" i="6" s="1"/>
  <c r="A11" i="6"/>
  <c r="N11" i="5"/>
  <c r="I11" i="5"/>
  <c r="C11" i="5"/>
  <c r="K11" i="5" s="1"/>
  <c r="B11" i="5"/>
  <c r="H11" i="5" s="1"/>
  <c r="A11" i="5"/>
  <c r="N32" i="3"/>
  <c r="L32" i="3"/>
  <c r="J31" i="3"/>
  <c r="H31" i="3"/>
  <c r="D31" i="3"/>
  <c r="M31" i="3" s="1"/>
  <c r="C31" i="3"/>
  <c r="A31" i="3"/>
  <c r="J30" i="3"/>
  <c r="H30" i="3"/>
  <c r="D30" i="3"/>
  <c r="C30" i="3"/>
  <c r="G30" i="3" s="1"/>
  <c r="A30" i="3"/>
  <c r="J29" i="3"/>
  <c r="H29" i="3"/>
  <c r="D29" i="3"/>
  <c r="M29" i="3" s="1"/>
  <c r="C29" i="3"/>
  <c r="A29" i="3"/>
  <c r="J28" i="3"/>
  <c r="H28" i="3"/>
  <c r="D28" i="3"/>
  <c r="C28" i="3"/>
  <c r="A28" i="3"/>
  <c r="J27" i="3"/>
  <c r="H27" i="3"/>
  <c r="D27" i="3"/>
  <c r="C27" i="3"/>
  <c r="G27" i="3" s="1"/>
  <c r="A27" i="3"/>
  <c r="J26" i="3"/>
  <c r="H26" i="3"/>
  <c r="D26" i="3"/>
  <c r="C26" i="3"/>
  <c r="G26" i="3" s="1"/>
  <c r="A26" i="3"/>
  <c r="J25" i="3"/>
  <c r="H25" i="3"/>
  <c r="D25" i="3"/>
  <c r="C25" i="3"/>
  <c r="A25" i="3"/>
  <c r="J24" i="3"/>
  <c r="H24" i="3"/>
  <c r="D24" i="3"/>
  <c r="C24" i="3"/>
  <c r="A24" i="3"/>
  <c r="J23" i="3"/>
  <c r="H23" i="3"/>
  <c r="D23" i="3"/>
  <c r="I23" i="3" s="1"/>
  <c r="C23" i="3"/>
  <c r="G23" i="3" s="1"/>
  <c r="A23" i="3"/>
  <c r="J22" i="3"/>
  <c r="H22" i="3"/>
  <c r="D22" i="3"/>
  <c r="C22" i="3"/>
  <c r="G22" i="3" s="1"/>
  <c r="A22" i="3"/>
  <c r="J21" i="3"/>
  <c r="H21" i="3"/>
  <c r="D21" i="3"/>
  <c r="M21" i="3" s="1"/>
  <c r="C21" i="3"/>
  <c r="A21" i="3"/>
  <c r="J20" i="3"/>
  <c r="H20" i="3"/>
  <c r="D20" i="3"/>
  <c r="I20" i="3" s="1"/>
  <c r="C20" i="3"/>
  <c r="A20" i="3"/>
  <c r="J19" i="3"/>
  <c r="H19" i="3"/>
  <c r="D19" i="3"/>
  <c r="M19" i="3" s="1"/>
  <c r="C19" i="3"/>
  <c r="G19" i="3" s="1"/>
  <c r="A19" i="3"/>
  <c r="J18" i="3"/>
  <c r="H18" i="3"/>
  <c r="D18" i="3"/>
  <c r="C18" i="3"/>
  <c r="G18" i="3" s="1"/>
  <c r="A18" i="3"/>
  <c r="J17" i="3"/>
  <c r="H17" i="3"/>
  <c r="D17" i="3"/>
  <c r="M17" i="3" s="1"/>
  <c r="C17" i="3"/>
  <c r="A17" i="3"/>
  <c r="J16" i="3"/>
  <c r="H16" i="3"/>
  <c r="D16" i="3"/>
  <c r="C16" i="3"/>
  <c r="A16" i="3"/>
  <c r="J15" i="3"/>
  <c r="H15" i="3"/>
  <c r="D15" i="3"/>
  <c r="M15" i="3" s="1"/>
  <c r="C15" i="3"/>
  <c r="A15" i="3"/>
  <c r="J14" i="3"/>
  <c r="H14" i="3"/>
  <c r="D14" i="3"/>
  <c r="C14" i="3"/>
  <c r="A14" i="3"/>
  <c r="J13" i="3"/>
  <c r="H13" i="3"/>
  <c r="D13" i="3"/>
  <c r="M13" i="3" s="1"/>
  <c r="C13" i="3"/>
  <c r="A13" i="3"/>
  <c r="J12" i="3"/>
  <c r="H12" i="3"/>
  <c r="D12" i="3"/>
  <c r="C12" i="3"/>
  <c r="A12" i="3"/>
  <c r="J11" i="3"/>
  <c r="H11" i="3"/>
  <c r="D11" i="3"/>
  <c r="I11" i="3" s="1"/>
  <c r="C11" i="3"/>
  <c r="G11" i="3" s="1"/>
  <c r="A11" i="3"/>
  <c r="J10" i="3"/>
  <c r="H10" i="3"/>
  <c r="D10" i="3"/>
  <c r="C10" i="3"/>
  <c r="G10" i="3" s="1"/>
  <c r="A10" i="3"/>
  <c r="J9" i="3"/>
  <c r="H9" i="3"/>
  <c r="D9" i="3"/>
  <c r="M9" i="3" s="1"/>
  <c r="C9" i="3"/>
  <c r="A9" i="3"/>
  <c r="J8" i="3"/>
  <c r="H8" i="3"/>
  <c r="D8" i="3"/>
  <c r="A8" i="3"/>
  <c r="A8" i="2"/>
  <c r="F15" i="10" l="1"/>
  <c r="G20" i="10"/>
  <c r="O20" i="10" s="1"/>
  <c r="E29" i="9"/>
  <c r="I31" i="3"/>
  <c r="Q14" i="10"/>
  <c r="R14" i="10" s="1"/>
  <c r="M8" i="12"/>
  <c r="J32" i="3"/>
  <c r="I29" i="3"/>
  <c r="H32" i="3"/>
  <c r="I15" i="3"/>
  <c r="Q25" i="10"/>
  <c r="R25" i="10" s="1"/>
  <c r="M11" i="3"/>
  <c r="I9" i="3"/>
  <c r="E34" i="9"/>
  <c r="K8" i="3"/>
  <c r="Q23" i="10"/>
  <c r="R23" i="10" s="1"/>
  <c r="G26" i="10"/>
  <c r="G14" i="10"/>
  <c r="O14" i="10" s="1"/>
  <c r="G7" i="10"/>
  <c r="E10" i="9"/>
  <c r="E23" i="9"/>
  <c r="K12" i="3"/>
  <c r="G12" i="3"/>
  <c r="G14" i="3"/>
  <c r="K16" i="3"/>
  <c r="G16" i="3"/>
  <c r="I8" i="3"/>
  <c r="M8" i="3"/>
  <c r="M10" i="3"/>
  <c r="I12" i="3"/>
  <c r="M12" i="3"/>
  <c r="M14" i="3"/>
  <c r="I28" i="3"/>
  <c r="M28" i="3"/>
  <c r="K24" i="3"/>
  <c r="G24" i="3"/>
  <c r="G13" i="3"/>
  <c r="K15" i="3"/>
  <c r="G15" i="3"/>
  <c r="G21" i="3"/>
  <c r="M22" i="3"/>
  <c r="G29" i="3"/>
  <c r="Q24" i="10"/>
  <c r="R24" i="10" s="1"/>
  <c r="F24" i="10"/>
  <c r="G24" i="10"/>
  <c r="O24" i="10" s="1"/>
  <c r="E33" i="9"/>
  <c r="F33" i="9"/>
  <c r="P33" i="9" s="1"/>
  <c r="R33" i="9" s="1"/>
  <c r="I13" i="3"/>
  <c r="I17" i="3"/>
  <c r="G25" i="3"/>
  <c r="M27" i="3"/>
  <c r="I27" i="3"/>
  <c r="I8" i="2"/>
  <c r="M30" i="3"/>
  <c r="I19" i="3"/>
  <c r="M23" i="3"/>
  <c r="M25" i="3"/>
  <c r="I25" i="3"/>
  <c r="I24" i="3"/>
  <c r="M24" i="3"/>
  <c r="G8" i="2"/>
  <c r="I21" i="3"/>
  <c r="F25" i="9"/>
  <c r="E25" i="9"/>
  <c r="I16" i="3"/>
  <c r="M16" i="3"/>
  <c r="K31" i="3"/>
  <c r="G31" i="3"/>
  <c r="M20" i="3"/>
  <c r="G9" i="3"/>
  <c r="M18" i="3"/>
  <c r="K20" i="3"/>
  <c r="G20" i="3"/>
  <c r="F27" i="9"/>
  <c r="G27" i="9" s="1"/>
  <c r="I27" i="9" s="1"/>
  <c r="E27" i="9"/>
  <c r="M26" i="3"/>
  <c r="G17" i="3"/>
  <c r="K28" i="3"/>
  <c r="G28" i="3"/>
  <c r="F29" i="9"/>
  <c r="P29" i="9" s="1"/>
  <c r="R29" i="9" s="1"/>
  <c r="E21" i="9"/>
  <c r="Q16" i="10"/>
  <c r="R16" i="10" s="1"/>
  <c r="F27" i="10"/>
  <c r="F30" i="10"/>
  <c r="G22" i="10"/>
  <c r="O22" i="10" s="1"/>
  <c r="G11" i="10"/>
  <c r="O11" i="10" s="1"/>
  <c r="F20" i="10"/>
  <c r="G28" i="10"/>
  <c r="O28" i="10" s="1"/>
  <c r="F34" i="9"/>
  <c r="P34" i="9" s="1"/>
  <c r="R34" i="9" s="1"/>
  <c r="E11" i="9"/>
  <c r="F11" i="9"/>
  <c r="P11" i="9" s="1"/>
  <c r="R11" i="9" s="1"/>
  <c r="Q13" i="10"/>
  <c r="R13" i="10" s="1"/>
  <c r="G13" i="10"/>
  <c r="O13" i="10" s="1"/>
  <c r="F16" i="10"/>
  <c r="Q9" i="10"/>
  <c r="R9" i="10" s="1"/>
  <c r="G9" i="10"/>
  <c r="O9" i="10" s="1"/>
  <c r="F22" i="10"/>
  <c r="F7" i="10"/>
  <c r="Q7" i="10"/>
  <c r="R7" i="10" s="1"/>
  <c r="F14" i="10"/>
  <c r="G16" i="10"/>
  <c r="O16" i="10" s="1"/>
  <c r="G21" i="10"/>
  <c r="F21" i="10"/>
  <c r="F23" i="10"/>
  <c r="F26" i="10"/>
  <c r="G27" i="10"/>
  <c r="G31" i="10"/>
  <c r="F31" i="10"/>
  <c r="N32" i="10"/>
  <c r="Q11" i="10"/>
  <c r="R11" i="10" s="1"/>
  <c r="G19" i="10"/>
  <c r="Q22" i="10"/>
  <c r="R22" i="10" s="1"/>
  <c r="G30" i="10"/>
  <c r="F15" i="9"/>
  <c r="P15" i="9" s="1"/>
  <c r="R15" i="9" s="1"/>
  <c r="E15" i="9"/>
  <c r="F19" i="9"/>
  <c r="P19" i="9" s="1"/>
  <c r="R19" i="9" s="1"/>
  <c r="E19" i="9"/>
  <c r="F13" i="9"/>
  <c r="E13" i="9"/>
  <c r="F17" i="9"/>
  <c r="E17" i="9"/>
  <c r="F10" i="9"/>
  <c r="M10" i="9" s="1"/>
  <c r="O10" i="9" s="1"/>
  <c r="F21" i="9"/>
  <c r="F23" i="9"/>
  <c r="P23" i="9" s="1"/>
  <c r="R23" i="9" s="1"/>
  <c r="E28" i="9"/>
  <c r="K11" i="3"/>
  <c r="K19" i="3"/>
  <c r="K23" i="3"/>
  <c r="I10" i="3"/>
  <c r="K10" i="3"/>
  <c r="I14" i="3"/>
  <c r="K14" i="3"/>
  <c r="I18" i="3"/>
  <c r="K18" i="3"/>
  <c r="I22" i="3"/>
  <c r="K22" i="3"/>
  <c r="I26" i="3"/>
  <c r="K26" i="3"/>
  <c r="I30" i="3"/>
  <c r="K30" i="3"/>
  <c r="K27" i="3"/>
  <c r="K9" i="3"/>
  <c r="K13" i="3"/>
  <c r="K17" i="3"/>
  <c r="K21" i="3"/>
  <c r="K25" i="3"/>
  <c r="K29" i="3"/>
  <c r="G23" i="9"/>
  <c r="I23" i="9" s="1"/>
  <c r="F12" i="9"/>
  <c r="E12" i="9"/>
  <c r="F16" i="9"/>
  <c r="E16" i="9"/>
  <c r="F20" i="9"/>
  <c r="E20" i="9"/>
  <c r="F24" i="9"/>
  <c r="E24" i="9"/>
  <c r="G33" i="9"/>
  <c r="I33" i="9" s="1"/>
  <c r="F14" i="9"/>
  <c r="E14" i="9"/>
  <c r="F18" i="9"/>
  <c r="E18" i="9"/>
  <c r="F22" i="9"/>
  <c r="E22" i="9"/>
  <c r="F26" i="9"/>
  <c r="E26" i="9"/>
  <c r="F30" i="9"/>
  <c r="E30" i="9"/>
  <c r="F31" i="9"/>
  <c r="E31" i="9"/>
  <c r="F32" i="9"/>
  <c r="G29" i="10"/>
  <c r="F29" i="10"/>
  <c r="Q29" i="10"/>
  <c r="R29" i="10" s="1"/>
  <c r="F28" i="9"/>
  <c r="E32" i="9"/>
  <c r="J32" i="10"/>
  <c r="L32" i="10"/>
  <c r="G12" i="10"/>
  <c r="Q12" i="10"/>
  <c r="R12" i="10" s="1"/>
  <c r="F12" i="10"/>
  <c r="G17" i="10"/>
  <c r="F17" i="10"/>
  <c r="Q17" i="10"/>
  <c r="R17" i="10" s="1"/>
  <c r="K7" i="10"/>
  <c r="G10" i="10"/>
  <c r="Q10" i="10"/>
  <c r="R10" i="10" s="1"/>
  <c r="F10" i="10"/>
  <c r="G18" i="10"/>
  <c r="F18" i="10"/>
  <c r="Q18" i="10"/>
  <c r="R18" i="10" s="1"/>
  <c r="G25" i="10"/>
  <c r="F25" i="10"/>
  <c r="G8" i="10"/>
  <c r="Q8" i="10"/>
  <c r="R8" i="10" s="1"/>
  <c r="F8" i="10"/>
  <c r="Q15" i="10"/>
  <c r="R15" i="10" s="1"/>
  <c r="Q28" i="10"/>
  <c r="R28" i="10" s="1"/>
  <c r="Q19" i="10"/>
  <c r="R19" i="10" s="1"/>
  <c r="Q20" i="10"/>
  <c r="R20" i="10" s="1"/>
  <c r="Q27" i="10"/>
  <c r="R27" i="10" s="1"/>
  <c r="Q31" i="10"/>
  <c r="R31" i="10" s="1"/>
  <c r="F9" i="10"/>
  <c r="F11" i="10"/>
  <c r="F13" i="10"/>
  <c r="G15" i="10"/>
  <c r="F19" i="10"/>
  <c r="Q21" i="10"/>
  <c r="R21" i="10" s="1"/>
  <c r="G23" i="10"/>
  <c r="Q26" i="10"/>
  <c r="R26" i="10" s="1"/>
  <c r="F28" i="10"/>
  <c r="Q30" i="10"/>
  <c r="R30" i="10" s="1"/>
  <c r="I16" i="10" l="1"/>
  <c r="I11" i="10"/>
  <c r="G15" i="9"/>
  <c r="I15" i="9" s="1"/>
  <c r="G11" i="9"/>
  <c r="I11" i="9" s="1"/>
  <c r="G34" i="9"/>
  <c r="I34" i="9" s="1"/>
  <c r="P27" i="9"/>
  <c r="R27" i="9" s="1"/>
  <c r="I20" i="10"/>
  <c r="I22" i="10"/>
  <c r="G19" i="9"/>
  <c r="I19" i="9" s="1"/>
  <c r="I9" i="10"/>
  <c r="O26" i="10"/>
  <c r="I26" i="10"/>
  <c r="I13" i="10"/>
  <c r="I14" i="10"/>
  <c r="G29" i="9"/>
  <c r="I29" i="9" s="1"/>
  <c r="O35" i="9"/>
  <c r="G38" i="9" s="1"/>
  <c r="I28" i="10"/>
  <c r="G25" i="9"/>
  <c r="I25" i="9" s="1"/>
  <c r="P25" i="9"/>
  <c r="R25" i="9" s="1"/>
  <c r="I24" i="10"/>
  <c r="O30" i="10"/>
  <c r="I30" i="10"/>
  <c r="O27" i="10"/>
  <c r="I27" i="10"/>
  <c r="O21" i="10"/>
  <c r="I21" i="10"/>
  <c r="O31" i="10"/>
  <c r="I31" i="10"/>
  <c r="O19" i="10"/>
  <c r="I19" i="10"/>
  <c r="G21" i="9"/>
  <c r="I21" i="9" s="1"/>
  <c r="P21" i="9"/>
  <c r="R21" i="9" s="1"/>
  <c r="G17" i="9"/>
  <c r="I17" i="9" s="1"/>
  <c r="P17" i="9"/>
  <c r="R17" i="9" s="1"/>
  <c r="G13" i="9"/>
  <c r="I13" i="9" s="1"/>
  <c r="P13" i="9"/>
  <c r="R13" i="9" s="1"/>
  <c r="O23" i="10"/>
  <c r="I23" i="10"/>
  <c r="O15" i="10"/>
  <c r="I15" i="10"/>
  <c r="I8" i="10"/>
  <c r="O8" i="10"/>
  <c r="R32" i="10"/>
  <c r="P32" i="9"/>
  <c r="R32" i="9" s="1"/>
  <c r="G32" i="9"/>
  <c r="I32" i="9" s="1"/>
  <c r="G30" i="9"/>
  <c r="I30" i="9" s="1"/>
  <c r="P30" i="9"/>
  <c r="R30" i="9" s="1"/>
  <c r="P22" i="9"/>
  <c r="R22" i="9" s="1"/>
  <c r="G22" i="9"/>
  <c r="I22" i="9" s="1"/>
  <c r="P14" i="9"/>
  <c r="R14" i="9" s="1"/>
  <c r="G14" i="9"/>
  <c r="I14" i="9" s="1"/>
  <c r="P24" i="9"/>
  <c r="R24" i="9" s="1"/>
  <c r="G24" i="9"/>
  <c r="I24" i="9" s="1"/>
  <c r="P16" i="9"/>
  <c r="R16" i="9" s="1"/>
  <c r="G16" i="9"/>
  <c r="I16" i="9" s="1"/>
  <c r="G28" i="9"/>
  <c r="I28" i="9" s="1"/>
  <c r="P28" i="9"/>
  <c r="R28" i="9" s="1"/>
  <c r="I12" i="10"/>
  <c r="O12" i="10"/>
  <c r="Q32" i="10"/>
  <c r="O18" i="10"/>
  <c r="I18" i="10"/>
  <c r="O25" i="10"/>
  <c r="I25" i="10"/>
  <c r="I10" i="10"/>
  <c r="O10" i="10"/>
  <c r="I17" i="10"/>
  <c r="O17" i="10"/>
  <c r="O29" i="10"/>
  <c r="I29" i="10"/>
  <c r="P31" i="9"/>
  <c r="R31" i="9" s="1"/>
  <c r="G31" i="9"/>
  <c r="I31" i="9" s="1"/>
  <c r="P26" i="9"/>
  <c r="R26" i="9" s="1"/>
  <c r="G26" i="9"/>
  <c r="I26" i="9" s="1"/>
  <c r="P18" i="9"/>
  <c r="R18" i="9" s="1"/>
  <c r="G18" i="9"/>
  <c r="I18" i="9" s="1"/>
  <c r="P20" i="9"/>
  <c r="R20" i="9" s="1"/>
  <c r="G20" i="9"/>
  <c r="I20" i="9" s="1"/>
  <c r="P12" i="9"/>
  <c r="R12" i="9" s="1"/>
  <c r="G12" i="9"/>
  <c r="I12" i="9" s="1"/>
  <c r="I35" i="9" l="1"/>
  <c r="G36" i="9" s="1"/>
  <c r="R35" i="9"/>
  <c r="G39" i="9" s="1"/>
  <c r="L35" i="9"/>
  <c r="G37" i="9" s="1"/>
</calcChain>
</file>

<file path=xl/sharedStrings.xml><?xml version="1.0" encoding="utf-8"?>
<sst xmlns="http://schemas.openxmlformats.org/spreadsheetml/2006/main" count="475" uniqueCount="140">
  <si>
    <t>차열재</t>
  </si>
  <si>
    <t>No</t>
  </si>
  <si>
    <t>비고</t>
  </si>
  <si>
    <t>합계</t>
  </si>
  <si>
    <t>규격</t>
  </si>
  <si>
    <t>TTL</t>
  </si>
  <si>
    <t>EZ F.B POSMAC Duct-VA-064</t>
  </si>
  <si>
    <t>EZ F.B POSMAC Duct-VT-01</t>
  </si>
  <si>
    <t>라벨소요량(행복산업_KEC 구미공장_251128)</t>
  </si>
  <si>
    <t>25*
1400</t>
  </si>
  <si>
    <t>*VM 200(1000*1000)기준</t>
  </si>
  <si>
    <t>수량                확인</t>
  </si>
  <si>
    <t>차열재 50T*400*3.6M</t>
  </si>
  <si>
    <t>글라스울 25T*1400*20M</t>
  </si>
  <si>
    <t>차열재 50T*600*3.6M</t>
  </si>
  <si>
    <t>절 곡 생 산 일 지(VT_보강대)</t>
  </si>
  <si>
    <t>특이사항 및
   조치사항</t>
  </si>
  <si>
    <t>설비번호</t>
  </si>
  <si>
    <t>설치위치</t>
  </si>
  <si>
    <t>세로(보강대)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</si>
  <si>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</si>
  <si>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</si>
  <si>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</si>
  <si>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</si>
  <si>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</si>
  <si>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</si>
  <si>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</si>
  <si>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</si>
  <si>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</si>
  <si>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</si>
  <si>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</si>
  <si>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</si>
  <si>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</si>
  <si>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</si>
  <si>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</si>
  <si>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</si>
  <si>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</si>
  <si>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</si>
  <si>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</si>
  <si>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</si>
  <si>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</si>
  <si>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</si>
  <si>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분할구조</t>
  </si>
  <si>
    <t>FS-MP25-0310-1</t>
  </si>
  <si>
    <t>FS-MP25-0310-4</t>
  </si>
  <si>
    <t>차열재생산일지(출하용)</t>
  </si>
  <si>
    <t>특이사항 및
 조치사항</t>
  </si>
  <si>
    <t>특이사항 및   조치사항</t>
  </si>
  <si>
    <t>VT-01</t>
  </si>
  <si>
    <t>VA-064</t>
  </si>
  <si>
    <t>60mm</t>
  </si>
  <si>
    <t>1.6
이상</t>
  </si>
  <si>
    <t>가로(받침대)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</si>
  <si>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</si>
  <si>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</si>
  <si>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</si>
  <si>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</si>
  <si>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</si>
  <si>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</si>
  <si>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</si>
  <si>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</si>
  <si>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</si>
  <si>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</si>
  <si>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</si>
  <si>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</si>
  <si>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</si>
  <si>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</si>
  <si>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</si>
  <si>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</si>
  <si>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</si>
  <si>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8" type="noConversion"/>
  </si>
  <si>
    <t>재단작업지시서
(VT)</t>
    <phoneticPr fontId="28" type="noConversion"/>
  </si>
  <si>
    <t>재단작업지시서(VM)</t>
    <phoneticPr fontId="28" type="noConversion"/>
  </si>
  <si>
    <t>절 곡 생 산 일 지(VM)</t>
    <phoneticPr fontId="28" type="noConversion"/>
  </si>
  <si>
    <t>절 곡 생 산 일 지(VT_브라켓)</t>
    <phoneticPr fontId="28" type="noConversion"/>
  </si>
  <si>
    <t>라벨소요량</t>
    <phoneticPr fontId="28" type="noConversion"/>
  </si>
  <si>
    <t>25*
200</t>
    <phoneticPr fontId="28" type="noConversion"/>
  </si>
  <si>
    <t>구조체작업지시서</t>
    <phoneticPr fontId="28" type="noConversion"/>
  </si>
  <si>
    <t>차열재 25T*200*7.4M</t>
    <phoneticPr fontId="28" type="noConversion"/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</si>
  <si>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</si>
  <si>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</si>
  <si>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</si>
  <si>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</si>
  <si>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</si>
  <si>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</si>
  <si>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</si>
  <si>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</si>
  <si>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</si>
  <si>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</si>
  <si>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</si>
  <si>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</si>
  <si>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</si>
  <si>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</si>
  <si>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</si>
  <si>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</si>
  <si>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</si>
  <si>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</si>
  <si>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</si>
  <si>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</si>
  <si>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</si>
  <si>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</si>
  <si>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재단작업지시서차열재</t>
    <phoneticPr fontId="28" type="noConversion"/>
  </si>
  <si>
    <t>1동 2번</t>
  </si>
  <si>
    <t>1동 7,8,9,10번</t>
  </si>
  <si>
    <t>9동 1~6번</t>
  </si>
  <si>
    <t>2동 1,2,3번</t>
  </si>
  <si>
    <t>1동 4,5,6번</t>
  </si>
  <si>
    <t>2동 6,7,8번</t>
  </si>
  <si>
    <t>2동 4,5번</t>
  </si>
  <si>
    <t>9동 7,8번</t>
  </si>
  <si>
    <t>1동 3번</t>
  </si>
  <si>
    <t>01</t>
    <phoneticPr fontId="28" type="noConversion"/>
  </si>
  <si>
    <t>02</t>
    <phoneticPr fontId="28" type="noConversion"/>
  </si>
  <si>
    <t>03</t>
    <phoneticPr fontId="28" type="noConversion"/>
  </si>
  <si>
    <t>CN001</t>
    <phoneticPr fontId="28" type="noConversion"/>
  </si>
  <si>
    <t>CN002</t>
  </si>
  <si>
    <t>CN003</t>
  </si>
  <si>
    <t>CN004</t>
  </si>
  <si>
    <t>CN005</t>
  </si>
  <si>
    <t>CN006</t>
  </si>
  <si>
    <t>CN007</t>
  </si>
  <si>
    <t>CN008</t>
  </si>
  <si>
    <t>CN009</t>
  </si>
  <si>
    <t>CN010</t>
  </si>
  <si>
    <t>CN011</t>
  </si>
  <si>
    <t>CN012</t>
  </si>
  <si>
    <t>CN013</t>
  </si>
  <si>
    <t>CN014</t>
  </si>
  <si>
    <t>CN015</t>
  </si>
  <si>
    <t>CN016</t>
  </si>
  <si>
    <t>CN017</t>
  </si>
  <si>
    <t>CN018</t>
  </si>
  <si>
    <t>CN019</t>
  </si>
  <si>
    <t>CN020</t>
  </si>
  <si>
    <t>CN021</t>
  </si>
  <si>
    <t>CN022</t>
  </si>
  <si>
    <t>CN023</t>
  </si>
  <si>
    <t>CN024</t>
  </si>
  <si>
    <t>CN025</t>
  </si>
  <si>
    <r>
      <t xml:space="preserve">26.06.08 </t>
    </r>
    <r>
      <rPr>
        <sz val="10"/>
        <color rgb="FF000000"/>
        <rFont val="맑은 고딕"/>
        <family val="3"/>
        <charset val="129"/>
      </rPr>
      <t>행복산업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덕신건업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롯데건설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인천효성구역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도시개발사업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공동주택</t>
    </r>
    <r>
      <rPr>
        <sz val="10"/>
        <color rgb="FF000000"/>
        <rFont val="Arial"/>
        <family val="2"/>
      </rPr>
      <t>(4BL)</t>
    </r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</si>
</sst>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6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7C7C7C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b/>
      <sz val="10"/>
      <color rgb="FF002060"/>
      <name val="Helvetica Neue"/>
    </font>
    <font>
      <b/>
      <sz val="10"/>
      <color rgb="FFFF0000"/>
      <name val="맑은 고딕"/>
      <family val="3"/>
      <charset val="129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b/>
      <sz val="11"/>
      <color rgb="FFC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0" fillId="0" borderId="1" xfId="0" applyBorder="1" applyAlignment="1">
      <alignment horizontal="center" vertical="center"/>
    </xf>
    <xf numFmtId="0" fontId="27" fillId="0" borderId="0">
      <alignment vertical="center"/>
    </xf>
    <xf numFmtId="176" fontId="27" fillId="0" borderId="0">
      <alignment vertical="center"/>
    </xf>
    <xf numFmtId="0" fontId="1" fillId="0" borderId="0">
      <alignment vertical="center"/>
    </xf>
  </cellStyleXfs>
  <cellXfs count="3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0" borderId="0" xfId="2">
      <alignment vertical="center"/>
    </xf>
    <xf numFmtId="0" fontId="27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176" fontId="27" fillId="0" borderId="5" xfId="3" applyBorder="1" applyAlignment="1">
      <alignment horizontal="center" vertical="center"/>
    </xf>
    <xf numFmtId="176" fontId="27" fillId="0" borderId="6" xfId="3" applyBorder="1" applyAlignment="1">
      <alignment horizontal="center" vertical="center"/>
    </xf>
    <xf numFmtId="176" fontId="27" fillId="0" borderId="7" xfId="3" applyBorder="1" applyAlignment="1">
      <alignment horizontal="center" vertical="center"/>
    </xf>
    <xf numFmtId="176" fontId="27" fillId="0" borderId="8" xfId="3" applyBorder="1" applyAlignment="1">
      <alignment horizontal="center" vertical="center"/>
    </xf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176" fontId="27" fillId="0" borderId="10" xfId="3" applyBorder="1" applyAlignment="1">
      <alignment horizontal="center" vertical="center"/>
    </xf>
    <xf numFmtId="176" fontId="27" fillId="0" borderId="12" xfId="3" applyBorder="1" applyAlignment="1">
      <alignment horizontal="center" vertical="center"/>
    </xf>
    <xf numFmtId="0" fontId="6" fillId="0" borderId="13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27" fillId="0" borderId="15" xfId="2" applyBorder="1" applyAlignment="1">
      <alignment horizontal="center" vertical="center"/>
    </xf>
    <xf numFmtId="0" fontId="6" fillId="0" borderId="16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7" fillId="0" borderId="16" xfId="2" applyBorder="1" applyAlignment="1">
      <alignment horizontal="center" vertical="center" wrapText="1"/>
    </xf>
    <xf numFmtId="0" fontId="7" fillId="0" borderId="16" xfId="4" applyFont="1" applyBorder="1" applyAlignment="1">
      <alignment horizontal="center" vertical="center" wrapText="1"/>
    </xf>
    <xf numFmtId="0" fontId="27" fillId="0" borderId="17" xfId="2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8" fillId="0" borderId="16" xfId="4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177" fontId="6" fillId="0" borderId="16" xfId="0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shrinkToFit="1"/>
    </xf>
    <xf numFmtId="0" fontId="11" fillId="0" borderId="16" xfId="0" applyFont="1" applyBorder="1" applyAlignment="1">
      <alignment horizontal="center" vertical="center" shrinkToFit="1"/>
    </xf>
    <xf numFmtId="0" fontId="12" fillId="0" borderId="17" xfId="0" applyFont="1" applyBorder="1" applyAlignment="1">
      <alignment horizontal="center" vertical="center" shrinkToFit="1"/>
    </xf>
    <xf numFmtId="0" fontId="9" fillId="5" borderId="16" xfId="0" applyFont="1" applyFill="1" applyBorder="1" applyAlignment="1">
      <alignment horizontal="center" vertical="center" wrapText="1"/>
    </xf>
    <xf numFmtId="0" fontId="13" fillId="5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shrinkToFit="1"/>
    </xf>
    <xf numFmtId="0" fontId="15" fillId="0" borderId="16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wrapText="1"/>
    </xf>
    <xf numFmtId="0" fontId="8" fillId="0" borderId="18" xfId="4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8" fillId="0" borderId="13" xfId="4" applyFont="1" applyBorder="1" applyAlignment="1">
      <alignment horizontal="center" vertical="center" wrapText="1"/>
    </xf>
    <xf numFmtId="0" fontId="27" fillId="0" borderId="13" xfId="2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6" fillId="6" borderId="16" xfId="4" applyFont="1" applyFill="1" applyBorder="1" applyAlignment="1">
      <alignment horizontal="center" vertical="center" wrapText="1"/>
    </xf>
    <xf numFmtId="0" fontId="16" fillId="7" borderId="16" xfId="4" applyFont="1" applyFill="1" applyBorder="1" applyAlignment="1">
      <alignment horizontal="center" vertical="center" wrapText="1"/>
    </xf>
    <xf numFmtId="0" fontId="19" fillId="0" borderId="16" xfId="2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/>
    </xf>
    <xf numFmtId="0" fontId="5" fillId="0" borderId="21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 wrapText="1"/>
    </xf>
    <xf numFmtId="0" fontId="27" fillId="0" borderId="14" xfId="2" applyBorder="1" applyAlignment="1">
      <alignment horizontal="center" vertical="center" wrapText="1"/>
    </xf>
    <xf numFmtId="0" fontId="5" fillId="0" borderId="16" xfId="2" applyFont="1" applyBorder="1" applyAlignment="1">
      <alignment horizontal="center" vertical="center" wrapText="1"/>
    </xf>
    <xf numFmtId="0" fontId="27" fillId="0" borderId="13" xfId="2" applyBorder="1" applyAlignment="1">
      <alignment vertical="center" wrapText="1"/>
    </xf>
    <xf numFmtId="0" fontId="27" fillId="0" borderId="16" xfId="2" applyBorder="1" applyAlignment="1">
      <alignment vertical="center" wrapText="1"/>
    </xf>
    <xf numFmtId="0" fontId="20" fillId="0" borderId="13" xfId="4" applyFont="1" applyBorder="1" applyAlignment="1">
      <alignment horizontal="center" vertical="center" wrapText="1"/>
    </xf>
    <xf numFmtId="0" fontId="20" fillId="0" borderId="16" xfId="4" applyFont="1" applyBorder="1" applyAlignment="1">
      <alignment horizontal="center" vertical="center" wrapText="1"/>
    </xf>
    <xf numFmtId="0" fontId="21" fillId="0" borderId="17" xfId="2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21" xfId="0" applyBorder="1">
      <alignment vertical="center"/>
    </xf>
    <xf numFmtId="0" fontId="0" fillId="5" borderId="18" xfId="0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0" borderId="0" xfId="1" applyFont="1" applyBorder="1" applyAlignment="1">
      <alignment vertical="center"/>
    </xf>
    <xf numFmtId="0" fontId="1" fillId="10" borderId="0" xfId="4" applyFill="1">
      <alignment vertical="center"/>
    </xf>
    <xf numFmtId="0" fontId="1" fillId="0" borderId="33" xfId="4" applyBorder="1" applyAlignment="1">
      <alignment vertical="top" wrapText="1"/>
    </xf>
    <xf numFmtId="0" fontId="2" fillId="0" borderId="16" xfId="4" applyFont="1" applyBorder="1" applyAlignment="1">
      <alignment horizontal="center" vertical="center" wrapText="1"/>
    </xf>
    <xf numFmtId="0" fontId="2" fillId="0" borderId="17" xfId="4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4" fillId="4" borderId="16" xfId="2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31" fillId="7" borderId="16" xfId="4" applyFont="1" applyFill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vertical="center" wrapText="1"/>
    </xf>
    <xf numFmtId="0" fontId="5" fillId="0" borderId="18" xfId="2" applyFont="1" applyBorder="1">
      <alignment vertical="center"/>
    </xf>
    <xf numFmtId="0" fontId="3" fillId="0" borderId="28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0" fontId="1" fillId="0" borderId="15" xfId="4" quotePrefix="1" applyBorder="1" applyAlignment="1">
      <alignment horizontal="center" vertical="center" wrapText="1"/>
    </xf>
    <xf numFmtId="178" fontId="19" fillId="0" borderId="16" xfId="2" applyNumberFormat="1" applyFont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23" xfId="2" applyFont="1" applyFill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/>
    </xf>
    <xf numFmtId="0" fontId="17" fillId="0" borderId="16" xfId="2" applyFont="1" applyBorder="1" applyAlignment="1">
      <alignment horizontal="center" vertical="center" wrapText="1"/>
    </xf>
    <xf numFmtId="178" fontId="17" fillId="0" borderId="16" xfId="2" applyNumberFormat="1" applyFont="1" applyBorder="1" applyAlignment="1">
      <alignment horizontal="center" vertical="center" wrapText="1"/>
    </xf>
    <xf numFmtId="0" fontId="18" fillId="0" borderId="16" xfId="2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 wrapText="1"/>
    </xf>
    <xf numFmtId="0" fontId="31" fillId="6" borderId="16" xfId="4" applyFont="1" applyFill="1" applyBorder="1" applyAlignment="1">
      <alignment horizontal="center" vertical="center" wrapText="1"/>
    </xf>
    <xf numFmtId="177" fontId="6" fillId="5" borderId="16" xfId="0" applyNumberFormat="1" applyFont="1" applyFill="1" applyBorder="1" applyAlignment="1">
      <alignment horizontal="center" vertical="center" wrapText="1"/>
    </xf>
    <xf numFmtId="0" fontId="16" fillId="6" borderId="13" xfId="4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6" fillId="7" borderId="18" xfId="4" applyFont="1" applyFill="1" applyBorder="1" applyAlignment="1">
      <alignment horizontal="center" vertical="center" wrapText="1"/>
    </xf>
    <xf numFmtId="0" fontId="0" fillId="0" borderId="25" xfId="4" applyFont="1" applyBorder="1" applyAlignment="1">
      <alignment horizontal="center" vertical="center"/>
    </xf>
    <xf numFmtId="0" fontId="0" fillId="0" borderId="26" xfId="4" applyFont="1" applyBorder="1" applyAlignment="1">
      <alignment horizontal="center" vertical="center"/>
    </xf>
    <xf numFmtId="0" fontId="3" fillId="0" borderId="24" xfId="4" applyFont="1" applyBorder="1" applyAlignment="1">
      <alignment horizontal="left" vertical="center"/>
    </xf>
    <xf numFmtId="0" fontId="2" fillId="8" borderId="16" xfId="4" applyFont="1" applyFill="1" applyBorder="1" applyAlignment="1">
      <alignment horizontal="center" vertical="center" wrapText="1"/>
    </xf>
    <xf numFmtId="0" fontId="29" fillId="0" borderId="33" xfId="4" applyFont="1" applyBorder="1" applyAlignment="1">
      <alignment horizontal="center" vertical="center" wrapText="1"/>
    </xf>
    <xf numFmtId="0" fontId="29" fillId="0" borderId="35" xfId="4" applyFont="1" applyBorder="1" applyAlignment="1">
      <alignment horizontal="center" vertical="center" wrapText="1"/>
    </xf>
    <xf numFmtId="0" fontId="29" fillId="0" borderId="0" xfId="4" applyFont="1" applyAlignment="1">
      <alignment horizontal="center" vertical="center" wrapText="1"/>
    </xf>
    <xf numFmtId="0" fontId="29" fillId="0" borderId="37" xfId="4" applyFont="1" applyBorder="1" applyAlignment="1">
      <alignment horizontal="center" vertical="center" wrapText="1"/>
    </xf>
    <xf numFmtId="0" fontId="29" fillId="0" borderId="32" xfId="4" applyFont="1" applyBorder="1" applyAlignment="1">
      <alignment horizontal="center" vertical="center" wrapText="1"/>
    </xf>
    <xf numFmtId="0" fontId="30" fillId="0" borderId="33" xfId="4" applyFont="1" applyBorder="1" applyAlignment="1">
      <alignment horizontal="center" vertical="center" shrinkToFit="1"/>
    </xf>
    <xf numFmtId="0" fontId="30" fillId="0" borderId="34" xfId="4" applyFont="1" applyBorder="1" applyAlignment="1">
      <alignment horizontal="center" vertical="center" shrinkToFit="1"/>
    </xf>
    <xf numFmtId="0" fontId="30" fillId="0" borderId="0" xfId="4" applyFont="1" applyAlignment="1">
      <alignment horizontal="center" vertical="center" shrinkToFit="1"/>
    </xf>
    <xf numFmtId="0" fontId="30" fillId="0" borderId="36" xfId="4" applyFont="1" applyBorder="1" applyAlignment="1">
      <alignment horizontal="center" vertical="center" shrinkToFit="1"/>
    </xf>
    <xf numFmtId="0" fontId="30" fillId="0" borderId="32" xfId="4" applyFont="1" applyBorder="1" applyAlignment="1">
      <alignment horizontal="center" vertical="center" shrinkToFit="1"/>
    </xf>
    <xf numFmtId="0" fontId="30" fillId="0" borderId="38" xfId="4" applyFont="1" applyBorder="1" applyAlignment="1">
      <alignment horizontal="center" vertical="center" shrinkToFit="1"/>
    </xf>
    <xf numFmtId="0" fontId="0" fillId="0" borderId="19" xfId="0" applyBorder="1" applyAlignment="1">
      <alignment horizontal="center" vertical="center"/>
    </xf>
    <xf numFmtId="0" fontId="1" fillId="8" borderId="15" xfId="4" applyFill="1" applyBorder="1" applyAlignment="1">
      <alignment horizontal="center" vertical="center" wrapText="1"/>
    </xf>
    <xf numFmtId="0" fontId="2" fillId="8" borderId="13" xfId="4" applyFont="1" applyFill="1" applyBorder="1" applyAlignment="1">
      <alignment horizontal="center" vertical="center" wrapText="1"/>
    </xf>
    <xf numFmtId="0" fontId="2" fillId="8" borderId="14" xfId="4" applyFont="1" applyFill="1" applyBorder="1" applyAlignment="1">
      <alignment horizontal="center" vertical="center" wrapText="1"/>
    </xf>
    <xf numFmtId="0" fontId="2" fillId="8" borderId="17" xfId="4" applyFont="1" applyFill="1" applyBorder="1" applyAlignment="1">
      <alignment horizontal="center" vertical="center" wrapText="1"/>
    </xf>
    <xf numFmtId="0" fontId="3" fillId="0" borderId="22" xfId="2" applyFont="1" applyBorder="1" applyAlignment="1">
      <alignment horizontal="center" vertical="center" shrinkToFit="1"/>
    </xf>
    <xf numFmtId="0" fontId="3" fillId="0" borderId="11" xfId="2" applyFont="1" applyBorder="1" applyAlignment="1">
      <alignment horizontal="center" vertical="center" shrinkToFit="1"/>
    </xf>
    <xf numFmtId="0" fontId="3" fillId="0" borderId="28" xfId="2" applyFont="1" applyBorder="1" applyAlignment="1">
      <alignment horizontal="center" vertical="center" shrinkToFit="1"/>
    </xf>
    <xf numFmtId="0" fontId="3" fillId="0" borderId="0" xfId="2" applyFont="1" applyAlignment="1">
      <alignment horizontal="center" vertical="center" shrinkToFit="1"/>
    </xf>
    <xf numFmtId="0" fontId="3" fillId="0" borderId="23" xfId="2" applyFont="1" applyBorder="1" applyAlignment="1">
      <alignment horizontal="center" vertical="center" shrinkToFit="1"/>
    </xf>
    <xf numFmtId="0" fontId="3" fillId="0" borderId="2" xfId="2" applyFont="1" applyBorder="1" applyAlignment="1">
      <alignment horizontal="center" vertical="center" shrinkToFit="1"/>
    </xf>
    <xf numFmtId="0" fontId="3" fillId="0" borderId="3" xfId="2" applyFont="1" applyBorder="1" applyAlignment="1">
      <alignment horizontal="center" vertical="center" shrinkToFit="1"/>
    </xf>
    <xf numFmtId="0" fontId="3" fillId="0" borderId="29" xfId="2" applyFont="1" applyBorder="1" applyAlignment="1">
      <alignment horizontal="center" vertical="center" shrinkToFit="1"/>
    </xf>
    <xf numFmtId="0" fontId="3" fillId="0" borderId="27" xfId="2" applyFont="1" applyBorder="1" applyAlignment="1">
      <alignment horizontal="center" vertical="center" shrinkToFit="1"/>
    </xf>
    <xf numFmtId="0" fontId="27" fillId="0" borderId="2" xfId="2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 wrapText="1"/>
    </xf>
    <xf numFmtId="0" fontId="4" fillId="3" borderId="26" xfId="2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shrinkToFit="1"/>
    </xf>
    <xf numFmtId="0" fontId="24" fillId="0" borderId="3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2" xfId="0" applyFont="1" applyBorder="1" applyAlignment="1">
      <alignment horizontal="center" vertical="center" shrinkToFit="1"/>
    </xf>
    <xf numFmtId="0" fontId="24" fillId="0" borderId="27" xfId="0" applyFont="1" applyBorder="1" applyAlignment="1">
      <alignment horizontal="center" vertical="center" shrinkToFit="1"/>
    </xf>
    <xf numFmtId="0" fontId="5" fillId="4" borderId="19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6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 shrinkToFit="1"/>
    </xf>
    <xf numFmtId="0" fontId="34" fillId="0" borderId="11" xfId="0" applyFont="1" applyBorder="1" applyAlignment="1">
      <alignment horizontal="center" vertical="center" wrapText="1" shrinkToFit="1"/>
    </xf>
    <xf numFmtId="0" fontId="34" fillId="0" borderId="28" xfId="0" applyFont="1" applyBorder="1" applyAlignment="1">
      <alignment horizontal="center" vertical="center" wrapText="1" shrinkToFit="1"/>
    </xf>
    <xf numFmtId="0" fontId="34" fillId="0" borderId="0" xfId="0" applyFont="1" applyAlignment="1">
      <alignment horizontal="center" vertical="center" wrapText="1" shrinkToFit="1"/>
    </xf>
    <xf numFmtId="0" fontId="34" fillId="0" borderId="23" xfId="0" applyFont="1" applyBorder="1" applyAlignment="1">
      <alignment horizontal="center" vertical="center" wrapText="1" shrinkToFit="1"/>
    </xf>
    <xf numFmtId="0" fontId="34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78" fontId="27" fillId="0" borderId="16" xfId="2" applyNumberFormat="1" applyBorder="1" applyAlignment="1">
      <alignment horizontal="center" vertical="center" wrapText="1"/>
    </xf>
    <xf numFmtId="0" fontId="27" fillId="0" borderId="1" xfId="2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27" fillId="0" borderId="19" xfId="2" applyBorder="1" applyAlignment="1">
      <alignment horizontal="center" vertical="center"/>
    </xf>
    <xf numFmtId="0" fontId="27" fillId="0" borderId="15" xfId="2" applyBorder="1" applyAlignment="1">
      <alignment horizontal="center" vertical="center"/>
    </xf>
    <xf numFmtId="0" fontId="6" fillId="0" borderId="13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0" fontId="25" fillId="0" borderId="22" xfId="2" applyFont="1" applyBorder="1" applyAlignment="1">
      <alignment horizontal="center" vertical="center" shrinkToFit="1"/>
    </xf>
    <xf numFmtId="0" fontId="25" fillId="0" borderId="11" xfId="2" applyFont="1" applyBorder="1" applyAlignment="1">
      <alignment horizontal="center" vertical="center" shrinkToFit="1"/>
    </xf>
    <xf numFmtId="0" fontId="25" fillId="0" borderId="3" xfId="2" applyFont="1" applyBorder="1" applyAlignment="1">
      <alignment horizontal="center" vertical="center" shrinkToFit="1"/>
    </xf>
    <xf numFmtId="0" fontId="25" fillId="0" borderId="28" xfId="2" applyFont="1" applyBorder="1" applyAlignment="1">
      <alignment horizontal="center" vertical="center" shrinkToFit="1"/>
    </xf>
    <xf numFmtId="0" fontId="25" fillId="0" borderId="0" xfId="2" applyFont="1" applyAlignment="1">
      <alignment horizontal="center" vertical="center" shrinkToFit="1"/>
    </xf>
    <xf numFmtId="0" fontId="25" fillId="0" borderId="29" xfId="2" applyFont="1" applyBorder="1" applyAlignment="1">
      <alignment horizontal="center" vertical="center" shrinkToFit="1"/>
    </xf>
    <xf numFmtId="0" fontId="25" fillId="0" borderId="23" xfId="2" applyFont="1" applyBorder="1" applyAlignment="1">
      <alignment horizontal="center" vertical="center" shrinkToFit="1"/>
    </xf>
    <xf numFmtId="0" fontId="25" fillId="0" borderId="2" xfId="2" applyFont="1" applyBorder="1" applyAlignment="1">
      <alignment horizontal="center" vertical="center" shrinkToFit="1"/>
    </xf>
    <xf numFmtId="0" fontId="25" fillId="0" borderId="27" xfId="2" applyFont="1" applyBorder="1" applyAlignment="1">
      <alignment horizontal="center" vertical="center" shrinkToFit="1"/>
    </xf>
    <xf numFmtId="0" fontId="27" fillId="0" borderId="4" xfId="2" applyBorder="1" applyAlignment="1">
      <alignment horizontal="center" vertical="center"/>
    </xf>
    <xf numFmtId="0" fontId="27" fillId="0" borderId="26" xfId="2" applyBorder="1" applyAlignment="1">
      <alignment horizontal="center" vertical="center"/>
    </xf>
    <xf numFmtId="0" fontId="33" fillId="0" borderId="1" xfId="2" applyFont="1" applyBorder="1" applyAlignment="1">
      <alignment horizontal="center" vertical="center" wrapText="1"/>
    </xf>
    <xf numFmtId="178" fontId="5" fillId="0" borderId="16" xfId="2" applyNumberFormat="1" applyFont="1" applyBorder="1" applyAlignment="1">
      <alignment horizontal="center" vertical="center" wrapText="1"/>
    </xf>
    <xf numFmtId="0" fontId="27" fillId="0" borderId="22" xfId="2" applyBorder="1" applyAlignment="1">
      <alignment horizontal="center" vertical="center"/>
    </xf>
    <xf numFmtId="0" fontId="27" fillId="0" borderId="3" xfId="2" applyBorder="1" applyAlignment="1">
      <alignment horizontal="center" vertical="center"/>
    </xf>
    <xf numFmtId="178" fontId="5" fillId="0" borderId="13" xfId="2" applyNumberFormat="1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28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29" xfId="2" applyFont="1" applyBorder="1" applyAlignment="1">
      <alignment horizontal="center" vertical="center" wrapText="1"/>
    </xf>
    <xf numFmtId="0" fontId="33" fillId="0" borderId="1" xfId="2" applyFont="1" applyBorder="1" applyAlignment="1">
      <alignment horizontal="center" vertical="center" wrapText="1" shrinkToFit="1"/>
    </xf>
    <xf numFmtId="0" fontId="25" fillId="0" borderId="22" xfId="2" applyFont="1" applyBorder="1" applyAlignment="1">
      <alignment horizontal="center" vertical="center"/>
    </xf>
    <xf numFmtId="0" fontId="25" fillId="0" borderId="11" xfId="2" applyFont="1" applyBorder="1" applyAlignment="1">
      <alignment horizontal="center" vertical="center"/>
    </xf>
    <xf numFmtId="0" fontId="25" fillId="0" borderId="3" xfId="2" applyFont="1" applyBorder="1" applyAlignment="1">
      <alignment horizontal="center" vertical="center"/>
    </xf>
    <xf numFmtId="0" fontId="25" fillId="0" borderId="28" xfId="2" applyFont="1" applyBorder="1" applyAlignment="1">
      <alignment horizontal="center" vertical="center"/>
    </xf>
    <xf numFmtId="0" fontId="25" fillId="0" borderId="0" xfId="2" applyFont="1" applyAlignment="1">
      <alignment horizontal="center" vertical="center"/>
    </xf>
    <xf numFmtId="0" fontId="25" fillId="0" borderId="29" xfId="2" applyFont="1" applyBorder="1" applyAlignment="1">
      <alignment horizontal="center" vertical="center"/>
    </xf>
    <xf numFmtId="0" fontId="25" fillId="0" borderId="23" xfId="2" applyFont="1" applyBorder="1" applyAlignment="1">
      <alignment horizontal="center" vertical="center"/>
    </xf>
    <xf numFmtId="0" fontId="25" fillId="0" borderId="2" xfId="2" applyFont="1" applyBorder="1" applyAlignment="1">
      <alignment horizontal="center" vertical="center"/>
    </xf>
    <xf numFmtId="0" fontId="25" fillId="0" borderId="27" xfId="2" applyFont="1" applyBorder="1" applyAlignment="1">
      <alignment horizontal="center" vertical="center"/>
    </xf>
    <xf numFmtId="0" fontId="27" fillId="0" borderId="23" xfId="2" applyBorder="1" applyAlignment="1">
      <alignment horizontal="center" vertical="center"/>
    </xf>
    <xf numFmtId="0" fontId="27" fillId="0" borderId="27" xfId="2" applyBorder="1" applyAlignment="1">
      <alignment horizontal="center" vertical="center"/>
    </xf>
    <xf numFmtId="0" fontId="27" fillId="0" borderId="9" xfId="2" applyBorder="1" applyAlignment="1">
      <alignment horizontal="center" vertical="center"/>
    </xf>
    <xf numFmtId="0" fontId="6" fillId="0" borderId="4" xfId="2" applyFont="1" applyBorder="1" applyAlignment="1">
      <alignment horizontal="center" vertical="center" wrapText="1"/>
    </xf>
    <xf numFmtId="0" fontId="6" fillId="0" borderId="25" xfId="2" applyFont="1" applyBorder="1" applyAlignment="1">
      <alignment horizontal="center" vertical="center" wrapText="1"/>
    </xf>
    <xf numFmtId="0" fontId="6" fillId="0" borderId="26" xfId="2" applyFont="1" applyBorder="1" applyAlignment="1">
      <alignment horizontal="center" vertical="center" wrapText="1"/>
    </xf>
    <xf numFmtId="0" fontId="6" fillId="0" borderId="22" xfId="2" applyFont="1" applyBorder="1" applyAlignment="1">
      <alignment horizontal="center" vertical="center" wrapText="1"/>
    </xf>
    <xf numFmtId="41" fontId="27" fillId="0" borderId="16" xfId="2" applyNumberFormat="1" applyBorder="1" applyAlignment="1">
      <alignment horizontal="left" vertical="center" wrapText="1"/>
    </xf>
    <xf numFmtId="0" fontId="27" fillId="0" borderId="16" xfId="2" applyBorder="1" applyAlignment="1">
      <alignment horizontal="left" vertical="center" wrapText="1"/>
    </xf>
    <xf numFmtId="41" fontId="27" fillId="0" borderId="13" xfId="2" applyNumberFormat="1" applyBorder="1" applyAlignment="1">
      <alignment horizontal="left" vertical="center" wrapText="1"/>
    </xf>
    <xf numFmtId="0" fontId="27" fillId="0" borderId="13" xfId="2" applyBorder="1" applyAlignment="1">
      <alignment horizontal="left" vertical="center" wrapText="1"/>
    </xf>
    <xf numFmtId="0" fontId="0" fillId="5" borderId="4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177" fontId="0" fillId="2" borderId="31" xfId="0" applyNumberFormat="1" applyFill="1" applyBorder="1" applyAlignment="1">
      <alignment horizontal="center" vertical="center" wrapText="1"/>
    </xf>
    <xf numFmtId="177" fontId="0" fillId="2" borderId="25" xfId="0" applyNumberFormat="1" applyFill="1" applyBorder="1" applyAlignment="1">
      <alignment horizontal="center" vertical="center" wrapText="1"/>
    </xf>
    <xf numFmtId="177" fontId="0" fillId="2" borderId="26" xfId="0" applyNumberForma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3" fillId="0" borderId="22" xfId="0" applyFont="1" applyBorder="1" applyAlignment="1">
      <alignment horizontal="center" vertical="center" wrapText="1" shrinkToFit="1"/>
    </xf>
    <xf numFmtId="0" fontId="33" fillId="0" borderId="11" xfId="0" applyFont="1" applyBorder="1" applyAlignment="1">
      <alignment horizontal="center" vertical="center" wrapText="1" shrinkToFit="1"/>
    </xf>
    <xf numFmtId="0" fontId="33" fillId="0" borderId="3" xfId="0" applyFont="1" applyBorder="1" applyAlignment="1">
      <alignment horizontal="center" vertical="center" wrapText="1" shrinkToFit="1"/>
    </xf>
    <xf numFmtId="0" fontId="33" fillId="0" borderId="23" xfId="0" applyFont="1" applyBorder="1" applyAlignment="1">
      <alignment horizontal="center" vertical="center" wrapText="1" shrinkToFit="1"/>
    </xf>
    <xf numFmtId="0" fontId="33" fillId="0" borderId="2" xfId="0" applyFont="1" applyBorder="1" applyAlignment="1">
      <alignment horizontal="center" vertical="center" wrapText="1" shrinkToFit="1"/>
    </xf>
    <xf numFmtId="0" fontId="33" fillId="0" borderId="27" xfId="0" applyFont="1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16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6" fillId="9" borderId="17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590549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" y="200025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514350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9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33"/>
  <sheetViews>
    <sheetView view="pageBreakPreview" zoomScale="120" zoomScaleNormal="120" zoomScaleSheetLayoutView="120" workbookViewId="0">
      <pane ySplit="8" topLeftCell="A9" activePane="bottomLeft" state="frozen"/>
      <selection pane="bottomLeft" activeCell="Q9" sqref="Q9:Q33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1" t="s">
        <v>77</v>
      </c>
      <c r="B1" s="125"/>
      <c r="C1" s="125"/>
      <c r="D1" s="130" t="str">
        <f>R2</f>
        <v>26.06.08 행복산업_덕신건업_롯데건설_인천효성구역 도시개발사업 공동주택(4BL)</v>
      </c>
      <c r="E1" s="130"/>
      <c r="F1" s="130"/>
      <c r="G1" s="131"/>
      <c r="R1" s="8" t="s">
        <v>70</v>
      </c>
    </row>
    <row r="2" spans="1:18" ht="16.5" customHeight="1">
      <c r="A2" s="126"/>
      <c r="B2" s="127"/>
      <c r="C2" s="127"/>
      <c r="D2" s="132"/>
      <c r="E2" s="132"/>
      <c r="F2" s="132"/>
      <c r="G2" s="133"/>
      <c r="R2" s="85" t="s">
        <v>139</v>
      </c>
    </row>
    <row r="3" spans="1:18" ht="16.5" customHeight="1">
      <c r="A3" s="126"/>
      <c r="B3" s="127"/>
      <c r="C3" s="127"/>
      <c r="D3" s="132"/>
      <c r="E3" s="132"/>
      <c r="F3" s="132"/>
      <c r="G3" s="133"/>
    </row>
    <row r="4" spans="1:18" ht="17.25" customHeight="1" thickBot="1">
      <c r="A4" s="128"/>
      <c r="B4" s="129"/>
      <c r="C4" s="129"/>
      <c r="D4" s="134"/>
      <c r="E4" s="134"/>
      <c r="F4" s="134"/>
      <c r="G4" s="135"/>
    </row>
    <row r="5" spans="1:18" ht="6.75" customHeight="1" thickTop="1">
      <c r="A5" s="86"/>
      <c r="B5" s="86"/>
      <c r="C5" s="86"/>
      <c r="D5" s="86"/>
      <c r="E5" s="86"/>
      <c r="F5" s="86"/>
      <c r="G5" s="86"/>
    </row>
    <row r="6" spans="1:18" s="10" customFormat="1" ht="18" customHeight="1" thickBot="1">
      <c r="A6" s="136" t="s">
        <v>1</v>
      </c>
      <c r="B6" s="138" t="s">
        <v>69</v>
      </c>
      <c r="C6" s="138" t="s">
        <v>4</v>
      </c>
      <c r="D6" s="138"/>
      <c r="E6" s="138" t="s">
        <v>42</v>
      </c>
      <c r="F6" s="138" t="s">
        <v>39</v>
      </c>
      <c r="G6" s="139" t="s">
        <v>18</v>
      </c>
      <c r="H6" s="9"/>
      <c r="I6" s="123" t="s">
        <v>10</v>
      </c>
      <c r="J6" s="123"/>
      <c r="K6" s="123"/>
      <c r="L6" s="123"/>
      <c r="M6" s="123"/>
      <c r="N6" s="123"/>
      <c r="O6" s="8"/>
    </row>
    <row r="7" spans="1:18" s="10" customFormat="1" ht="18" customHeight="1">
      <c r="A7" s="137"/>
      <c r="B7" s="124"/>
      <c r="C7" s="124" t="s">
        <v>66</v>
      </c>
      <c r="D7" s="124" t="s">
        <v>64</v>
      </c>
      <c r="E7" s="124"/>
      <c r="F7" s="124"/>
      <c r="G7" s="140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37"/>
      <c r="B8" s="124"/>
      <c r="C8" s="124"/>
      <c r="D8" s="124"/>
      <c r="E8" s="124"/>
      <c r="F8" s="124"/>
      <c r="G8" s="140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105" t="s">
        <v>111</v>
      </c>
      <c r="B9" s="60" t="s">
        <v>49</v>
      </c>
      <c r="C9" s="32">
        <v>1100</v>
      </c>
      <c r="D9" s="32">
        <v>450</v>
      </c>
      <c r="E9" s="87"/>
      <c r="F9" s="87"/>
      <c r="G9" s="88" t="s">
        <v>102</v>
      </c>
      <c r="H9" s="13"/>
      <c r="I9" s="26"/>
      <c r="J9" s="25"/>
      <c r="K9" s="20"/>
      <c r="L9" s="21"/>
      <c r="M9" s="22"/>
      <c r="N9" s="25"/>
      <c r="O9" s="8"/>
      <c r="Q9" s="10" t="s">
        <v>114</v>
      </c>
    </row>
    <row r="10" spans="1:18" s="10" customFormat="1" ht="16.5">
      <c r="A10" s="105" t="s">
        <v>112</v>
      </c>
      <c r="B10" s="61" t="s">
        <v>48</v>
      </c>
      <c r="C10" s="32">
        <v>750</v>
      </c>
      <c r="D10" s="32">
        <v>900</v>
      </c>
      <c r="E10" s="72"/>
      <c r="F10" s="87"/>
      <c r="G10" s="88" t="s">
        <v>103</v>
      </c>
      <c r="H10" s="13"/>
      <c r="I10" s="7"/>
      <c r="J10" s="7"/>
      <c r="K10" s="20"/>
      <c r="L10" s="21"/>
      <c r="M10" s="22"/>
      <c r="N10" s="7"/>
      <c r="O10" s="8"/>
      <c r="Q10" s="10" t="s">
        <v>115</v>
      </c>
    </row>
    <row r="11" spans="1:18" s="10" customFormat="1" ht="16.5">
      <c r="A11" s="105" t="s">
        <v>113</v>
      </c>
      <c r="B11" s="61" t="s">
        <v>48</v>
      </c>
      <c r="C11" s="32">
        <v>750</v>
      </c>
      <c r="D11" s="32">
        <v>900</v>
      </c>
      <c r="E11" s="72"/>
      <c r="F11" s="87"/>
      <c r="G11" s="88" t="s">
        <v>103</v>
      </c>
      <c r="H11" s="13"/>
      <c r="I11" s="7"/>
      <c r="J11" s="7"/>
      <c r="K11" s="19"/>
      <c r="L11" s="19"/>
      <c r="M11" s="19"/>
      <c r="N11" s="7"/>
      <c r="O11" s="8"/>
      <c r="Q11" s="10" t="s">
        <v>116</v>
      </c>
    </row>
    <row r="12" spans="1:18" s="10" customFormat="1" ht="17.25" thickBot="1">
      <c r="A12" s="105" t="s">
        <v>79</v>
      </c>
      <c r="B12" s="61" t="s">
        <v>48</v>
      </c>
      <c r="C12" s="32">
        <v>750</v>
      </c>
      <c r="D12" s="32">
        <v>900</v>
      </c>
      <c r="E12" s="87"/>
      <c r="F12" s="87"/>
      <c r="G12" s="88" t="s">
        <v>103</v>
      </c>
      <c r="H12" s="13"/>
      <c r="I12" s="1"/>
      <c r="J12" s="121"/>
      <c r="K12" s="122"/>
      <c r="L12" s="8"/>
      <c r="M12" s="1"/>
      <c r="N12" s="121"/>
      <c r="O12" s="122"/>
      <c r="Q12" s="10" t="s">
        <v>117</v>
      </c>
    </row>
    <row r="13" spans="1:18" s="10" customFormat="1" ht="16.5">
      <c r="A13" s="105" t="s">
        <v>80</v>
      </c>
      <c r="B13" s="61" t="s">
        <v>48</v>
      </c>
      <c r="C13" s="32">
        <v>750</v>
      </c>
      <c r="D13" s="32">
        <v>900</v>
      </c>
      <c r="E13" s="72"/>
      <c r="F13" s="87"/>
      <c r="G13" s="88" t="s">
        <v>103</v>
      </c>
      <c r="H13" s="13"/>
      <c r="I13" s="7"/>
      <c r="J13" s="7"/>
      <c r="K13" s="20"/>
      <c r="L13" s="21"/>
      <c r="M13" s="22"/>
      <c r="N13" s="7"/>
      <c r="O13" s="8"/>
      <c r="Q13" s="10" t="s">
        <v>118</v>
      </c>
    </row>
    <row r="14" spans="1:18" s="10" customFormat="1" ht="16.5">
      <c r="A14" s="105" t="s">
        <v>81</v>
      </c>
      <c r="B14" s="61" t="s">
        <v>48</v>
      </c>
      <c r="C14" s="32">
        <v>750</v>
      </c>
      <c r="D14" s="32">
        <v>950</v>
      </c>
      <c r="E14" s="72"/>
      <c r="F14" s="87"/>
      <c r="G14" s="88" t="s">
        <v>104</v>
      </c>
      <c r="H14" s="13"/>
      <c r="I14" s="7"/>
      <c r="J14" s="7"/>
      <c r="K14" s="19"/>
      <c r="L14" s="19"/>
      <c r="M14" s="19"/>
      <c r="N14" s="7"/>
      <c r="O14" s="8"/>
      <c r="Q14" s="10" t="s">
        <v>119</v>
      </c>
    </row>
    <row r="15" spans="1:18" s="10" customFormat="1" ht="17.25" thickBot="1">
      <c r="A15" s="105" t="s">
        <v>82</v>
      </c>
      <c r="B15" s="61" t="s">
        <v>48</v>
      </c>
      <c r="C15" s="32">
        <v>750</v>
      </c>
      <c r="D15" s="32">
        <v>950</v>
      </c>
      <c r="E15" s="87"/>
      <c r="F15" s="87"/>
      <c r="G15" s="88" t="s">
        <v>104</v>
      </c>
      <c r="H15" s="13"/>
      <c r="I15" s="1"/>
      <c r="J15" s="121"/>
      <c r="K15" s="122"/>
      <c r="L15" s="8"/>
      <c r="M15" s="1"/>
      <c r="N15" s="121"/>
      <c r="O15" s="122"/>
      <c r="Q15" s="10" t="s">
        <v>120</v>
      </c>
    </row>
    <row r="16" spans="1:18" s="10" customFormat="1" ht="16.5">
      <c r="A16" s="105" t="s">
        <v>83</v>
      </c>
      <c r="B16" s="61" t="s">
        <v>48</v>
      </c>
      <c r="C16" s="32">
        <v>750</v>
      </c>
      <c r="D16" s="32">
        <v>950</v>
      </c>
      <c r="E16" s="72"/>
      <c r="F16" s="87"/>
      <c r="G16" s="88" t="s">
        <v>104</v>
      </c>
      <c r="H16" s="13"/>
      <c r="I16" s="7"/>
      <c r="J16" s="7"/>
      <c r="K16" s="20"/>
      <c r="L16" s="21"/>
      <c r="M16" s="22"/>
      <c r="N16" s="7"/>
      <c r="O16" s="8"/>
      <c r="Q16" s="10" t="s">
        <v>121</v>
      </c>
    </row>
    <row r="17" spans="1:17" s="10" customFormat="1" ht="16.5">
      <c r="A17" s="105" t="s">
        <v>84</v>
      </c>
      <c r="B17" s="61" t="s">
        <v>48</v>
      </c>
      <c r="C17" s="32">
        <v>750</v>
      </c>
      <c r="D17" s="32">
        <v>950</v>
      </c>
      <c r="E17" s="72"/>
      <c r="F17" s="87"/>
      <c r="G17" s="88" t="s">
        <v>104</v>
      </c>
      <c r="H17" s="13"/>
      <c r="I17" s="7"/>
      <c r="J17" s="7"/>
      <c r="K17" s="19"/>
      <c r="L17" s="19"/>
      <c r="M17" s="19"/>
      <c r="N17" s="7"/>
      <c r="O17" s="8"/>
      <c r="Q17" s="10" t="s">
        <v>122</v>
      </c>
    </row>
    <row r="18" spans="1:17" s="10" customFormat="1" ht="17.25" thickBot="1">
      <c r="A18" s="105" t="s">
        <v>85</v>
      </c>
      <c r="B18" s="61" t="s">
        <v>48</v>
      </c>
      <c r="C18" s="32">
        <v>750</v>
      </c>
      <c r="D18" s="32">
        <v>950</v>
      </c>
      <c r="E18" s="87"/>
      <c r="F18" s="87"/>
      <c r="G18" s="88" t="s">
        <v>104</v>
      </c>
      <c r="H18" s="13"/>
      <c r="I18" s="1"/>
      <c r="J18" s="121"/>
      <c r="K18" s="122"/>
      <c r="L18" s="8"/>
      <c r="M18" s="1"/>
      <c r="N18" s="121"/>
      <c r="O18" s="122"/>
      <c r="Q18" s="10" t="s">
        <v>123</v>
      </c>
    </row>
    <row r="19" spans="1:17" s="10" customFormat="1" ht="16.5">
      <c r="A19" s="105" t="s">
        <v>86</v>
      </c>
      <c r="B19" s="61" t="s">
        <v>48</v>
      </c>
      <c r="C19" s="32">
        <v>750</v>
      </c>
      <c r="D19" s="32">
        <v>950</v>
      </c>
      <c r="E19" s="72"/>
      <c r="F19" s="87"/>
      <c r="G19" s="88" t="s">
        <v>104</v>
      </c>
      <c r="H19" s="13"/>
      <c r="I19" s="7"/>
      <c r="J19" s="7"/>
      <c r="K19" s="20"/>
      <c r="L19" s="21"/>
      <c r="M19" s="22"/>
      <c r="N19" s="7"/>
      <c r="O19" s="8"/>
      <c r="Q19" s="10" t="s">
        <v>124</v>
      </c>
    </row>
    <row r="20" spans="1:17" s="10" customFormat="1" ht="16.5">
      <c r="A20" s="105" t="s">
        <v>87</v>
      </c>
      <c r="B20" s="61" t="s">
        <v>48</v>
      </c>
      <c r="C20" s="32">
        <v>800</v>
      </c>
      <c r="D20" s="32">
        <v>900</v>
      </c>
      <c r="E20" s="72"/>
      <c r="F20" s="87"/>
      <c r="G20" s="88" t="s">
        <v>105</v>
      </c>
      <c r="H20" s="13"/>
      <c r="I20" s="7"/>
      <c r="J20" s="7"/>
      <c r="K20" s="19"/>
      <c r="L20" s="19"/>
      <c r="M20" s="19"/>
      <c r="N20" s="7"/>
      <c r="O20" s="8"/>
      <c r="Q20" s="10" t="s">
        <v>125</v>
      </c>
    </row>
    <row r="21" spans="1:17" s="10" customFormat="1" ht="17.25" thickBot="1">
      <c r="A21" s="105" t="s">
        <v>88</v>
      </c>
      <c r="B21" s="61" t="s">
        <v>48</v>
      </c>
      <c r="C21" s="32">
        <v>800</v>
      </c>
      <c r="D21" s="32">
        <v>900</v>
      </c>
      <c r="E21" s="87"/>
      <c r="F21" s="87"/>
      <c r="G21" s="88" t="s">
        <v>105</v>
      </c>
      <c r="H21" s="13"/>
      <c r="I21" s="1"/>
      <c r="J21" s="121"/>
      <c r="K21" s="122"/>
      <c r="L21" s="8"/>
      <c r="M21" s="1"/>
      <c r="N21" s="121"/>
      <c r="O21" s="122"/>
      <c r="Q21" s="10" t="s">
        <v>126</v>
      </c>
    </row>
    <row r="22" spans="1:17" s="10" customFormat="1" ht="16.5">
      <c r="A22" s="105" t="s">
        <v>89</v>
      </c>
      <c r="B22" s="61" t="s">
        <v>48</v>
      </c>
      <c r="C22" s="32">
        <v>800</v>
      </c>
      <c r="D22" s="32">
        <v>900</v>
      </c>
      <c r="E22" s="72"/>
      <c r="F22" s="87"/>
      <c r="G22" s="88" t="s">
        <v>105</v>
      </c>
      <c r="H22" s="13"/>
      <c r="I22" s="7"/>
      <c r="J22" s="7"/>
      <c r="K22" s="20"/>
      <c r="L22" s="21"/>
      <c r="M22" s="22"/>
      <c r="N22" s="7"/>
      <c r="O22" s="8"/>
      <c r="Q22" s="10" t="s">
        <v>127</v>
      </c>
    </row>
    <row r="23" spans="1:17" s="10" customFormat="1" ht="16.5">
      <c r="A23" s="105" t="s">
        <v>90</v>
      </c>
      <c r="B23" s="61" t="s">
        <v>48</v>
      </c>
      <c r="C23" s="32">
        <v>800</v>
      </c>
      <c r="D23" s="32">
        <v>1050</v>
      </c>
      <c r="E23" s="72"/>
      <c r="F23" s="87"/>
      <c r="G23" s="88" t="s">
        <v>106</v>
      </c>
      <c r="H23" s="13"/>
      <c r="I23" s="7"/>
      <c r="J23" s="7"/>
      <c r="K23" s="19"/>
      <c r="L23" s="19"/>
      <c r="M23" s="19"/>
      <c r="N23" s="7"/>
      <c r="O23" s="8"/>
      <c r="Q23" s="10" t="s">
        <v>128</v>
      </c>
    </row>
    <row r="24" spans="1:17" s="10" customFormat="1" ht="17.25" thickBot="1">
      <c r="A24" s="105" t="s">
        <v>91</v>
      </c>
      <c r="B24" s="61" t="s">
        <v>48</v>
      </c>
      <c r="C24" s="32">
        <v>800</v>
      </c>
      <c r="D24" s="32">
        <v>1050</v>
      </c>
      <c r="E24" s="87"/>
      <c r="F24" s="87"/>
      <c r="G24" s="88" t="s">
        <v>106</v>
      </c>
      <c r="H24" s="13"/>
      <c r="I24" s="1"/>
      <c r="J24" s="121"/>
      <c r="K24" s="122"/>
      <c r="L24" s="8"/>
      <c r="M24" s="1"/>
      <c r="N24" s="121"/>
      <c r="O24" s="122"/>
      <c r="Q24" s="10" t="s">
        <v>129</v>
      </c>
    </row>
    <row r="25" spans="1:17" s="10" customFormat="1" ht="16.5">
      <c r="A25" s="105" t="s">
        <v>92</v>
      </c>
      <c r="B25" s="61" t="s">
        <v>48</v>
      </c>
      <c r="C25" s="32">
        <v>800</v>
      </c>
      <c r="D25" s="32">
        <v>1050</v>
      </c>
      <c r="E25" s="72"/>
      <c r="F25" s="87"/>
      <c r="G25" s="88" t="s">
        <v>106</v>
      </c>
      <c r="H25" s="13"/>
      <c r="I25" s="7"/>
      <c r="J25" s="7"/>
      <c r="K25" s="20"/>
      <c r="L25" s="21"/>
      <c r="M25" s="22"/>
      <c r="N25" s="7"/>
      <c r="O25" s="8"/>
      <c r="Q25" s="10" t="s">
        <v>130</v>
      </c>
    </row>
    <row r="26" spans="1:17" s="10" customFormat="1" ht="17.25" thickBot="1">
      <c r="A26" s="105" t="s">
        <v>93</v>
      </c>
      <c r="B26" s="61" t="s">
        <v>48</v>
      </c>
      <c r="C26" s="32">
        <v>900</v>
      </c>
      <c r="D26" s="32">
        <v>950</v>
      </c>
      <c r="E26" s="72"/>
      <c r="F26" s="87"/>
      <c r="G26" s="88" t="s">
        <v>107</v>
      </c>
      <c r="H26" s="13"/>
      <c r="I26" s="7"/>
      <c r="J26" s="7"/>
      <c r="K26" s="19"/>
      <c r="L26" s="19"/>
      <c r="M26" s="19"/>
      <c r="N26" s="7"/>
      <c r="O26" s="8"/>
      <c r="Q26" s="10" t="s">
        <v>131</v>
      </c>
    </row>
    <row r="27" spans="1:17" s="10" customFormat="1" ht="17.25" thickBot="1">
      <c r="A27" s="105" t="s">
        <v>94</v>
      </c>
      <c r="B27" s="61" t="s">
        <v>48</v>
      </c>
      <c r="C27" s="32">
        <v>900</v>
      </c>
      <c r="D27" s="32">
        <v>950</v>
      </c>
      <c r="E27" s="87"/>
      <c r="F27" s="87"/>
      <c r="G27" s="88" t="s">
        <v>107</v>
      </c>
      <c r="H27" s="13"/>
      <c r="I27" s="1"/>
      <c r="J27" s="121"/>
      <c r="K27" s="122"/>
      <c r="L27" s="8"/>
      <c r="M27" s="1"/>
      <c r="N27" s="121"/>
      <c r="O27" s="122"/>
      <c r="Q27" s="10" t="s">
        <v>132</v>
      </c>
    </row>
    <row r="28" spans="1:17" s="10" customFormat="1" ht="16.5">
      <c r="A28" s="105" t="s">
        <v>95</v>
      </c>
      <c r="B28" s="61" t="s">
        <v>48</v>
      </c>
      <c r="C28" s="32">
        <v>900</v>
      </c>
      <c r="D28" s="32">
        <v>950</v>
      </c>
      <c r="E28" s="72"/>
      <c r="F28" s="87"/>
      <c r="G28" s="88" t="s">
        <v>107</v>
      </c>
      <c r="H28" s="13"/>
      <c r="I28" s="7"/>
      <c r="J28" s="7"/>
      <c r="K28" s="20"/>
      <c r="L28" s="21"/>
      <c r="M28" s="22"/>
      <c r="N28" s="7"/>
      <c r="O28" s="8"/>
      <c r="Q28" s="10" t="s">
        <v>133</v>
      </c>
    </row>
    <row r="29" spans="1:17" s="10" customFormat="1" ht="16.5">
      <c r="A29" s="105" t="s">
        <v>96</v>
      </c>
      <c r="B29" s="61" t="s">
        <v>48</v>
      </c>
      <c r="C29" s="32">
        <v>1000</v>
      </c>
      <c r="D29" s="32">
        <v>1000</v>
      </c>
      <c r="E29" s="72"/>
      <c r="F29" s="87"/>
      <c r="G29" s="88" t="s">
        <v>108</v>
      </c>
      <c r="H29" s="13"/>
      <c r="I29" s="7"/>
      <c r="J29" s="7"/>
      <c r="K29" s="19"/>
      <c r="L29" s="19"/>
      <c r="M29" s="19"/>
      <c r="N29" s="7"/>
      <c r="O29" s="8"/>
      <c r="Q29" s="10" t="s">
        <v>134</v>
      </c>
    </row>
    <row r="30" spans="1:17" s="10" customFormat="1" ht="17.25" thickBot="1">
      <c r="A30" s="105" t="s">
        <v>97</v>
      </c>
      <c r="B30" s="61" t="s">
        <v>48</v>
      </c>
      <c r="C30" s="32">
        <v>1000</v>
      </c>
      <c r="D30" s="32">
        <v>1000</v>
      </c>
      <c r="E30" s="87"/>
      <c r="F30" s="87"/>
      <c r="G30" s="88" t="s">
        <v>108</v>
      </c>
      <c r="H30" s="13"/>
      <c r="I30" s="1"/>
      <c r="J30" s="121"/>
      <c r="K30" s="122"/>
      <c r="L30" s="8"/>
      <c r="M30" s="1"/>
      <c r="N30" s="121"/>
      <c r="O30" s="122"/>
      <c r="Q30" s="10" t="s">
        <v>135</v>
      </c>
    </row>
    <row r="31" spans="1:17" s="10" customFormat="1" ht="16.5">
      <c r="A31" s="105" t="s">
        <v>98</v>
      </c>
      <c r="B31" s="61" t="s">
        <v>48</v>
      </c>
      <c r="C31" s="32">
        <v>1200</v>
      </c>
      <c r="D31" s="32">
        <v>800</v>
      </c>
      <c r="E31" s="72"/>
      <c r="F31" s="87"/>
      <c r="G31" s="88" t="s">
        <v>109</v>
      </c>
      <c r="H31" s="13"/>
      <c r="I31" s="7"/>
      <c r="J31" s="7"/>
      <c r="K31" s="20"/>
      <c r="L31" s="21"/>
      <c r="M31" s="22"/>
      <c r="N31" s="7"/>
      <c r="O31" s="8"/>
      <c r="Q31" s="10" t="s">
        <v>136</v>
      </c>
    </row>
    <row r="32" spans="1:17" s="10" customFormat="1" ht="16.5">
      <c r="A32" s="105" t="s">
        <v>99</v>
      </c>
      <c r="B32" s="61" t="s">
        <v>48</v>
      </c>
      <c r="C32" s="32">
        <v>1200</v>
      </c>
      <c r="D32" s="32">
        <v>800</v>
      </c>
      <c r="E32" s="72"/>
      <c r="F32" s="87"/>
      <c r="G32" s="88" t="s">
        <v>109</v>
      </c>
      <c r="H32" s="13"/>
      <c r="I32" s="7"/>
      <c r="J32" s="7"/>
      <c r="K32" s="19"/>
      <c r="L32" s="19"/>
      <c r="M32" s="19"/>
      <c r="N32" s="7"/>
      <c r="O32" s="8"/>
      <c r="Q32" s="10" t="s">
        <v>137</v>
      </c>
    </row>
    <row r="33" spans="1:17" s="10" customFormat="1" ht="16.5">
      <c r="A33" s="105" t="s">
        <v>100</v>
      </c>
      <c r="B33" s="61" t="s">
        <v>48</v>
      </c>
      <c r="C33" s="32">
        <v>1300</v>
      </c>
      <c r="D33" s="32">
        <v>800</v>
      </c>
      <c r="E33" s="87"/>
      <c r="F33" s="87"/>
      <c r="G33" s="88" t="s">
        <v>110</v>
      </c>
      <c r="H33" s="13"/>
      <c r="I33" s="1"/>
      <c r="J33" s="121"/>
      <c r="K33" s="122"/>
      <c r="L33" s="8"/>
      <c r="M33" s="1"/>
      <c r="N33" s="121"/>
      <c r="O33" s="122"/>
      <c r="Q33" s="10" t="s">
        <v>138</v>
      </c>
    </row>
  </sheetData>
  <mergeCells count="27">
    <mergeCell ref="A1:C4"/>
    <mergeCell ref="D1:G4"/>
    <mergeCell ref="A6:A8"/>
    <mergeCell ref="B6:B8"/>
    <mergeCell ref="C6:D6"/>
    <mergeCell ref="E6:E8"/>
    <mergeCell ref="F6:F8"/>
    <mergeCell ref="G6:G8"/>
    <mergeCell ref="I6:N6"/>
    <mergeCell ref="C7:C8"/>
    <mergeCell ref="D7:D8"/>
    <mergeCell ref="I12:K12"/>
    <mergeCell ref="M12:O12"/>
    <mergeCell ref="I15:K15"/>
    <mergeCell ref="M15:O15"/>
    <mergeCell ref="I18:K18"/>
    <mergeCell ref="M18:O18"/>
    <mergeCell ref="I21:K21"/>
    <mergeCell ref="M21:O21"/>
    <mergeCell ref="I33:K33"/>
    <mergeCell ref="M33:O33"/>
    <mergeCell ref="I24:K24"/>
    <mergeCell ref="M24:O24"/>
    <mergeCell ref="I27:K27"/>
    <mergeCell ref="M27:O27"/>
    <mergeCell ref="I30:K30"/>
    <mergeCell ref="M30:O30"/>
  </mergeCells>
  <phoneticPr fontId="28" type="noConversion"/>
  <pageMargins left="0.23597222566604614" right="0.23597222566604614" top="0.74750000238418579" bottom="0.74750000238418579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12"/>
  <sheetViews>
    <sheetView zoomScaleNormal="100" zoomScaleSheetLayoutView="100" workbookViewId="0">
      <selection activeCell="G19" sqref="G19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1"/>
      <c r="B1" s="1"/>
      <c r="C1" s="1"/>
      <c r="D1" s="1"/>
      <c r="E1" s="141" t="s">
        <v>72</v>
      </c>
      <c r="F1" s="142"/>
      <c r="G1" s="142"/>
      <c r="H1" s="142" t="str">
        <f>'1. 소켓인수검사'!R2</f>
        <v>26.06.08 행복산업_덕신건업_롯데건설_인천효성구역 도시개발사업 공동주택(4BL)</v>
      </c>
      <c r="I1" s="142"/>
      <c r="J1" s="142"/>
      <c r="K1" s="142"/>
      <c r="L1" s="142"/>
      <c r="M1" s="142"/>
      <c r="N1" s="142"/>
      <c r="O1" s="147"/>
    </row>
    <row r="2" spans="1:15" ht="16.5" customHeight="1">
      <c r="A2" s="1"/>
      <c r="B2" s="1"/>
      <c r="C2" s="1"/>
      <c r="D2" s="1"/>
      <c r="E2" s="143"/>
      <c r="F2" s="144"/>
      <c r="G2" s="144"/>
      <c r="H2" s="144"/>
      <c r="I2" s="144"/>
      <c r="J2" s="144"/>
      <c r="K2" s="144"/>
      <c r="L2" s="144"/>
      <c r="M2" s="144"/>
      <c r="N2" s="144"/>
      <c r="O2" s="148"/>
    </row>
    <row r="3" spans="1:15" ht="16.5" customHeight="1">
      <c r="A3" s="1"/>
      <c r="B3" s="1"/>
      <c r="C3" s="1"/>
      <c r="D3" s="1"/>
      <c r="E3" s="145"/>
      <c r="F3" s="146"/>
      <c r="G3" s="146"/>
      <c r="H3" s="146"/>
      <c r="I3" s="146"/>
      <c r="J3" s="146"/>
      <c r="K3" s="146"/>
      <c r="L3" s="146"/>
      <c r="M3" s="146"/>
      <c r="N3" s="146"/>
      <c r="O3" s="149"/>
    </row>
    <row r="4" spans="1:15" ht="8.1" customHeight="1">
      <c r="A4" s="150"/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</row>
    <row r="5" spans="1:15" ht="26.45" customHeight="1">
      <c r="A5" s="151" t="s">
        <v>59</v>
      </c>
      <c r="B5" s="152" t="s">
        <v>69</v>
      </c>
      <c r="C5" s="155" t="s">
        <v>4</v>
      </c>
      <c r="D5" s="155"/>
      <c r="E5" s="155" t="s">
        <v>25</v>
      </c>
      <c r="F5" s="156" t="s">
        <v>57</v>
      </c>
      <c r="G5" s="159" t="s">
        <v>21</v>
      </c>
      <c r="H5" s="160"/>
      <c r="I5" s="160"/>
      <c r="J5" s="161"/>
      <c r="K5" s="159" t="s">
        <v>35</v>
      </c>
      <c r="L5" s="160"/>
      <c r="M5" s="160"/>
      <c r="N5" s="160"/>
      <c r="O5" s="156" t="s">
        <v>2</v>
      </c>
    </row>
    <row r="6" spans="1:15" ht="16.5" customHeight="1">
      <c r="A6" s="151"/>
      <c r="B6" s="153"/>
      <c r="C6" s="155" t="s">
        <v>66</v>
      </c>
      <c r="D6" s="155" t="s">
        <v>64</v>
      </c>
      <c r="E6" s="155"/>
      <c r="F6" s="157"/>
      <c r="G6" s="155" t="s">
        <v>66</v>
      </c>
      <c r="H6" s="155"/>
      <c r="I6" s="155" t="s">
        <v>64</v>
      </c>
      <c r="J6" s="155"/>
      <c r="K6" s="155" t="s">
        <v>68</v>
      </c>
      <c r="L6" s="155"/>
      <c r="M6" s="159" t="s">
        <v>65</v>
      </c>
      <c r="N6" s="160"/>
      <c r="O6" s="157"/>
    </row>
    <row r="7" spans="1:15">
      <c r="A7" s="151"/>
      <c r="B7" s="154"/>
      <c r="C7" s="155"/>
      <c r="D7" s="155"/>
      <c r="E7" s="155"/>
      <c r="F7" s="158"/>
      <c r="G7" s="107" t="s">
        <v>4</v>
      </c>
      <c r="H7" s="107" t="s">
        <v>32</v>
      </c>
      <c r="I7" s="110" t="s">
        <v>4</v>
      </c>
      <c r="J7" s="109" t="s">
        <v>32</v>
      </c>
      <c r="K7" s="107" t="s">
        <v>4</v>
      </c>
      <c r="L7" s="107" t="s">
        <v>57</v>
      </c>
      <c r="M7" s="107" t="s">
        <v>4</v>
      </c>
      <c r="N7" s="108" t="s">
        <v>57</v>
      </c>
      <c r="O7" s="158"/>
    </row>
    <row r="8" spans="1:15">
      <c r="A8" s="111" t="str">
        <f>'1. 소켓인수검사'!A9</f>
        <v>01</v>
      </c>
      <c r="B8" s="116" t="s">
        <v>49</v>
      </c>
      <c r="C8" s="68">
        <f>'1. 소켓인수검사'!C9</f>
        <v>1100</v>
      </c>
      <c r="D8" s="68">
        <f>'1. 소켓인수검사'!D9</f>
        <v>450</v>
      </c>
      <c r="E8" s="39"/>
      <c r="F8" s="68">
        <v>1</v>
      </c>
      <c r="G8" s="112">
        <f t="shared" ref="G8" si="0">C8-5</f>
        <v>1095</v>
      </c>
      <c r="H8" s="68">
        <f t="shared" ref="H8" si="1">F8*4</f>
        <v>4</v>
      </c>
      <c r="I8" s="113">
        <f t="shared" ref="I8" si="2">D8-30</f>
        <v>420</v>
      </c>
      <c r="J8" s="68">
        <f t="shared" ref="J8" si="3">F8*4</f>
        <v>4</v>
      </c>
      <c r="K8" s="114">
        <f t="shared" ref="K8" si="4">C8+60</f>
        <v>1160</v>
      </c>
      <c r="L8" s="68">
        <v>2</v>
      </c>
      <c r="M8" s="114">
        <f t="shared" ref="M8" si="5">D8</f>
        <v>450</v>
      </c>
      <c r="N8" s="68">
        <v>2</v>
      </c>
      <c r="O8" s="115"/>
    </row>
    <row r="9" spans="1:15" ht="8.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 t="s">
        <v>46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</sheetData>
  <mergeCells count="21">
    <mergeCell ref="A9:O9"/>
    <mergeCell ref="A10:C12"/>
    <mergeCell ref="D10:O12"/>
    <mergeCell ref="K5:N5"/>
    <mergeCell ref="O5:O7"/>
    <mergeCell ref="C6:C7"/>
    <mergeCell ref="D6:D7"/>
    <mergeCell ref="G6:H6"/>
    <mergeCell ref="I6:J6"/>
    <mergeCell ref="K6:L6"/>
    <mergeCell ref="M6:N6"/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</mergeCells>
  <phoneticPr fontId="28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O39"/>
  <sheetViews>
    <sheetView tabSelected="1" zoomScaleNormal="100" zoomScaleSheetLayoutView="100" workbookViewId="0">
      <selection activeCell="A32" sqref="A32:XFD77"/>
    </sheetView>
  </sheetViews>
  <sheetFormatPr defaultColWidth="9" defaultRowHeight="16.5"/>
  <cols>
    <col min="1" max="1" width="5.125" bestFit="1" customWidth="1"/>
    <col min="2" max="2" width="6" customWidth="1"/>
    <col min="3" max="4" width="8.125" customWidth="1"/>
    <col min="5" max="5" width="13.875" customWidth="1"/>
    <col min="6" max="6" width="5.125" customWidth="1"/>
    <col min="7" max="7" width="7" style="5" customWidth="1"/>
    <col min="8" max="8" width="7.75" style="5" customWidth="1"/>
    <col min="9" max="9" width="5.25" style="5" bestFit="1" customWidth="1"/>
    <col min="10" max="10" width="8" style="5" customWidth="1"/>
    <col min="11" max="11" width="7.375" customWidth="1"/>
    <col min="12" max="12" width="5.875" customWidth="1"/>
    <col min="13" max="13" width="7.125" customWidth="1"/>
    <col min="14" max="14" width="6.25" customWidth="1"/>
    <col min="15" max="15" width="25.5" customWidth="1"/>
  </cols>
  <sheetData>
    <row r="1" spans="1:15" ht="16.5" customHeight="1">
      <c r="A1" s="1"/>
      <c r="B1" s="1"/>
      <c r="C1" s="1"/>
      <c r="D1" s="1"/>
      <c r="E1" s="174" t="s">
        <v>71</v>
      </c>
      <c r="F1" s="175"/>
      <c r="G1" s="175"/>
      <c r="H1" s="180" t="str">
        <f>'1. 소켓인수검사'!R2</f>
        <v>26.06.08 행복산업_덕신건업_롯데건설_인천효성구역 도시개발사업 공동주택(4BL)</v>
      </c>
      <c r="I1" s="180"/>
      <c r="J1" s="180"/>
      <c r="K1" s="180"/>
      <c r="L1" s="180"/>
      <c r="M1" s="180"/>
      <c r="N1" s="180"/>
      <c r="O1" s="181"/>
    </row>
    <row r="2" spans="1:15" ht="38.25" customHeight="1">
      <c r="A2" s="1"/>
      <c r="B2" s="1"/>
      <c r="C2" s="1"/>
      <c r="D2" s="1"/>
      <c r="E2" s="176"/>
      <c r="F2" s="177"/>
      <c r="G2" s="177"/>
      <c r="H2" s="182"/>
      <c r="I2" s="182"/>
      <c r="J2" s="182"/>
      <c r="K2" s="182"/>
      <c r="L2" s="182"/>
      <c r="M2" s="182"/>
      <c r="N2" s="182"/>
      <c r="O2" s="183"/>
    </row>
    <row r="3" spans="1:15" ht="38.25" customHeight="1">
      <c r="A3" s="1"/>
      <c r="B3" s="1"/>
      <c r="C3" s="1"/>
      <c r="D3" s="1"/>
      <c r="E3" s="178"/>
      <c r="F3" s="179"/>
      <c r="G3" s="179"/>
      <c r="H3" s="184"/>
      <c r="I3" s="184"/>
      <c r="J3" s="184"/>
      <c r="K3" s="184"/>
      <c r="L3" s="184"/>
      <c r="M3" s="184"/>
      <c r="N3" s="184"/>
      <c r="O3" s="185"/>
    </row>
    <row r="4" spans="1:15" ht="8.1" customHeight="1">
      <c r="A4" s="166"/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8"/>
      <c r="O4" s="15"/>
    </row>
    <row r="5" spans="1:15" s="18" customFormat="1" ht="26.45" customHeight="1">
      <c r="A5" s="186" t="s">
        <v>59</v>
      </c>
      <c r="B5" s="188" t="s">
        <v>69</v>
      </c>
      <c r="C5" s="190" t="s">
        <v>4</v>
      </c>
      <c r="D5" s="190"/>
      <c r="E5" s="190" t="s">
        <v>25</v>
      </c>
      <c r="F5" s="190" t="s">
        <v>57</v>
      </c>
      <c r="G5" s="190" t="s">
        <v>21</v>
      </c>
      <c r="H5" s="190"/>
      <c r="I5" s="190"/>
      <c r="J5" s="190"/>
      <c r="K5" s="190" t="s">
        <v>35</v>
      </c>
      <c r="L5" s="190"/>
      <c r="M5" s="190"/>
      <c r="N5" s="190"/>
      <c r="O5" s="191" t="s">
        <v>2</v>
      </c>
    </row>
    <row r="6" spans="1:15" s="18" customFormat="1" ht="16.5" customHeight="1">
      <c r="A6" s="187"/>
      <c r="B6" s="189"/>
      <c r="C6" s="162" t="s">
        <v>66</v>
      </c>
      <c r="D6" s="162" t="s">
        <v>64</v>
      </c>
      <c r="E6" s="162"/>
      <c r="F6" s="162"/>
      <c r="G6" s="193" t="s">
        <v>66</v>
      </c>
      <c r="H6" s="193"/>
      <c r="I6" s="193" t="s">
        <v>64</v>
      </c>
      <c r="J6" s="193"/>
      <c r="K6" s="162" t="s">
        <v>68</v>
      </c>
      <c r="L6" s="162"/>
      <c r="M6" s="162" t="s">
        <v>65</v>
      </c>
      <c r="N6" s="162"/>
      <c r="O6" s="192"/>
    </row>
    <row r="7" spans="1:15" s="18" customFormat="1" ht="16.5" customHeight="1">
      <c r="A7" s="187"/>
      <c r="B7" s="189"/>
      <c r="C7" s="162"/>
      <c r="D7" s="162"/>
      <c r="E7" s="162"/>
      <c r="F7" s="162"/>
      <c r="G7" s="95" t="s">
        <v>4</v>
      </c>
      <c r="H7" s="95" t="s">
        <v>32</v>
      </c>
      <c r="I7" s="95" t="s">
        <v>4</v>
      </c>
      <c r="J7" s="95" t="s">
        <v>32</v>
      </c>
      <c r="K7" s="96" t="s">
        <v>4</v>
      </c>
      <c r="L7" s="96" t="s">
        <v>57</v>
      </c>
      <c r="M7" s="96" t="s">
        <v>4</v>
      </c>
      <c r="N7" s="96" t="s">
        <v>57</v>
      </c>
      <c r="O7" s="192"/>
    </row>
    <row r="8" spans="1:15">
      <c r="A8" s="91" t="str">
        <f>'1. 소켓인수검사'!A10</f>
        <v>02</v>
      </c>
      <c r="B8" s="97" t="s">
        <v>48</v>
      </c>
      <c r="C8" s="38">
        <f>'1. 소켓인수검사'!C10</f>
        <v>750</v>
      </c>
      <c r="D8" s="38">
        <f>'1. 소켓인수검사'!D10</f>
        <v>900</v>
      </c>
      <c r="E8" s="39"/>
      <c r="F8" s="38">
        <v>1</v>
      </c>
      <c r="G8" s="62">
        <f>(C8-30)/2-5</f>
        <v>355</v>
      </c>
      <c r="H8" s="68">
        <f>F8*8*2</f>
        <v>16</v>
      </c>
      <c r="I8" s="106">
        <f>(D8-20)/2-10</f>
        <v>430</v>
      </c>
      <c r="J8" s="68">
        <f>F8*16</f>
        <v>16</v>
      </c>
      <c r="K8" s="63">
        <f t="shared" ref="K8:K11" si="0">C8+60</f>
        <v>810</v>
      </c>
      <c r="L8" s="98">
        <v>4</v>
      </c>
      <c r="M8" s="63">
        <f>D8</f>
        <v>900</v>
      </c>
      <c r="N8" s="98">
        <v>4</v>
      </c>
      <c r="O8" s="58"/>
    </row>
    <row r="9" spans="1:15">
      <c r="A9" s="91" t="str">
        <f>'1. 소켓인수검사'!A11</f>
        <v>03</v>
      </c>
      <c r="B9" s="97" t="s">
        <v>48</v>
      </c>
      <c r="C9" s="38">
        <f>'1. 소켓인수검사'!C11</f>
        <v>750</v>
      </c>
      <c r="D9" s="38">
        <f>'1. 소켓인수검사'!D11</f>
        <v>900</v>
      </c>
      <c r="E9" s="39"/>
      <c r="F9" s="38">
        <v>1</v>
      </c>
      <c r="G9" s="62">
        <f t="shared" ref="G9:G31" si="1">(C9-30)/2-5</f>
        <v>355</v>
      </c>
      <c r="H9" s="68">
        <f>F9*8*2</f>
        <v>16</v>
      </c>
      <c r="I9" s="106">
        <f>(D9-20)/2-10</f>
        <v>430</v>
      </c>
      <c r="J9" s="68">
        <f>F9*16</f>
        <v>16</v>
      </c>
      <c r="K9" s="63">
        <f t="shared" si="0"/>
        <v>810</v>
      </c>
      <c r="L9" s="98">
        <v>4</v>
      </c>
      <c r="M9" s="63">
        <f t="shared" ref="M9:M31" si="2">D9</f>
        <v>900</v>
      </c>
      <c r="N9" s="98">
        <v>4</v>
      </c>
      <c r="O9" s="58"/>
    </row>
    <row r="10" spans="1:15">
      <c r="A10" s="91" t="str">
        <f>'1. 소켓인수검사'!A12</f>
        <v>04</v>
      </c>
      <c r="B10" s="97" t="s">
        <v>48</v>
      </c>
      <c r="C10" s="38">
        <f>'1. 소켓인수검사'!C12</f>
        <v>750</v>
      </c>
      <c r="D10" s="38">
        <f>'1. 소켓인수검사'!D12</f>
        <v>900</v>
      </c>
      <c r="E10" s="39"/>
      <c r="F10" s="38">
        <v>1</v>
      </c>
      <c r="G10" s="62">
        <f t="shared" si="1"/>
        <v>355</v>
      </c>
      <c r="H10" s="68">
        <f t="shared" ref="H10:H11" si="3">F10*8*2</f>
        <v>16</v>
      </c>
      <c r="I10" s="106">
        <f>(D10-20)/2-10</f>
        <v>430</v>
      </c>
      <c r="J10" s="68">
        <f t="shared" ref="J10:J11" si="4">F10*16</f>
        <v>16</v>
      </c>
      <c r="K10" s="63">
        <f t="shared" si="0"/>
        <v>810</v>
      </c>
      <c r="L10" s="98">
        <v>4</v>
      </c>
      <c r="M10" s="63">
        <f t="shared" si="2"/>
        <v>900</v>
      </c>
      <c r="N10" s="98">
        <v>4</v>
      </c>
      <c r="O10" s="58"/>
    </row>
    <row r="11" spans="1:15">
      <c r="A11" s="91" t="str">
        <f>'1. 소켓인수검사'!A13</f>
        <v>05</v>
      </c>
      <c r="B11" s="97" t="s">
        <v>48</v>
      </c>
      <c r="C11" s="38">
        <f>'1. 소켓인수검사'!C13</f>
        <v>750</v>
      </c>
      <c r="D11" s="38">
        <f>'1. 소켓인수검사'!D13</f>
        <v>900</v>
      </c>
      <c r="E11" s="39"/>
      <c r="F11" s="38">
        <v>1</v>
      </c>
      <c r="G11" s="62">
        <f t="shared" si="1"/>
        <v>355</v>
      </c>
      <c r="H11" s="68">
        <f t="shared" si="3"/>
        <v>16</v>
      </c>
      <c r="I11" s="106">
        <f t="shared" ref="I11" si="5">(D11-20)/2-10</f>
        <v>430</v>
      </c>
      <c r="J11" s="68">
        <f t="shared" si="4"/>
        <v>16</v>
      </c>
      <c r="K11" s="63">
        <f t="shared" si="0"/>
        <v>810</v>
      </c>
      <c r="L11" s="98">
        <v>4</v>
      </c>
      <c r="M11" s="63">
        <f t="shared" si="2"/>
        <v>900</v>
      </c>
      <c r="N11" s="98">
        <v>4</v>
      </c>
      <c r="O11" s="58"/>
    </row>
    <row r="12" spans="1:15">
      <c r="A12" s="91" t="str">
        <f>'1. 소켓인수검사'!A14</f>
        <v>06</v>
      </c>
      <c r="B12" s="97" t="s">
        <v>48</v>
      </c>
      <c r="C12" s="38">
        <f>'1. 소켓인수검사'!C14</f>
        <v>750</v>
      </c>
      <c r="D12" s="38">
        <f>'1. 소켓인수검사'!D14</f>
        <v>950</v>
      </c>
      <c r="E12" s="39"/>
      <c r="F12" s="38">
        <v>1</v>
      </c>
      <c r="G12" s="62">
        <f t="shared" si="1"/>
        <v>355</v>
      </c>
      <c r="H12" s="68">
        <f t="shared" ref="H12:H15" si="6">F12*8*2</f>
        <v>16</v>
      </c>
      <c r="I12" s="106">
        <f t="shared" ref="I12:I15" si="7">(D12-20)/2-10</f>
        <v>455</v>
      </c>
      <c r="J12" s="68">
        <f t="shared" ref="J12:J15" si="8">F12*16</f>
        <v>16</v>
      </c>
      <c r="K12" s="63">
        <f t="shared" ref="K12:K31" si="9">C12+60</f>
        <v>810</v>
      </c>
      <c r="L12" s="98">
        <v>4</v>
      </c>
      <c r="M12" s="63">
        <f t="shared" si="2"/>
        <v>950</v>
      </c>
      <c r="N12" s="98">
        <v>4</v>
      </c>
      <c r="O12" s="58"/>
    </row>
    <row r="13" spans="1:15">
      <c r="A13" s="91" t="str">
        <f>'1. 소켓인수검사'!A15</f>
        <v>07</v>
      </c>
      <c r="B13" s="97" t="s">
        <v>48</v>
      </c>
      <c r="C13" s="38">
        <f>'1. 소켓인수검사'!C15</f>
        <v>750</v>
      </c>
      <c r="D13" s="38">
        <f>'1. 소켓인수검사'!D15</f>
        <v>950</v>
      </c>
      <c r="E13" s="39"/>
      <c r="F13" s="38">
        <v>1</v>
      </c>
      <c r="G13" s="62">
        <f t="shared" si="1"/>
        <v>355</v>
      </c>
      <c r="H13" s="68">
        <f t="shared" si="6"/>
        <v>16</v>
      </c>
      <c r="I13" s="106">
        <f t="shared" si="7"/>
        <v>455</v>
      </c>
      <c r="J13" s="68">
        <f t="shared" si="8"/>
        <v>16</v>
      </c>
      <c r="K13" s="63">
        <f t="shared" si="9"/>
        <v>810</v>
      </c>
      <c r="L13" s="98">
        <v>4</v>
      </c>
      <c r="M13" s="63">
        <f t="shared" si="2"/>
        <v>950</v>
      </c>
      <c r="N13" s="98">
        <v>4</v>
      </c>
      <c r="O13" s="58"/>
    </row>
    <row r="14" spans="1:15">
      <c r="A14" s="91" t="str">
        <f>'1. 소켓인수검사'!A16</f>
        <v>08</v>
      </c>
      <c r="B14" s="97" t="s">
        <v>48</v>
      </c>
      <c r="C14" s="38">
        <f>'1. 소켓인수검사'!C16</f>
        <v>750</v>
      </c>
      <c r="D14" s="38">
        <f>'1. 소켓인수검사'!D16</f>
        <v>950</v>
      </c>
      <c r="E14" s="39"/>
      <c r="F14" s="38">
        <v>1</v>
      </c>
      <c r="G14" s="62">
        <f t="shared" si="1"/>
        <v>355</v>
      </c>
      <c r="H14" s="68">
        <f t="shared" si="6"/>
        <v>16</v>
      </c>
      <c r="I14" s="106">
        <f t="shared" si="7"/>
        <v>455</v>
      </c>
      <c r="J14" s="68">
        <f t="shared" si="8"/>
        <v>16</v>
      </c>
      <c r="K14" s="63">
        <f t="shared" si="9"/>
        <v>810</v>
      </c>
      <c r="L14" s="98">
        <v>4</v>
      </c>
      <c r="M14" s="63">
        <f t="shared" si="2"/>
        <v>950</v>
      </c>
      <c r="N14" s="98">
        <v>4</v>
      </c>
      <c r="O14" s="58"/>
    </row>
    <row r="15" spans="1:15">
      <c r="A15" s="91" t="str">
        <f>'1. 소켓인수검사'!A17</f>
        <v>09</v>
      </c>
      <c r="B15" s="97" t="s">
        <v>48</v>
      </c>
      <c r="C15" s="38">
        <f>'1. 소켓인수검사'!C17</f>
        <v>750</v>
      </c>
      <c r="D15" s="38">
        <f>'1. 소켓인수검사'!D17</f>
        <v>950</v>
      </c>
      <c r="E15" s="39"/>
      <c r="F15" s="38">
        <v>1</v>
      </c>
      <c r="G15" s="62">
        <f t="shared" si="1"/>
        <v>355</v>
      </c>
      <c r="H15" s="68">
        <f t="shared" si="6"/>
        <v>16</v>
      </c>
      <c r="I15" s="106">
        <f t="shared" si="7"/>
        <v>455</v>
      </c>
      <c r="J15" s="68">
        <f t="shared" si="8"/>
        <v>16</v>
      </c>
      <c r="K15" s="63">
        <f t="shared" si="9"/>
        <v>810</v>
      </c>
      <c r="L15" s="98">
        <v>4</v>
      </c>
      <c r="M15" s="63">
        <f t="shared" si="2"/>
        <v>950</v>
      </c>
      <c r="N15" s="98">
        <v>4</v>
      </c>
      <c r="O15" s="58"/>
    </row>
    <row r="16" spans="1:15">
      <c r="A16" s="91" t="str">
        <f>'1. 소켓인수검사'!A18</f>
        <v>10</v>
      </c>
      <c r="B16" s="97" t="s">
        <v>48</v>
      </c>
      <c r="C16" s="38">
        <f>'1. 소켓인수검사'!C18</f>
        <v>750</v>
      </c>
      <c r="D16" s="38">
        <f>'1. 소켓인수검사'!D18</f>
        <v>950</v>
      </c>
      <c r="E16" s="39"/>
      <c r="F16" s="38">
        <v>1</v>
      </c>
      <c r="G16" s="62">
        <f t="shared" si="1"/>
        <v>355</v>
      </c>
      <c r="H16" s="68">
        <f>F16*8*2</f>
        <v>16</v>
      </c>
      <c r="I16" s="106">
        <f>(D16-20)/2-10</f>
        <v>455</v>
      </c>
      <c r="J16" s="68">
        <f>F16*16</f>
        <v>16</v>
      </c>
      <c r="K16" s="63">
        <f t="shared" si="9"/>
        <v>810</v>
      </c>
      <c r="L16" s="98">
        <v>4</v>
      </c>
      <c r="M16" s="63">
        <f t="shared" si="2"/>
        <v>950</v>
      </c>
      <c r="N16" s="98">
        <v>4</v>
      </c>
      <c r="O16" s="58"/>
    </row>
    <row r="17" spans="1:15">
      <c r="A17" s="91" t="str">
        <f>'1. 소켓인수검사'!A19</f>
        <v>11</v>
      </c>
      <c r="B17" s="97" t="s">
        <v>48</v>
      </c>
      <c r="C17" s="38">
        <f>'1. 소켓인수검사'!C19</f>
        <v>750</v>
      </c>
      <c r="D17" s="38">
        <f>'1. 소켓인수검사'!D19</f>
        <v>950</v>
      </c>
      <c r="E17" s="39"/>
      <c r="F17" s="38">
        <v>1</v>
      </c>
      <c r="G17" s="62">
        <f t="shared" si="1"/>
        <v>355</v>
      </c>
      <c r="H17" s="68">
        <f>F17*8*2</f>
        <v>16</v>
      </c>
      <c r="I17" s="106">
        <f>(D17-20)/2-10</f>
        <v>455</v>
      </c>
      <c r="J17" s="68">
        <f>F17*16</f>
        <v>16</v>
      </c>
      <c r="K17" s="63">
        <f t="shared" si="9"/>
        <v>810</v>
      </c>
      <c r="L17" s="98">
        <v>4</v>
      </c>
      <c r="M17" s="63">
        <f t="shared" si="2"/>
        <v>950</v>
      </c>
      <c r="N17" s="98">
        <v>4</v>
      </c>
      <c r="O17" s="58"/>
    </row>
    <row r="18" spans="1:15">
      <c r="A18" s="91" t="str">
        <f>'1. 소켓인수검사'!A20</f>
        <v>12</v>
      </c>
      <c r="B18" s="97" t="s">
        <v>48</v>
      </c>
      <c r="C18" s="38">
        <f>'1. 소켓인수검사'!C20</f>
        <v>800</v>
      </c>
      <c r="D18" s="38">
        <f>'1. 소켓인수검사'!D20</f>
        <v>900</v>
      </c>
      <c r="E18" s="39"/>
      <c r="F18" s="38">
        <v>1</v>
      </c>
      <c r="G18" s="62">
        <f t="shared" si="1"/>
        <v>380</v>
      </c>
      <c r="H18" s="68">
        <f t="shared" ref="H18:H22" si="10">F18*8*2</f>
        <v>16</v>
      </c>
      <c r="I18" s="106">
        <f>(D18-20)/2-10</f>
        <v>430</v>
      </c>
      <c r="J18" s="68">
        <f t="shared" ref="J18:J22" si="11">F18*16</f>
        <v>16</v>
      </c>
      <c r="K18" s="63">
        <f t="shared" si="9"/>
        <v>860</v>
      </c>
      <c r="L18" s="98">
        <v>4</v>
      </c>
      <c r="M18" s="63">
        <f t="shared" si="2"/>
        <v>900</v>
      </c>
      <c r="N18" s="98">
        <v>4</v>
      </c>
      <c r="O18" s="58"/>
    </row>
    <row r="19" spans="1:15">
      <c r="A19" s="91" t="str">
        <f>'1. 소켓인수검사'!A21</f>
        <v>13</v>
      </c>
      <c r="B19" s="97" t="s">
        <v>48</v>
      </c>
      <c r="C19" s="38">
        <f>'1. 소켓인수검사'!C21</f>
        <v>800</v>
      </c>
      <c r="D19" s="38">
        <f>'1. 소켓인수검사'!D21</f>
        <v>900</v>
      </c>
      <c r="E19" s="39"/>
      <c r="F19" s="38">
        <v>1</v>
      </c>
      <c r="G19" s="62">
        <f t="shared" si="1"/>
        <v>380</v>
      </c>
      <c r="H19" s="68">
        <f t="shared" si="10"/>
        <v>16</v>
      </c>
      <c r="I19" s="106">
        <f t="shared" ref="I19:I22" si="12">(D19-20)/2-10</f>
        <v>430</v>
      </c>
      <c r="J19" s="68">
        <f t="shared" si="11"/>
        <v>16</v>
      </c>
      <c r="K19" s="63">
        <f t="shared" si="9"/>
        <v>860</v>
      </c>
      <c r="L19" s="98">
        <v>4</v>
      </c>
      <c r="M19" s="63">
        <f t="shared" si="2"/>
        <v>900</v>
      </c>
      <c r="N19" s="98">
        <v>4</v>
      </c>
      <c r="O19" s="58"/>
    </row>
    <row r="20" spans="1:15">
      <c r="A20" s="91" t="str">
        <f>'1. 소켓인수검사'!A22</f>
        <v>14</v>
      </c>
      <c r="B20" s="97" t="s">
        <v>48</v>
      </c>
      <c r="C20" s="38">
        <f>'1. 소켓인수검사'!C22</f>
        <v>800</v>
      </c>
      <c r="D20" s="38">
        <f>'1. 소켓인수검사'!D22</f>
        <v>900</v>
      </c>
      <c r="E20" s="39"/>
      <c r="F20" s="38">
        <v>1</v>
      </c>
      <c r="G20" s="62">
        <f t="shared" si="1"/>
        <v>380</v>
      </c>
      <c r="H20" s="68">
        <f t="shared" si="10"/>
        <v>16</v>
      </c>
      <c r="I20" s="106">
        <f t="shared" si="12"/>
        <v>430</v>
      </c>
      <c r="J20" s="68">
        <f t="shared" si="11"/>
        <v>16</v>
      </c>
      <c r="K20" s="63">
        <f t="shared" si="9"/>
        <v>860</v>
      </c>
      <c r="L20" s="98">
        <v>4</v>
      </c>
      <c r="M20" s="63">
        <f t="shared" si="2"/>
        <v>900</v>
      </c>
      <c r="N20" s="98">
        <v>4</v>
      </c>
      <c r="O20" s="58"/>
    </row>
    <row r="21" spans="1:15">
      <c r="A21" s="91" t="str">
        <f>'1. 소켓인수검사'!A23</f>
        <v>15</v>
      </c>
      <c r="B21" s="97" t="s">
        <v>48</v>
      </c>
      <c r="C21" s="38">
        <f>'1. 소켓인수검사'!C23</f>
        <v>800</v>
      </c>
      <c r="D21" s="38">
        <f>'1. 소켓인수검사'!D23</f>
        <v>1050</v>
      </c>
      <c r="E21" s="39"/>
      <c r="F21" s="38">
        <v>1</v>
      </c>
      <c r="G21" s="62">
        <f t="shared" si="1"/>
        <v>380</v>
      </c>
      <c r="H21" s="68">
        <f t="shared" si="10"/>
        <v>16</v>
      </c>
      <c r="I21" s="106">
        <f t="shared" si="12"/>
        <v>505</v>
      </c>
      <c r="J21" s="68">
        <f t="shared" si="11"/>
        <v>16</v>
      </c>
      <c r="K21" s="63">
        <f t="shared" si="9"/>
        <v>860</v>
      </c>
      <c r="L21" s="98">
        <v>4</v>
      </c>
      <c r="M21" s="63">
        <f t="shared" si="2"/>
        <v>1050</v>
      </c>
      <c r="N21" s="98">
        <v>4</v>
      </c>
      <c r="O21" s="58"/>
    </row>
    <row r="22" spans="1:15">
      <c r="A22" s="91" t="str">
        <f>'1. 소켓인수검사'!A24</f>
        <v>16</v>
      </c>
      <c r="B22" s="97" t="s">
        <v>48</v>
      </c>
      <c r="C22" s="38">
        <f>'1. 소켓인수검사'!C24</f>
        <v>800</v>
      </c>
      <c r="D22" s="38">
        <f>'1. 소켓인수검사'!D24</f>
        <v>1050</v>
      </c>
      <c r="E22" s="39"/>
      <c r="F22" s="38">
        <v>1</v>
      </c>
      <c r="G22" s="62">
        <f t="shared" si="1"/>
        <v>380</v>
      </c>
      <c r="H22" s="68">
        <f t="shared" si="10"/>
        <v>16</v>
      </c>
      <c r="I22" s="106">
        <f t="shared" si="12"/>
        <v>505</v>
      </c>
      <c r="J22" s="68">
        <f t="shared" si="11"/>
        <v>16</v>
      </c>
      <c r="K22" s="63">
        <f t="shared" si="9"/>
        <v>860</v>
      </c>
      <c r="L22" s="98">
        <v>4</v>
      </c>
      <c r="M22" s="63">
        <f t="shared" si="2"/>
        <v>1050</v>
      </c>
      <c r="N22" s="98">
        <v>4</v>
      </c>
      <c r="O22" s="58"/>
    </row>
    <row r="23" spans="1:15">
      <c r="A23" s="91" t="str">
        <f>'1. 소켓인수검사'!A25</f>
        <v>17</v>
      </c>
      <c r="B23" s="97" t="s">
        <v>48</v>
      </c>
      <c r="C23" s="38">
        <f>'1. 소켓인수검사'!C25</f>
        <v>800</v>
      </c>
      <c r="D23" s="38">
        <f>'1. 소켓인수검사'!D25</f>
        <v>1050</v>
      </c>
      <c r="E23" s="39"/>
      <c r="F23" s="38">
        <v>1</v>
      </c>
      <c r="G23" s="62">
        <f t="shared" si="1"/>
        <v>380</v>
      </c>
      <c r="H23" s="68">
        <f>F23*8*2</f>
        <v>16</v>
      </c>
      <c r="I23" s="106">
        <f>(D23-20)/2-10</f>
        <v>505</v>
      </c>
      <c r="J23" s="68">
        <f>F23*16</f>
        <v>16</v>
      </c>
      <c r="K23" s="63">
        <f t="shared" si="9"/>
        <v>860</v>
      </c>
      <c r="L23" s="98">
        <v>4</v>
      </c>
      <c r="M23" s="63">
        <f t="shared" si="2"/>
        <v>1050</v>
      </c>
      <c r="N23" s="98">
        <v>4</v>
      </c>
      <c r="O23" s="58"/>
    </row>
    <row r="24" spans="1:15">
      <c r="A24" s="91" t="str">
        <f>'1. 소켓인수검사'!A26</f>
        <v>18</v>
      </c>
      <c r="B24" s="97" t="s">
        <v>48</v>
      </c>
      <c r="C24" s="38">
        <f>'1. 소켓인수검사'!C26</f>
        <v>900</v>
      </c>
      <c r="D24" s="38">
        <f>'1. 소켓인수검사'!D26</f>
        <v>950</v>
      </c>
      <c r="E24" s="39"/>
      <c r="F24" s="38">
        <v>1</v>
      </c>
      <c r="G24" s="62">
        <f t="shared" si="1"/>
        <v>430</v>
      </c>
      <c r="H24" s="68">
        <f>F24*8*2</f>
        <v>16</v>
      </c>
      <c r="I24" s="106">
        <f>(D24-20)/2-10</f>
        <v>455</v>
      </c>
      <c r="J24" s="68">
        <f>F24*16</f>
        <v>16</v>
      </c>
      <c r="K24" s="63">
        <f t="shared" si="9"/>
        <v>960</v>
      </c>
      <c r="L24" s="98">
        <v>4</v>
      </c>
      <c r="M24" s="63">
        <f t="shared" si="2"/>
        <v>950</v>
      </c>
      <c r="N24" s="98">
        <v>4</v>
      </c>
      <c r="O24" s="58"/>
    </row>
    <row r="25" spans="1:15">
      <c r="A25" s="91" t="str">
        <f>'1. 소켓인수검사'!A27</f>
        <v>19</v>
      </c>
      <c r="B25" s="97" t="s">
        <v>48</v>
      </c>
      <c r="C25" s="38">
        <f>'1. 소켓인수검사'!C27</f>
        <v>900</v>
      </c>
      <c r="D25" s="38">
        <f>'1. 소켓인수검사'!D27</f>
        <v>950</v>
      </c>
      <c r="E25" s="39"/>
      <c r="F25" s="38">
        <v>1</v>
      </c>
      <c r="G25" s="62">
        <f t="shared" si="1"/>
        <v>430</v>
      </c>
      <c r="H25" s="68">
        <f t="shared" ref="H25:H31" si="13">F25*8*2</f>
        <v>16</v>
      </c>
      <c r="I25" s="106">
        <f>(D25-20)/2-10</f>
        <v>455</v>
      </c>
      <c r="J25" s="68">
        <f t="shared" ref="J25:J31" si="14">F25*16</f>
        <v>16</v>
      </c>
      <c r="K25" s="63">
        <f t="shared" si="9"/>
        <v>960</v>
      </c>
      <c r="L25" s="98">
        <v>4</v>
      </c>
      <c r="M25" s="63">
        <f t="shared" si="2"/>
        <v>950</v>
      </c>
      <c r="N25" s="98">
        <v>4</v>
      </c>
      <c r="O25" s="58"/>
    </row>
    <row r="26" spans="1:15">
      <c r="A26" s="91" t="str">
        <f>'1. 소켓인수검사'!A28</f>
        <v>20</v>
      </c>
      <c r="B26" s="97" t="s">
        <v>48</v>
      </c>
      <c r="C26" s="38">
        <f>'1. 소켓인수검사'!C28</f>
        <v>900</v>
      </c>
      <c r="D26" s="38">
        <f>'1. 소켓인수검사'!D28</f>
        <v>950</v>
      </c>
      <c r="E26" s="39"/>
      <c r="F26" s="38">
        <v>1</v>
      </c>
      <c r="G26" s="62">
        <f t="shared" si="1"/>
        <v>430</v>
      </c>
      <c r="H26" s="68">
        <f t="shared" si="13"/>
        <v>16</v>
      </c>
      <c r="I26" s="106">
        <f t="shared" ref="I26:I31" si="15">(D26-20)/2-10</f>
        <v>455</v>
      </c>
      <c r="J26" s="68">
        <f t="shared" si="14"/>
        <v>16</v>
      </c>
      <c r="K26" s="63">
        <f t="shared" si="9"/>
        <v>960</v>
      </c>
      <c r="L26" s="98">
        <v>4</v>
      </c>
      <c r="M26" s="63">
        <f t="shared" si="2"/>
        <v>950</v>
      </c>
      <c r="N26" s="98">
        <v>4</v>
      </c>
      <c r="O26" s="58"/>
    </row>
    <row r="27" spans="1:15">
      <c r="A27" s="91" t="str">
        <f>'1. 소켓인수검사'!A29</f>
        <v>21</v>
      </c>
      <c r="B27" s="97" t="s">
        <v>48</v>
      </c>
      <c r="C27" s="38">
        <f>'1. 소켓인수검사'!C29</f>
        <v>1000</v>
      </c>
      <c r="D27" s="38">
        <f>'1. 소켓인수검사'!D29</f>
        <v>1000</v>
      </c>
      <c r="E27" s="39"/>
      <c r="F27" s="38">
        <v>1</v>
      </c>
      <c r="G27" s="62">
        <f t="shared" si="1"/>
        <v>480</v>
      </c>
      <c r="H27" s="68">
        <f t="shared" si="13"/>
        <v>16</v>
      </c>
      <c r="I27" s="106">
        <f t="shared" si="15"/>
        <v>480</v>
      </c>
      <c r="J27" s="68">
        <f t="shared" si="14"/>
        <v>16</v>
      </c>
      <c r="K27" s="63">
        <f t="shared" si="9"/>
        <v>1060</v>
      </c>
      <c r="L27" s="98">
        <v>4</v>
      </c>
      <c r="M27" s="63">
        <f t="shared" si="2"/>
        <v>1000</v>
      </c>
      <c r="N27" s="98">
        <v>4</v>
      </c>
      <c r="O27" s="58"/>
    </row>
    <row r="28" spans="1:15">
      <c r="A28" s="91" t="str">
        <f>'1. 소켓인수검사'!A30</f>
        <v>22</v>
      </c>
      <c r="B28" s="97" t="s">
        <v>48</v>
      </c>
      <c r="C28" s="38">
        <f>'1. 소켓인수검사'!C30</f>
        <v>1000</v>
      </c>
      <c r="D28" s="38">
        <f>'1. 소켓인수검사'!D30</f>
        <v>1000</v>
      </c>
      <c r="E28" s="39"/>
      <c r="F28" s="38">
        <v>1</v>
      </c>
      <c r="G28" s="62">
        <f t="shared" si="1"/>
        <v>480</v>
      </c>
      <c r="H28" s="68">
        <f t="shared" si="13"/>
        <v>16</v>
      </c>
      <c r="I28" s="106">
        <f t="shared" si="15"/>
        <v>480</v>
      </c>
      <c r="J28" s="68">
        <f t="shared" si="14"/>
        <v>16</v>
      </c>
      <c r="K28" s="63">
        <f t="shared" si="9"/>
        <v>1060</v>
      </c>
      <c r="L28" s="98">
        <v>4</v>
      </c>
      <c r="M28" s="63">
        <f t="shared" si="2"/>
        <v>1000</v>
      </c>
      <c r="N28" s="98">
        <v>4</v>
      </c>
      <c r="O28" s="58"/>
    </row>
    <row r="29" spans="1:15">
      <c r="A29" s="91" t="str">
        <f>'1. 소켓인수검사'!A31</f>
        <v>23</v>
      </c>
      <c r="B29" s="97" t="s">
        <v>48</v>
      </c>
      <c r="C29" s="38">
        <f>'1. 소켓인수검사'!C31</f>
        <v>1200</v>
      </c>
      <c r="D29" s="38">
        <f>'1. 소켓인수검사'!D31</f>
        <v>800</v>
      </c>
      <c r="E29" s="39"/>
      <c r="F29" s="38">
        <v>1</v>
      </c>
      <c r="G29" s="62">
        <f t="shared" si="1"/>
        <v>580</v>
      </c>
      <c r="H29" s="68">
        <f t="shared" si="13"/>
        <v>16</v>
      </c>
      <c r="I29" s="106">
        <f t="shared" si="15"/>
        <v>380</v>
      </c>
      <c r="J29" s="68">
        <f t="shared" si="14"/>
        <v>16</v>
      </c>
      <c r="K29" s="63">
        <f t="shared" si="9"/>
        <v>1260</v>
      </c>
      <c r="L29" s="98">
        <v>4</v>
      </c>
      <c r="M29" s="63">
        <f t="shared" si="2"/>
        <v>800</v>
      </c>
      <c r="N29" s="98">
        <v>4</v>
      </c>
      <c r="O29" s="58"/>
    </row>
    <row r="30" spans="1:15">
      <c r="A30" s="91" t="str">
        <f>'1. 소켓인수검사'!A32</f>
        <v>24</v>
      </c>
      <c r="B30" s="97" t="s">
        <v>48</v>
      </c>
      <c r="C30" s="38">
        <f>'1. 소켓인수검사'!C32</f>
        <v>1200</v>
      </c>
      <c r="D30" s="38">
        <f>'1. 소켓인수검사'!D32</f>
        <v>800</v>
      </c>
      <c r="E30" s="39"/>
      <c r="F30" s="38">
        <v>1</v>
      </c>
      <c r="G30" s="62">
        <f t="shared" si="1"/>
        <v>580</v>
      </c>
      <c r="H30" s="68">
        <f t="shared" si="13"/>
        <v>16</v>
      </c>
      <c r="I30" s="106">
        <f t="shared" si="15"/>
        <v>380</v>
      </c>
      <c r="J30" s="68">
        <f t="shared" si="14"/>
        <v>16</v>
      </c>
      <c r="K30" s="63">
        <f t="shared" si="9"/>
        <v>1260</v>
      </c>
      <c r="L30" s="98">
        <v>4</v>
      </c>
      <c r="M30" s="63">
        <f t="shared" si="2"/>
        <v>800</v>
      </c>
      <c r="N30" s="98">
        <v>4</v>
      </c>
      <c r="O30" s="58"/>
    </row>
    <row r="31" spans="1:15">
      <c r="A31" s="91" t="str">
        <f>'1. 소켓인수검사'!A33</f>
        <v>25</v>
      </c>
      <c r="B31" s="97" t="s">
        <v>48</v>
      </c>
      <c r="C31" s="38">
        <f>'1. 소켓인수검사'!C33</f>
        <v>1300</v>
      </c>
      <c r="D31" s="38">
        <f>'1. 소켓인수검사'!D33</f>
        <v>800</v>
      </c>
      <c r="E31" s="39"/>
      <c r="F31" s="38">
        <v>1</v>
      </c>
      <c r="G31" s="62">
        <f t="shared" si="1"/>
        <v>630</v>
      </c>
      <c r="H31" s="68">
        <f t="shared" si="13"/>
        <v>16</v>
      </c>
      <c r="I31" s="106">
        <f t="shared" si="15"/>
        <v>380</v>
      </c>
      <c r="J31" s="68">
        <f t="shared" si="14"/>
        <v>16</v>
      </c>
      <c r="K31" s="63">
        <f t="shared" si="9"/>
        <v>1360</v>
      </c>
      <c r="L31" s="98">
        <v>4</v>
      </c>
      <c r="M31" s="63">
        <f t="shared" si="2"/>
        <v>800</v>
      </c>
      <c r="N31" s="98">
        <v>4</v>
      </c>
      <c r="O31" s="58"/>
    </row>
    <row r="32" spans="1:15">
      <c r="A32" s="172"/>
      <c r="B32" s="173"/>
      <c r="C32" s="173"/>
      <c r="D32" s="99"/>
      <c r="E32" s="100"/>
      <c r="F32" s="100"/>
      <c r="G32" s="101"/>
      <c r="H32" s="64">
        <f>SUM(H8:H31)</f>
        <v>384</v>
      </c>
      <c r="I32" s="101"/>
      <c r="J32" s="64">
        <f>SUM(J8:J31)</f>
        <v>384</v>
      </c>
      <c r="K32" s="99"/>
      <c r="L32" s="64">
        <f>SUM(L8:L31)</f>
        <v>96</v>
      </c>
      <c r="M32" s="99"/>
      <c r="N32" s="64">
        <f>SUM(N8:N31)</f>
        <v>96</v>
      </c>
      <c r="O32" s="65"/>
    </row>
    <row r="33" spans="1:15" ht="8.1" customHeight="1">
      <c r="A33" s="163"/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5"/>
      <c r="O33" s="4"/>
    </row>
    <row r="34" spans="1:15">
      <c r="A34" s="1" t="s">
        <v>16</v>
      </c>
      <c r="B34" s="1"/>
      <c r="C34" s="1"/>
      <c r="D34" s="163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5"/>
    </row>
    <row r="35" spans="1:15">
      <c r="A35" s="1"/>
      <c r="B35" s="1"/>
      <c r="C35" s="1"/>
      <c r="D35" s="166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8"/>
    </row>
    <row r="36" spans="1:15">
      <c r="A36" s="1"/>
      <c r="B36" s="1"/>
      <c r="C36" s="1"/>
      <c r="D36" s="166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8"/>
    </row>
    <row r="37" spans="1:15">
      <c r="A37" s="1"/>
      <c r="B37" s="1"/>
      <c r="C37" s="1"/>
      <c r="D37" s="166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8"/>
    </row>
    <row r="38" spans="1:15">
      <c r="A38" s="1"/>
      <c r="B38" s="1"/>
      <c r="C38" s="1"/>
      <c r="D38" s="166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8"/>
    </row>
    <row r="39" spans="1:15">
      <c r="A39" s="1"/>
      <c r="B39" s="1"/>
      <c r="C39" s="1"/>
      <c r="D39" s="169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1"/>
    </row>
  </sheetData>
  <mergeCells count="22">
    <mergeCell ref="E1:G3"/>
    <mergeCell ref="H1:O3"/>
    <mergeCell ref="A1:D3"/>
    <mergeCell ref="A4:N4"/>
    <mergeCell ref="A5:A7"/>
    <mergeCell ref="B5:B7"/>
    <mergeCell ref="C5:D5"/>
    <mergeCell ref="E5:E7"/>
    <mergeCell ref="F5:F7"/>
    <mergeCell ref="G5:J5"/>
    <mergeCell ref="K5:N5"/>
    <mergeCell ref="O5:O7"/>
    <mergeCell ref="C6:C7"/>
    <mergeCell ref="D6:D7"/>
    <mergeCell ref="G6:H6"/>
    <mergeCell ref="I6:J6"/>
    <mergeCell ref="K6:L6"/>
    <mergeCell ref="M6:N6"/>
    <mergeCell ref="A34:C39"/>
    <mergeCell ref="D34:O39"/>
    <mergeCell ref="A32:C32"/>
    <mergeCell ref="A33:N33"/>
  </mergeCells>
  <phoneticPr fontId="28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35"/>
  <sheetViews>
    <sheetView zoomScaleNormal="100" zoomScaleSheetLayoutView="100" workbookViewId="0">
      <selection activeCell="Q24" sqref="Q24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1"/>
      <c r="B1" s="1"/>
      <c r="C1" s="1"/>
      <c r="D1" s="1"/>
      <c r="E1" s="197" t="s">
        <v>101</v>
      </c>
      <c r="F1" s="198"/>
      <c r="G1" s="203" t="str">
        <f>'1. 소켓인수검사'!R2</f>
        <v>26.06.08 행복산업_덕신건업_롯데건설_인천효성구역 도시개발사업 공동주택(4BL)</v>
      </c>
      <c r="H1" s="203"/>
      <c r="I1" s="203"/>
      <c r="J1" s="203"/>
      <c r="K1" s="204"/>
    </row>
    <row r="2" spans="1:11" ht="16.5" customHeight="1">
      <c r="A2" s="1"/>
      <c r="B2" s="1"/>
      <c r="C2" s="1"/>
      <c r="D2" s="1"/>
      <c r="E2" s="199"/>
      <c r="F2" s="200"/>
      <c r="G2" s="205"/>
      <c r="H2" s="205"/>
      <c r="I2" s="205"/>
      <c r="J2" s="205"/>
      <c r="K2" s="206"/>
    </row>
    <row r="3" spans="1:11" ht="16.5" customHeight="1">
      <c r="A3" s="1"/>
      <c r="B3" s="1"/>
      <c r="C3" s="1"/>
      <c r="D3" s="1"/>
      <c r="E3" s="201"/>
      <c r="F3" s="202"/>
      <c r="G3" s="207"/>
      <c r="H3" s="207"/>
      <c r="I3" s="207"/>
      <c r="J3" s="207"/>
      <c r="K3" s="208"/>
    </row>
    <row r="4" spans="1:11" ht="8.1" customHeight="1">
      <c r="A4" s="170"/>
      <c r="B4" s="170"/>
      <c r="C4" s="170"/>
      <c r="D4" s="170"/>
      <c r="E4" s="170"/>
      <c r="F4" s="170"/>
      <c r="G4" s="170"/>
      <c r="H4" s="170"/>
      <c r="I4" s="170"/>
      <c r="J4" s="170"/>
      <c r="K4" s="170"/>
    </row>
    <row r="5" spans="1:11" ht="26.45" customHeight="1">
      <c r="A5" s="209" t="s">
        <v>59</v>
      </c>
      <c r="B5" s="210" t="s">
        <v>69</v>
      </c>
      <c r="C5" s="194" t="s">
        <v>4</v>
      </c>
      <c r="D5" s="194"/>
      <c r="E5" s="194" t="s">
        <v>25</v>
      </c>
      <c r="F5" s="213" t="s">
        <v>57</v>
      </c>
      <c r="G5" s="195" t="s">
        <v>35</v>
      </c>
      <c r="H5" s="196"/>
      <c r="I5" s="196"/>
      <c r="J5" s="196"/>
      <c r="K5" s="213" t="s">
        <v>2</v>
      </c>
    </row>
    <row r="6" spans="1:11" ht="16.5" customHeight="1">
      <c r="A6" s="209"/>
      <c r="B6" s="211"/>
      <c r="C6" s="194" t="s">
        <v>66</v>
      </c>
      <c r="D6" s="194" t="s">
        <v>64</v>
      </c>
      <c r="E6" s="194"/>
      <c r="F6" s="214"/>
      <c r="G6" s="194" t="s">
        <v>68</v>
      </c>
      <c r="H6" s="194"/>
      <c r="I6" s="195" t="s">
        <v>65</v>
      </c>
      <c r="J6" s="196"/>
      <c r="K6" s="214"/>
    </row>
    <row r="7" spans="1:11">
      <c r="A7" s="209"/>
      <c r="B7" s="212"/>
      <c r="C7" s="194"/>
      <c r="D7" s="194"/>
      <c r="E7" s="194"/>
      <c r="F7" s="215"/>
      <c r="G7" s="16" t="s">
        <v>4</v>
      </c>
      <c r="H7" s="16" t="s">
        <v>57</v>
      </c>
      <c r="I7" s="16" t="s">
        <v>4</v>
      </c>
      <c r="J7" s="17" t="s">
        <v>57</v>
      </c>
      <c r="K7" s="215"/>
    </row>
    <row r="8" spans="1:11">
      <c r="A8" s="89" t="str">
        <f>'1. 소켓인수검사'!A9</f>
        <v>01</v>
      </c>
      <c r="B8" s="118" t="s">
        <v>49</v>
      </c>
      <c r="C8" s="54">
        <f>'1. 소켓인수검사'!C9</f>
        <v>1100</v>
      </c>
      <c r="D8" s="54">
        <f>'1. 소켓인수검사'!D9</f>
        <v>450</v>
      </c>
      <c r="E8" s="55"/>
      <c r="F8" s="54">
        <v>1</v>
      </c>
      <c r="G8" s="90">
        <f t="shared" ref="G8" si="0">C8+60</f>
        <v>1160</v>
      </c>
      <c r="H8" s="54">
        <v>2</v>
      </c>
      <c r="I8" s="90">
        <f t="shared" ref="I8" si="1">D8</f>
        <v>450</v>
      </c>
      <c r="J8" s="54">
        <v>2</v>
      </c>
      <c r="K8" s="119"/>
    </row>
    <row r="9" spans="1:11">
      <c r="A9" s="91" t="str">
        <f>'1. 소켓인수검사'!A10</f>
        <v>02</v>
      </c>
      <c r="B9" s="61" t="s">
        <v>48</v>
      </c>
      <c r="C9" s="38">
        <f>'1. 소켓인수검사'!C10</f>
        <v>750</v>
      </c>
      <c r="D9" s="38">
        <f>'1. 소켓인수검사'!D10</f>
        <v>900</v>
      </c>
      <c r="E9" s="39"/>
      <c r="F9" s="38">
        <v>1</v>
      </c>
      <c r="G9" s="59">
        <f t="shared" ref="G9:G32" si="2">C9+60</f>
        <v>810</v>
      </c>
      <c r="H9" s="38">
        <v>2</v>
      </c>
      <c r="I9" s="59">
        <f t="shared" ref="I9:I32" si="3">D9</f>
        <v>900</v>
      </c>
      <c r="J9" s="38">
        <v>2</v>
      </c>
      <c r="K9" s="58"/>
    </row>
    <row r="10" spans="1:11">
      <c r="A10" s="91" t="str">
        <f>'1. 소켓인수검사'!A11</f>
        <v>03</v>
      </c>
      <c r="B10" s="61" t="s">
        <v>48</v>
      </c>
      <c r="C10" s="38">
        <f>'1. 소켓인수검사'!C11</f>
        <v>750</v>
      </c>
      <c r="D10" s="38">
        <f>'1. 소켓인수검사'!D11</f>
        <v>900</v>
      </c>
      <c r="E10" s="39"/>
      <c r="F10" s="38">
        <v>1</v>
      </c>
      <c r="G10" s="59">
        <f t="shared" si="2"/>
        <v>810</v>
      </c>
      <c r="H10" s="38">
        <v>2</v>
      </c>
      <c r="I10" s="59">
        <f t="shared" si="3"/>
        <v>900</v>
      </c>
      <c r="J10" s="38">
        <v>2</v>
      </c>
      <c r="K10" s="58"/>
    </row>
    <row r="11" spans="1:11">
      <c r="A11" s="91" t="str">
        <f>'1. 소켓인수검사'!A12</f>
        <v>04</v>
      </c>
      <c r="B11" s="61" t="s">
        <v>48</v>
      </c>
      <c r="C11" s="38">
        <f>'1. 소켓인수검사'!C12</f>
        <v>750</v>
      </c>
      <c r="D11" s="38">
        <f>'1. 소켓인수검사'!D12</f>
        <v>900</v>
      </c>
      <c r="E11" s="39"/>
      <c r="F11" s="38">
        <v>1</v>
      </c>
      <c r="G11" s="59">
        <f t="shared" si="2"/>
        <v>810</v>
      </c>
      <c r="H11" s="38">
        <v>2</v>
      </c>
      <c r="I11" s="59">
        <f t="shared" si="3"/>
        <v>900</v>
      </c>
      <c r="J11" s="38">
        <v>2</v>
      </c>
      <c r="K11" s="58"/>
    </row>
    <row r="12" spans="1:11">
      <c r="A12" s="91" t="str">
        <f>'1. 소켓인수검사'!A13</f>
        <v>05</v>
      </c>
      <c r="B12" s="61" t="s">
        <v>48</v>
      </c>
      <c r="C12" s="38">
        <f>'1. 소켓인수검사'!C13</f>
        <v>750</v>
      </c>
      <c r="D12" s="38">
        <f>'1. 소켓인수검사'!D13</f>
        <v>900</v>
      </c>
      <c r="E12" s="39"/>
      <c r="F12" s="38">
        <v>1</v>
      </c>
      <c r="G12" s="59">
        <f t="shared" si="2"/>
        <v>810</v>
      </c>
      <c r="H12" s="38">
        <v>2</v>
      </c>
      <c r="I12" s="59">
        <f t="shared" si="3"/>
        <v>900</v>
      </c>
      <c r="J12" s="38">
        <v>2</v>
      </c>
      <c r="K12" s="58"/>
    </row>
    <row r="13" spans="1:11">
      <c r="A13" s="91" t="str">
        <f>'1. 소켓인수검사'!A14</f>
        <v>06</v>
      </c>
      <c r="B13" s="61" t="s">
        <v>48</v>
      </c>
      <c r="C13" s="38">
        <f>'1. 소켓인수검사'!C14</f>
        <v>750</v>
      </c>
      <c r="D13" s="38">
        <f>'1. 소켓인수검사'!D14</f>
        <v>950</v>
      </c>
      <c r="E13" s="39"/>
      <c r="F13" s="38">
        <v>1</v>
      </c>
      <c r="G13" s="59">
        <f t="shared" si="2"/>
        <v>810</v>
      </c>
      <c r="H13" s="38">
        <v>2</v>
      </c>
      <c r="I13" s="59">
        <f t="shared" si="3"/>
        <v>950</v>
      </c>
      <c r="J13" s="38">
        <v>2</v>
      </c>
      <c r="K13" s="58"/>
    </row>
    <row r="14" spans="1:11">
      <c r="A14" s="91" t="str">
        <f>'1. 소켓인수검사'!A15</f>
        <v>07</v>
      </c>
      <c r="B14" s="61" t="s">
        <v>48</v>
      </c>
      <c r="C14" s="38">
        <f>'1. 소켓인수검사'!C15</f>
        <v>750</v>
      </c>
      <c r="D14" s="38">
        <f>'1. 소켓인수검사'!D15</f>
        <v>950</v>
      </c>
      <c r="E14" s="39"/>
      <c r="F14" s="38">
        <v>1</v>
      </c>
      <c r="G14" s="59">
        <f t="shared" si="2"/>
        <v>810</v>
      </c>
      <c r="H14" s="38">
        <v>2</v>
      </c>
      <c r="I14" s="59">
        <f t="shared" si="3"/>
        <v>950</v>
      </c>
      <c r="J14" s="38">
        <v>2</v>
      </c>
      <c r="K14" s="58"/>
    </row>
    <row r="15" spans="1:11">
      <c r="A15" s="91" t="str">
        <f>'1. 소켓인수검사'!A16</f>
        <v>08</v>
      </c>
      <c r="B15" s="61" t="s">
        <v>48</v>
      </c>
      <c r="C15" s="38">
        <f>'1. 소켓인수검사'!C16</f>
        <v>750</v>
      </c>
      <c r="D15" s="38">
        <f>'1. 소켓인수검사'!D16</f>
        <v>950</v>
      </c>
      <c r="E15" s="39"/>
      <c r="F15" s="38">
        <v>1</v>
      </c>
      <c r="G15" s="59">
        <f t="shared" si="2"/>
        <v>810</v>
      </c>
      <c r="H15" s="38">
        <v>2</v>
      </c>
      <c r="I15" s="59">
        <f t="shared" si="3"/>
        <v>950</v>
      </c>
      <c r="J15" s="38">
        <v>2</v>
      </c>
      <c r="K15" s="58"/>
    </row>
    <row r="16" spans="1:11">
      <c r="A16" s="91" t="str">
        <f>'1. 소켓인수검사'!A17</f>
        <v>09</v>
      </c>
      <c r="B16" s="61" t="s">
        <v>48</v>
      </c>
      <c r="C16" s="38">
        <f>'1. 소켓인수검사'!C17</f>
        <v>750</v>
      </c>
      <c r="D16" s="38">
        <f>'1. 소켓인수검사'!D17</f>
        <v>950</v>
      </c>
      <c r="E16" s="39"/>
      <c r="F16" s="38">
        <v>1</v>
      </c>
      <c r="G16" s="59">
        <f t="shared" si="2"/>
        <v>810</v>
      </c>
      <c r="H16" s="38">
        <v>2</v>
      </c>
      <c r="I16" s="59">
        <f t="shared" si="3"/>
        <v>950</v>
      </c>
      <c r="J16" s="38">
        <v>2</v>
      </c>
      <c r="K16" s="58"/>
    </row>
    <row r="17" spans="1:11">
      <c r="A17" s="91" t="str">
        <f>'1. 소켓인수검사'!A18</f>
        <v>10</v>
      </c>
      <c r="B17" s="61" t="s">
        <v>48</v>
      </c>
      <c r="C17" s="38">
        <f>'1. 소켓인수검사'!C18</f>
        <v>750</v>
      </c>
      <c r="D17" s="38">
        <f>'1. 소켓인수검사'!D18</f>
        <v>950</v>
      </c>
      <c r="E17" s="39"/>
      <c r="F17" s="38">
        <v>1</v>
      </c>
      <c r="G17" s="59">
        <f t="shared" si="2"/>
        <v>810</v>
      </c>
      <c r="H17" s="38">
        <v>2</v>
      </c>
      <c r="I17" s="59">
        <f t="shared" si="3"/>
        <v>950</v>
      </c>
      <c r="J17" s="38">
        <v>2</v>
      </c>
      <c r="K17" s="58"/>
    </row>
    <row r="18" spans="1:11">
      <c r="A18" s="91" t="str">
        <f>'1. 소켓인수검사'!A19</f>
        <v>11</v>
      </c>
      <c r="B18" s="61" t="s">
        <v>48</v>
      </c>
      <c r="C18" s="38">
        <f>'1. 소켓인수검사'!C19</f>
        <v>750</v>
      </c>
      <c r="D18" s="38">
        <f>'1. 소켓인수검사'!D19</f>
        <v>950</v>
      </c>
      <c r="E18" s="39"/>
      <c r="F18" s="38">
        <v>1</v>
      </c>
      <c r="G18" s="59">
        <f t="shared" si="2"/>
        <v>810</v>
      </c>
      <c r="H18" s="38">
        <v>2</v>
      </c>
      <c r="I18" s="59">
        <f t="shared" si="3"/>
        <v>950</v>
      </c>
      <c r="J18" s="38">
        <v>2</v>
      </c>
      <c r="K18" s="58"/>
    </row>
    <row r="19" spans="1:11">
      <c r="A19" s="91" t="str">
        <f>'1. 소켓인수검사'!A20</f>
        <v>12</v>
      </c>
      <c r="B19" s="61" t="s">
        <v>48</v>
      </c>
      <c r="C19" s="38">
        <f>'1. 소켓인수검사'!C20</f>
        <v>800</v>
      </c>
      <c r="D19" s="38">
        <f>'1. 소켓인수검사'!D20</f>
        <v>900</v>
      </c>
      <c r="E19" s="39"/>
      <c r="F19" s="38">
        <v>1</v>
      </c>
      <c r="G19" s="59">
        <f t="shared" si="2"/>
        <v>860</v>
      </c>
      <c r="H19" s="38">
        <v>2</v>
      </c>
      <c r="I19" s="59">
        <f t="shared" si="3"/>
        <v>900</v>
      </c>
      <c r="J19" s="38">
        <v>2</v>
      </c>
      <c r="K19" s="58"/>
    </row>
    <row r="20" spans="1:11">
      <c r="A20" s="91" t="str">
        <f>'1. 소켓인수검사'!A21</f>
        <v>13</v>
      </c>
      <c r="B20" s="61" t="s">
        <v>48</v>
      </c>
      <c r="C20" s="38">
        <f>'1. 소켓인수검사'!C21</f>
        <v>800</v>
      </c>
      <c r="D20" s="38">
        <f>'1. 소켓인수검사'!D21</f>
        <v>900</v>
      </c>
      <c r="E20" s="39"/>
      <c r="F20" s="38">
        <v>1</v>
      </c>
      <c r="G20" s="59">
        <f t="shared" si="2"/>
        <v>860</v>
      </c>
      <c r="H20" s="38">
        <v>2</v>
      </c>
      <c r="I20" s="59">
        <f t="shared" si="3"/>
        <v>900</v>
      </c>
      <c r="J20" s="38">
        <v>2</v>
      </c>
      <c r="K20" s="58"/>
    </row>
    <row r="21" spans="1:11">
      <c r="A21" s="91" t="str">
        <f>'1. 소켓인수검사'!A22</f>
        <v>14</v>
      </c>
      <c r="B21" s="61" t="s">
        <v>48</v>
      </c>
      <c r="C21" s="38">
        <f>'1. 소켓인수검사'!C22</f>
        <v>800</v>
      </c>
      <c r="D21" s="38">
        <f>'1. 소켓인수검사'!D22</f>
        <v>900</v>
      </c>
      <c r="E21" s="39"/>
      <c r="F21" s="38">
        <v>1</v>
      </c>
      <c r="G21" s="59">
        <f t="shared" si="2"/>
        <v>860</v>
      </c>
      <c r="H21" s="38">
        <v>2</v>
      </c>
      <c r="I21" s="59">
        <f t="shared" si="3"/>
        <v>900</v>
      </c>
      <c r="J21" s="38">
        <v>2</v>
      </c>
      <c r="K21" s="58"/>
    </row>
    <row r="22" spans="1:11">
      <c r="A22" s="91" t="str">
        <f>'1. 소켓인수검사'!A23</f>
        <v>15</v>
      </c>
      <c r="B22" s="61" t="s">
        <v>48</v>
      </c>
      <c r="C22" s="38">
        <f>'1. 소켓인수검사'!C23</f>
        <v>800</v>
      </c>
      <c r="D22" s="38">
        <f>'1. 소켓인수검사'!D23</f>
        <v>1050</v>
      </c>
      <c r="E22" s="39"/>
      <c r="F22" s="38">
        <v>1</v>
      </c>
      <c r="G22" s="59">
        <f t="shared" si="2"/>
        <v>860</v>
      </c>
      <c r="H22" s="38">
        <v>2</v>
      </c>
      <c r="I22" s="59">
        <f t="shared" si="3"/>
        <v>1050</v>
      </c>
      <c r="J22" s="38">
        <v>2</v>
      </c>
      <c r="K22" s="58"/>
    </row>
    <row r="23" spans="1:11">
      <c r="A23" s="91" t="str">
        <f>'1. 소켓인수검사'!A24</f>
        <v>16</v>
      </c>
      <c r="B23" s="61" t="s">
        <v>48</v>
      </c>
      <c r="C23" s="38">
        <f>'1. 소켓인수검사'!C24</f>
        <v>800</v>
      </c>
      <c r="D23" s="38">
        <f>'1. 소켓인수검사'!D24</f>
        <v>1050</v>
      </c>
      <c r="E23" s="39"/>
      <c r="F23" s="38">
        <v>1</v>
      </c>
      <c r="G23" s="59">
        <f t="shared" si="2"/>
        <v>860</v>
      </c>
      <c r="H23" s="38">
        <v>2</v>
      </c>
      <c r="I23" s="59">
        <f t="shared" si="3"/>
        <v>1050</v>
      </c>
      <c r="J23" s="38">
        <v>2</v>
      </c>
      <c r="K23" s="58"/>
    </row>
    <row r="24" spans="1:11">
      <c r="A24" s="91" t="str">
        <f>'1. 소켓인수검사'!A25</f>
        <v>17</v>
      </c>
      <c r="B24" s="61" t="s">
        <v>48</v>
      </c>
      <c r="C24" s="38">
        <f>'1. 소켓인수검사'!C25</f>
        <v>800</v>
      </c>
      <c r="D24" s="38">
        <f>'1. 소켓인수검사'!D25</f>
        <v>1050</v>
      </c>
      <c r="E24" s="39"/>
      <c r="F24" s="38">
        <v>1</v>
      </c>
      <c r="G24" s="59">
        <f t="shared" si="2"/>
        <v>860</v>
      </c>
      <c r="H24" s="38">
        <v>2</v>
      </c>
      <c r="I24" s="59">
        <f t="shared" si="3"/>
        <v>1050</v>
      </c>
      <c r="J24" s="38">
        <v>2</v>
      </c>
      <c r="K24" s="58"/>
    </row>
    <row r="25" spans="1:11">
      <c r="A25" s="91" t="str">
        <f>'1. 소켓인수검사'!A26</f>
        <v>18</v>
      </c>
      <c r="B25" s="61" t="s">
        <v>48</v>
      </c>
      <c r="C25" s="38">
        <f>'1. 소켓인수검사'!C26</f>
        <v>900</v>
      </c>
      <c r="D25" s="38">
        <f>'1. 소켓인수검사'!D26</f>
        <v>950</v>
      </c>
      <c r="E25" s="39"/>
      <c r="F25" s="38">
        <v>1</v>
      </c>
      <c r="G25" s="59">
        <f t="shared" si="2"/>
        <v>960</v>
      </c>
      <c r="H25" s="38">
        <v>2</v>
      </c>
      <c r="I25" s="59">
        <f t="shared" si="3"/>
        <v>950</v>
      </c>
      <c r="J25" s="38">
        <v>2</v>
      </c>
      <c r="K25" s="58"/>
    </row>
    <row r="26" spans="1:11">
      <c r="A26" s="91" t="str">
        <f>'1. 소켓인수검사'!A27</f>
        <v>19</v>
      </c>
      <c r="B26" s="61" t="s">
        <v>48</v>
      </c>
      <c r="C26" s="38">
        <f>'1. 소켓인수검사'!C27</f>
        <v>900</v>
      </c>
      <c r="D26" s="38">
        <f>'1. 소켓인수검사'!D27</f>
        <v>950</v>
      </c>
      <c r="E26" s="39"/>
      <c r="F26" s="38">
        <v>1</v>
      </c>
      <c r="G26" s="59">
        <f t="shared" si="2"/>
        <v>960</v>
      </c>
      <c r="H26" s="38">
        <v>2</v>
      </c>
      <c r="I26" s="59">
        <f t="shared" si="3"/>
        <v>950</v>
      </c>
      <c r="J26" s="38">
        <v>2</v>
      </c>
      <c r="K26" s="58"/>
    </row>
    <row r="27" spans="1:11">
      <c r="A27" s="91" t="str">
        <f>'1. 소켓인수검사'!A28</f>
        <v>20</v>
      </c>
      <c r="B27" s="61" t="s">
        <v>48</v>
      </c>
      <c r="C27" s="38">
        <f>'1. 소켓인수검사'!C28</f>
        <v>900</v>
      </c>
      <c r="D27" s="38">
        <f>'1. 소켓인수검사'!D28</f>
        <v>950</v>
      </c>
      <c r="E27" s="39"/>
      <c r="F27" s="38">
        <v>1</v>
      </c>
      <c r="G27" s="59">
        <f t="shared" si="2"/>
        <v>960</v>
      </c>
      <c r="H27" s="38">
        <v>2</v>
      </c>
      <c r="I27" s="59">
        <f t="shared" si="3"/>
        <v>950</v>
      </c>
      <c r="J27" s="38">
        <v>2</v>
      </c>
      <c r="K27" s="58"/>
    </row>
    <row r="28" spans="1:11">
      <c r="A28" s="91" t="str">
        <f>'1. 소켓인수검사'!A29</f>
        <v>21</v>
      </c>
      <c r="B28" s="61" t="s">
        <v>48</v>
      </c>
      <c r="C28" s="38">
        <f>'1. 소켓인수검사'!C29</f>
        <v>1000</v>
      </c>
      <c r="D28" s="38">
        <f>'1. 소켓인수검사'!D29</f>
        <v>1000</v>
      </c>
      <c r="E28" s="39"/>
      <c r="F28" s="38">
        <v>1</v>
      </c>
      <c r="G28" s="59">
        <f t="shared" si="2"/>
        <v>1060</v>
      </c>
      <c r="H28" s="38">
        <v>2</v>
      </c>
      <c r="I28" s="59">
        <f t="shared" si="3"/>
        <v>1000</v>
      </c>
      <c r="J28" s="38">
        <v>2</v>
      </c>
      <c r="K28" s="58"/>
    </row>
    <row r="29" spans="1:11">
      <c r="A29" s="91" t="str">
        <f>'1. 소켓인수검사'!A30</f>
        <v>22</v>
      </c>
      <c r="B29" s="61" t="s">
        <v>48</v>
      </c>
      <c r="C29" s="38">
        <f>'1. 소켓인수검사'!C30</f>
        <v>1000</v>
      </c>
      <c r="D29" s="38">
        <f>'1. 소켓인수검사'!D30</f>
        <v>1000</v>
      </c>
      <c r="E29" s="39"/>
      <c r="F29" s="38">
        <v>1</v>
      </c>
      <c r="G29" s="59">
        <f t="shared" si="2"/>
        <v>1060</v>
      </c>
      <c r="H29" s="38">
        <v>2</v>
      </c>
      <c r="I29" s="59">
        <f t="shared" si="3"/>
        <v>1000</v>
      </c>
      <c r="J29" s="38">
        <v>2</v>
      </c>
      <c r="K29" s="58"/>
    </row>
    <row r="30" spans="1:11">
      <c r="A30" s="91" t="str">
        <f>'1. 소켓인수검사'!A31</f>
        <v>23</v>
      </c>
      <c r="B30" s="61" t="s">
        <v>48</v>
      </c>
      <c r="C30" s="38">
        <f>'1. 소켓인수검사'!C31</f>
        <v>1200</v>
      </c>
      <c r="D30" s="38">
        <f>'1. 소켓인수검사'!D31</f>
        <v>800</v>
      </c>
      <c r="E30" s="39"/>
      <c r="F30" s="38">
        <v>1</v>
      </c>
      <c r="G30" s="59">
        <f t="shared" si="2"/>
        <v>1260</v>
      </c>
      <c r="H30" s="38">
        <v>2</v>
      </c>
      <c r="I30" s="59">
        <f t="shared" si="3"/>
        <v>800</v>
      </c>
      <c r="J30" s="38">
        <v>2</v>
      </c>
      <c r="K30" s="58"/>
    </row>
    <row r="31" spans="1:11">
      <c r="A31" s="91" t="str">
        <f>'1. 소켓인수검사'!A32</f>
        <v>24</v>
      </c>
      <c r="B31" s="61" t="s">
        <v>48</v>
      </c>
      <c r="C31" s="38">
        <f>'1. 소켓인수검사'!C32</f>
        <v>1200</v>
      </c>
      <c r="D31" s="38">
        <f>'1. 소켓인수검사'!D32</f>
        <v>800</v>
      </c>
      <c r="E31" s="39"/>
      <c r="F31" s="38">
        <v>1</v>
      </c>
      <c r="G31" s="59">
        <f t="shared" si="2"/>
        <v>1260</v>
      </c>
      <c r="H31" s="38">
        <v>2</v>
      </c>
      <c r="I31" s="59">
        <f t="shared" si="3"/>
        <v>800</v>
      </c>
      <c r="J31" s="38">
        <v>2</v>
      </c>
      <c r="K31" s="58"/>
    </row>
    <row r="32" spans="1:11">
      <c r="A32" s="92" t="str">
        <f>'1. 소켓인수검사'!A33</f>
        <v>25</v>
      </c>
      <c r="B32" s="120" t="s">
        <v>48</v>
      </c>
      <c r="C32" s="49">
        <f>'1. 소켓인수검사'!C33</f>
        <v>1300</v>
      </c>
      <c r="D32" s="49">
        <f>'1. 소켓인수검사'!D33</f>
        <v>800</v>
      </c>
      <c r="E32" s="50"/>
      <c r="F32" s="49">
        <v>1</v>
      </c>
      <c r="G32" s="93">
        <f t="shared" si="2"/>
        <v>1360</v>
      </c>
      <c r="H32" s="49">
        <v>2</v>
      </c>
      <c r="I32" s="93">
        <f t="shared" si="3"/>
        <v>800</v>
      </c>
      <c r="J32" s="49">
        <v>2</v>
      </c>
      <c r="K32" s="94"/>
    </row>
    <row r="33" spans="1:11">
      <c r="A33" s="1" t="s">
        <v>46</v>
      </c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</sheetData>
  <mergeCells count="17">
    <mergeCell ref="D6:D7"/>
    <mergeCell ref="G6:H6"/>
    <mergeCell ref="I6:J6"/>
    <mergeCell ref="E1:F3"/>
    <mergeCell ref="G1:K3"/>
    <mergeCell ref="A33:C35"/>
    <mergeCell ref="D33:K35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</mergeCells>
  <phoneticPr fontId="28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16"/>
  <sheetViews>
    <sheetView zoomScaleNormal="100" zoomScaleSheetLayoutView="100" workbookViewId="0">
      <selection activeCell="H21" sqref="H21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"/>
      <c r="B1" s="1"/>
      <c r="C1" s="1"/>
      <c r="D1" s="1"/>
      <c r="E1" s="225" t="s">
        <v>73</v>
      </c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7"/>
    </row>
    <row r="2" spans="1:16" ht="16.5" customHeight="1">
      <c r="A2" s="1"/>
      <c r="B2" s="1"/>
      <c r="C2" s="1"/>
      <c r="D2" s="1"/>
      <c r="E2" s="228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30"/>
    </row>
    <row r="3" spans="1:16" ht="16.5" customHeight="1">
      <c r="A3" s="1"/>
      <c r="B3" s="1"/>
      <c r="C3" s="1"/>
      <c r="D3" s="1"/>
      <c r="E3" s="228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30"/>
    </row>
    <row r="4" spans="1:16" ht="16.5" customHeight="1">
      <c r="A4" s="1" t="s">
        <v>17</v>
      </c>
      <c r="B4" s="1"/>
      <c r="C4" s="234"/>
      <c r="D4" s="235"/>
      <c r="E4" s="231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3"/>
    </row>
    <row r="5" spans="1:16">
      <c r="A5" s="1" t="s">
        <v>27</v>
      </c>
      <c r="B5" s="1"/>
      <c r="C5" s="1"/>
      <c r="D5" s="1"/>
      <c r="E5" s="6" t="s">
        <v>33</v>
      </c>
      <c r="F5" s="1"/>
      <c r="G5" s="1"/>
      <c r="H5" s="1" t="s">
        <v>62</v>
      </c>
      <c r="I5" s="1"/>
      <c r="J5" s="1"/>
      <c r="K5" s="1" t="s">
        <v>58</v>
      </c>
      <c r="L5" s="1"/>
      <c r="M5" s="1"/>
      <c r="N5" s="236" t="str">
        <f>'1. 소켓인수검사'!R2</f>
        <v>26.06.08 행복산업_덕신건업_롯데건설_인천효성구역 도시개발사업 공동주택(4BL)</v>
      </c>
      <c r="O5" s="236"/>
      <c r="P5" s="236"/>
    </row>
    <row r="6" spans="1:16">
      <c r="A6" s="1"/>
      <c r="B6" s="1"/>
      <c r="C6" s="1"/>
      <c r="D6" s="1"/>
      <c r="E6" s="6" t="s">
        <v>30</v>
      </c>
      <c r="F6" s="1"/>
      <c r="G6" s="1"/>
      <c r="H6" s="1"/>
      <c r="I6" s="1"/>
      <c r="J6" s="1"/>
      <c r="K6" s="1"/>
      <c r="L6" s="1"/>
      <c r="M6" s="1"/>
      <c r="N6" s="236"/>
      <c r="O6" s="236"/>
      <c r="P6" s="236"/>
    </row>
    <row r="7" spans="1:16" ht="8.1" customHeight="1">
      <c r="A7" s="150"/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</row>
    <row r="8" spans="1:16">
      <c r="A8" s="219" t="s">
        <v>59</v>
      </c>
      <c r="B8" s="221" t="s">
        <v>4</v>
      </c>
      <c r="C8" s="221"/>
      <c r="D8" s="221" t="s">
        <v>29</v>
      </c>
      <c r="E8" s="221" t="s">
        <v>25</v>
      </c>
      <c r="F8" s="221" t="s">
        <v>63</v>
      </c>
      <c r="G8" s="221" t="s">
        <v>28</v>
      </c>
      <c r="H8" s="221"/>
      <c r="I8" s="221"/>
      <c r="J8" s="221"/>
      <c r="K8" s="221"/>
      <c r="L8" s="221"/>
      <c r="M8" s="221"/>
      <c r="N8" s="221"/>
      <c r="O8" s="221"/>
      <c r="P8" s="223" t="s">
        <v>2</v>
      </c>
    </row>
    <row r="9" spans="1:16" ht="16.5" customHeight="1">
      <c r="A9" s="220"/>
      <c r="B9" s="222" t="s">
        <v>66</v>
      </c>
      <c r="C9" s="222" t="s">
        <v>64</v>
      </c>
      <c r="D9" s="222"/>
      <c r="E9" s="222"/>
      <c r="F9" s="222"/>
      <c r="G9" s="222" t="s">
        <v>60</v>
      </c>
      <c r="H9" s="222" t="s">
        <v>66</v>
      </c>
      <c r="I9" s="222"/>
      <c r="J9" s="222" t="s">
        <v>11</v>
      </c>
      <c r="K9" s="222" t="s">
        <v>64</v>
      </c>
      <c r="L9" s="222"/>
      <c r="M9" s="222"/>
      <c r="N9" s="222"/>
      <c r="O9" s="222" t="s">
        <v>11</v>
      </c>
      <c r="P9" s="224"/>
    </row>
    <row r="10" spans="1:16">
      <c r="A10" s="220"/>
      <c r="B10" s="222"/>
      <c r="C10" s="222"/>
      <c r="D10" s="222"/>
      <c r="E10" s="222"/>
      <c r="F10" s="222"/>
      <c r="G10" s="222"/>
      <c r="H10" s="30" t="s">
        <v>4</v>
      </c>
      <c r="I10" s="30" t="s">
        <v>32</v>
      </c>
      <c r="J10" s="222"/>
      <c r="K10" s="222" t="s">
        <v>4</v>
      </c>
      <c r="L10" s="222"/>
      <c r="M10" s="222"/>
      <c r="N10" s="30" t="s">
        <v>32</v>
      </c>
      <c r="O10" s="222"/>
      <c r="P10" s="224"/>
    </row>
    <row r="11" spans="1:16">
      <c r="A11" s="29" t="str">
        <f>'1. 소켓인수검사'!A9</f>
        <v>01</v>
      </c>
      <c r="B11" s="32">
        <f>'1. 소켓인수검사'!C9</f>
        <v>1100</v>
      </c>
      <c r="C11" s="32">
        <f>'1. 소켓인수검사'!D9</f>
        <v>450</v>
      </c>
      <c r="D11" s="33">
        <v>1</v>
      </c>
      <c r="E11" s="34"/>
      <c r="F11" s="33">
        <v>1.6</v>
      </c>
      <c r="G11" s="33"/>
      <c r="H11" s="33">
        <f t="shared" ref="H11" si="0">B11-1</f>
        <v>1099</v>
      </c>
      <c r="I11" s="33">
        <f t="shared" ref="I11" si="1">D11*4</f>
        <v>4</v>
      </c>
      <c r="J11" s="33"/>
      <c r="K11" s="216">
        <f t="shared" ref="K11" si="2">C11-30</f>
        <v>420</v>
      </c>
      <c r="L11" s="216"/>
      <c r="M11" s="216"/>
      <c r="N11" s="33">
        <f t="shared" ref="N11" si="3">D11*4</f>
        <v>4</v>
      </c>
      <c r="O11" s="33"/>
      <c r="P11" s="35"/>
    </row>
    <row r="12" spans="1:16" ht="8.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17" t="s">
        <v>47</v>
      </c>
      <c r="B13" s="217"/>
      <c r="C13" s="218"/>
      <c r="D13" s="218"/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218"/>
      <c r="P13" s="218"/>
    </row>
    <row r="14" spans="1:16">
      <c r="A14" s="217"/>
      <c r="B14" s="217"/>
      <c r="C14" s="218"/>
      <c r="D14" s="218"/>
      <c r="E14" s="218"/>
      <c r="F14" s="218"/>
      <c r="G14" s="218"/>
      <c r="H14" s="218"/>
      <c r="I14" s="218"/>
      <c r="J14" s="218"/>
      <c r="K14" s="218"/>
      <c r="L14" s="218"/>
      <c r="M14" s="218"/>
      <c r="N14" s="218"/>
      <c r="O14" s="218"/>
      <c r="P14" s="218"/>
    </row>
    <row r="15" spans="1:16">
      <c r="A15" s="217"/>
      <c r="B15" s="217"/>
      <c r="C15" s="218"/>
      <c r="D15" s="218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8"/>
    </row>
    <row r="16" spans="1:16">
      <c r="A16" s="217"/>
      <c r="B16" s="217"/>
      <c r="C16" s="218"/>
      <c r="D16" s="218"/>
      <c r="E16" s="218"/>
      <c r="F16" s="218"/>
      <c r="G16" s="218"/>
      <c r="H16" s="218"/>
      <c r="I16" s="218"/>
      <c r="J16" s="218"/>
      <c r="K16" s="218"/>
      <c r="L16" s="218"/>
      <c r="M16" s="218"/>
      <c r="N16" s="218"/>
      <c r="O16" s="218"/>
      <c r="P16" s="218"/>
    </row>
  </sheetData>
  <mergeCells count="32">
    <mergeCell ref="J9:J10"/>
    <mergeCell ref="K9:N9"/>
    <mergeCell ref="O9:O10"/>
    <mergeCell ref="K10:M10"/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  <mergeCell ref="K11:M11"/>
    <mergeCell ref="A12:P12"/>
    <mergeCell ref="A13:B16"/>
    <mergeCell ref="C13:P16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</mergeCells>
  <phoneticPr fontId="28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P41"/>
  <sheetViews>
    <sheetView showGridLines="0" zoomScaleNormal="100" zoomScaleSheetLayoutView="100" workbookViewId="0">
      <selection activeCell="A35" sqref="A35:XFD80"/>
    </sheetView>
  </sheetViews>
  <sheetFormatPr defaultColWidth="9" defaultRowHeight="16.5"/>
  <cols>
    <col min="1" max="1" width="3.625" style="5" customWidth="1"/>
    <col min="2" max="3" width="9.625" style="5" customWidth="1"/>
    <col min="4" max="4" width="6.875" style="5" customWidth="1"/>
    <col min="5" max="5" width="19" style="5" bestFit="1" customWidth="1"/>
    <col min="6" max="6" width="6.375" style="5" customWidth="1"/>
    <col min="7" max="7" width="6.125" style="5" customWidth="1"/>
    <col min="8" max="9" width="9.625" style="5" customWidth="1"/>
    <col min="10" max="10" width="7.1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"/>
      <c r="B1" s="1"/>
      <c r="C1" s="1"/>
      <c r="D1" s="1"/>
      <c r="E1" s="248" t="s">
        <v>74</v>
      </c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50"/>
    </row>
    <row r="2" spans="1:16" ht="16.5" customHeight="1">
      <c r="A2" s="1"/>
      <c r="B2" s="1"/>
      <c r="C2" s="1"/>
      <c r="D2" s="1"/>
      <c r="E2" s="251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3"/>
    </row>
    <row r="3" spans="1:16" ht="16.5" customHeight="1">
      <c r="A3" s="1"/>
      <c r="B3" s="1"/>
      <c r="C3" s="1"/>
      <c r="D3" s="1"/>
      <c r="E3" s="251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3"/>
    </row>
    <row r="4" spans="1:16" ht="16.5" customHeight="1">
      <c r="A4" s="1" t="s">
        <v>17</v>
      </c>
      <c r="B4" s="1"/>
      <c r="C4" s="1"/>
      <c r="D4" s="1"/>
      <c r="E4" s="254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6"/>
    </row>
    <row r="5" spans="1:16" ht="16.5" customHeight="1">
      <c r="A5" s="1" t="s">
        <v>27</v>
      </c>
      <c r="B5" s="1"/>
      <c r="C5" s="1"/>
      <c r="D5" s="1"/>
      <c r="E5" s="6" t="s">
        <v>33</v>
      </c>
      <c r="F5" s="1"/>
      <c r="G5" s="1"/>
      <c r="H5" s="1" t="s">
        <v>62</v>
      </c>
      <c r="I5" s="1"/>
      <c r="J5" s="1"/>
      <c r="K5" s="1" t="s">
        <v>58</v>
      </c>
      <c r="L5" s="1"/>
      <c r="M5" s="1"/>
      <c r="N5" s="247" t="str">
        <f>'1. 소켓인수검사'!R2</f>
        <v>26.06.08 행복산업_덕신건업_롯데건설_인천효성구역 도시개발사업 공동주택(4BL)</v>
      </c>
      <c r="O5" s="247"/>
      <c r="P5" s="247"/>
    </row>
    <row r="6" spans="1:16">
      <c r="A6" s="1"/>
      <c r="B6" s="1"/>
      <c r="C6" s="1"/>
      <c r="D6" s="1"/>
      <c r="E6" s="6" t="s">
        <v>30</v>
      </c>
      <c r="F6" s="1"/>
      <c r="G6" s="1"/>
      <c r="H6" s="1"/>
      <c r="I6" s="1"/>
      <c r="J6" s="1"/>
      <c r="K6" s="1"/>
      <c r="L6" s="1"/>
      <c r="M6" s="1"/>
      <c r="N6" s="247"/>
      <c r="O6" s="247"/>
      <c r="P6" s="247"/>
    </row>
    <row r="7" spans="1:16" ht="8.1" customHeight="1">
      <c r="A7" s="257"/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258"/>
    </row>
    <row r="8" spans="1:16" ht="21" customHeight="1">
      <c r="A8" s="1" t="s">
        <v>59</v>
      </c>
      <c r="B8" s="241" t="s">
        <v>4</v>
      </c>
      <c r="C8" s="241"/>
      <c r="D8" s="241" t="s">
        <v>29</v>
      </c>
      <c r="E8" s="241" t="s">
        <v>25</v>
      </c>
      <c r="F8" s="241" t="s">
        <v>63</v>
      </c>
      <c r="G8" s="260" t="s">
        <v>28</v>
      </c>
      <c r="H8" s="261"/>
      <c r="I8" s="261"/>
      <c r="J8" s="261"/>
      <c r="K8" s="261"/>
      <c r="L8" s="261"/>
      <c r="M8" s="261"/>
      <c r="N8" s="261"/>
      <c r="O8" s="262"/>
      <c r="P8" s="241" t="s">
        <v>2</v>
      </c>
    </row>
    <row r="9" spans="1:16" ht="21" customHeight="1">
      <c r="A9" s="1"/>
      <c r="B9" s="260" t="s">
        <v>66</v>
      </c>
      <c r="C9" s="241" t="s">
        <v>64</v>
      </c>
      <c r="D9" s="241"/>
      <c r="E9" s="241"/>
      <c r="F9" s="241"/>
      <c r="G9" s="241" t="s">
        <v>60</v>
      </c>
      <c r="H9" s="241" t="s">
        <v>66</v>
      </c>
      <c r="I9" s="241"/>
      <c r="J9" s="242" t="s">
        <v>11</v>
      </c>
      <c r="K9" s="241" t="s">
        <v>64</v>
      </c>
      <c r="L9" s="241"/>
      <c r="M9" s="241"/>
      <c r="N9" s="241"/>
      <c r="O9" s="242" t="s">
        <v>11</v>
      </c>
      <c r="P9" s="241"/>
    </row>
    <row r="10" spans="1:16" ht="21" customHeight="1">
      <c r="A10" s="259"/>
      <c r="B10" s="263"/>
      <c r="C10" s="242"/>
      <c r="D10" s="242"/>
      <c r="E10" s="242"/>
      <c r="F10" s="242"/>
      <c r="G10" s="242"/>
      <c r="H10" s="23" t="s">
        <v>4</v>
      </c>
      <c r="I10" s="23" t="s">
        <v>32</v>
      </c>
      <c r="J10" s="243"/>
      <c r="K10" s="244" t="s">
        <v>4</v>
      </c>
      <c r="L10" s="245"/>
      <c r="M10" s="246"/>
      <c r="N10" s="24" t="s">
        <v>32</v>
      </c>
      <c r="O10" s="243"/>
      <c r="P10" s="242"/>
    </row>
    <row r="11" spans="1:16" ht="16.5" customHeight="1">
      <c r="A11" s="53" t="str">
        <f>'1. 소켓인수검사'!A10</f>
        <v>02</v>
      </c>
      <c r="B11" s="54">
        <f>'1. 소켓인수검사'!C10</f>
        <v>750</v>
      </c>
      <c r="C11" s="54">
        <f>'1. 소켓인수검사'!D10</f>
        <v>900</v>
      </c>
      <c r="D11" s="56">
        <v>1</v>
      </c>
      <c r="E11" s="55"/>
      <c r="F11" s="69" t="s">
        <v>51</v>
      </c>
      <c r="G11" s="56" t="s">
        <v>50</v>
      </c>
      <c r="H11" s="66">
        <f>(B11-30)/2-1</f>
        <v>359</v>
      </c>
      <c r="I11" s="56">
        <f>D11*8*2</f>
        <v>16</v>
      </c>
      <c r="J11" s="56"/>
      <c r="K11" s="240">
        <f>(C11-20)/2-10-1</f>
        <v>429</v>
      </c>
      <c r="L11" s="240"/>
      <c r="M11" s="240"/>
      <c r="N11" s="56">
        <f>D11*16*2</f>
        <v>32</v>
      </c>
      <c r="O11" s="56"/>
      <c r="P11" s="67"/>
    </row>
    <row r="12" spans="1:16">
      <c r="A12" s="57" t="str">
        <f>'1. 소켓인수검사'!A11</f>
        <v>03</v>
      </c>
      <c r="B12" s="38">
        <f>'1. 소켓인수검사'!C11</f>
        <v>750</v>
      </c>
      <c r="C12" s="38">
        <f>'1. 소켓인수검사'!D11</f>
        <v>900</v>
      </c>
      <c r="D12" s="33">
        <v>1</v>
      </c>
      <c r="E12" s="39"/>
      <c r="F12" s="70"/>
      <c r="G12" s="33"/>
      <c r="H12" s="68">
        <f t="shared" ref="H12" si="0">(B12-30)/2-1</f>
        <v>359</v>
      </c>
      <c r="I12" s="33">
        <f>D12*8*2</f>
        <v>16</v>
      </c>
      <c r="J12" s="33"/>
      <c r="K12" s="237">
        <f>(C12-20)/2-10-1</f>
        <v>429</v>
      </c>
      <c r="L12" s="237"/>
      <c r="M12" s="237"/>
      <c r="N12" s="33">
        <f>D12*16*2</f>
        <v>32</v>
      </c>
      <c r="O12" s="33"/>
      <c r="P12" s="35"/>
    </row>
    <row r="13" spans="1:16">
      <c r="A13" s="57" t="str">
        <f>'1. 소켓인수검사'!A12</f>
        <v>04</v>
      </c>
      <c r="B13" s="38">
        <f>'1. 소켓인수검사'!C12</f>
        <v>750</v>
      </c>
      <c r="C13" s="38">
        <f>'1. 소켓인수검사'!D12</f>
        <v>900</v>
      </c>
      <c r="D13" s="33">
        <v>1</v>
      </c>
      <c r="E13" s="39"/>
      <c r="F13" s="70"/>
      <c r="G13" s="33"/>
      <c r="H13" s="68">
        <f t="shared" ref="H13:H34" si="1">(B13-30)/2-1</f>
        <v>359</v>
      </c>
      <c r="I13" s="33">
        <f>D13*8*2</f>
        <v>16</v>
      </c>
      <c r="J13" s="33"/>
      <c r="K13" s="237">
        <f t="shared" ref="K13:K34" si="2">(C13-20)/2-10-1</f>
        <v>429</v>
      </c>
      <c r="L13" s="237"/>
      <c r="M13" s="237"/>
      <c r="N13" s="33">
        <f>D13*16*2</f>
        <v>32</v>
      </c>
      <c r="O13" s="33"/>
      <c r="P13" s="35"/>
    </row>
    <row r="14" spans="1:16">
      <c r="A14" s="57" t="str">
        <f>'1. 소켓인수검사'!A13</f>
        <v>05</v>
      </c>
      <c r="B14" s="38">
        <f>'1. 소켓인수검사'!C13</f>
        <v>750</v>
      </c>
      <c r="C14" s="38">
        <f>'1. 소켓인수검사'!D13</f>
        <v>900</v>
      </c>
      <c r="D14" s="33">
        <v>1</v>
      </c>
      <c r="E14" s="39"/>
      <c r="F14" s="70"/>
      <c r="G14" s="33"/>
      <c r="H14" s="68">
        <f t="shared" si="1"/>
        <v>359</v>
      </c>
      <c r="I14" s="33">
        <f t="shared" ref="I14:I20" si="3">D14*8*2</f>
        <v>16</v>
      </c>
      <c r="J14" s="33"/>
      <c r="K14" s="237">
        <f t="shared" si="2"/>
        <v>429</v>
      </c>
      <c r="L14" s="237"/>
      <c r="M14" s="237"/>
      <c r="N14" s="33">
        <f t="shared" ref="N14:N20" si="4">D14*16*2</f>
        <v>32</v>
      </c>
      <c r="O14" s="33"/>
      <c r="P14" s="35"/>
    </row>
    <row r="15" spans="1:16">
      <c r="A15" s="57" t="str">
        <f>'1. 소켓인수검사'!A14</f>
        <v>06</v>
      </c>
      <c r="B15" s="38">
        <f>'1. 소켓인수검사'!C14</f>
        <v>750</v>
      </c>
      <c r="C15" s="38">
        <f>'1. 소켓인수검사'!D14</f>
        <v>950</v>
      </c>
      <c r="D15" s="33">
        <v>1</v>
      </c>
      <c r="E15" s="39"/>
      <c r="F15" s="70"/>
      <c r="G15" s="33"/>
      <c r="H15" s="68">
        <f t="shared" si="1"/>
        <v>359</v>
      </c>
      <c r="I15" s="33">
        <f t="shared" si="3"/>
        <v>16</v>
      </c>
      <c r="J15" s="33"/>
      <c r="K15" s="237">
        <f t="shared" si="2"/>
        <v>454</v>
      </c>
      <c r="L15" s="237"/>
      <c r="M15" s="237"/>
      <c r="N15" s="33">
        <f t="shared" si="4"/>
        <v>32</v>
      </c>
      <c r="O15" s="33"/>
      <c r="P15" s="35"/>
    </row>
    <row r="16" spans="1:16">
      <c r="A16" s="57" t="str">
        <f>'1. 소켓인수검사'!A15</f>
        <v>07</v>
      </c>
      <c r="B16" s="38">
        <f>'1. 소켓인수검사'!C15</f>
        <v>750</v>
      </c>
      <c r="C16" s="38">
        <f>'1. 소켓인수검사'!D15</f>
        <v>950</v>
      </c>
      <c r="D16" s="33">
        <v>1</v>
      </c>
      <c r="E16" s="39"/>
      <c r="F16" s="70"/>
      <c r="G16" s="33"/>
      <c r="H16" s="68">
        <f t="shared" si="1"/>
        <v>359</v>
      </c>
      <c r="I16" s="33">
        <f t="shared" si="3"/>
        <v>16</v>
      </c>
      <c r="J16" s="33"/>
      <c r="K16" s="237">
        <f t="shared" si="2"/>
        <v>454</v>
      </c>
      <c r="L16" s="237"/>
      <c r="M16" s="237"/>
      <c r="N16" s="33">
        <f t="shared" si="4"/>
        <v>32</v>
      </c>
      <c r="O16" s="33"/>
      <c r="P16" s="35"/>
    </row>
    <row r="17" spans="1:16">
      <c r="A17" s="57" t="str">
        <f>'1. 소켓인수검사'!A16</f>
        <v>08</v>
      </c>
      <c r="B17" s="38">
        <f>'1. 소켓인수검사'!C16</f>
        <v>750</v>
      </c>
      <c r="C17" s="38">
        <f>'1. 소켓인수검사'!D16</f>
        <v>950</v>
      </c>
      <c r="D17" s="33">
        <v>1</v>
      </c>
      <c r="E17" s="39"/>
      <c r="F17" s="70"/>
      <c r="G17" s="33"/>
      <c r="H17" s="68">
        <f t="shared" si="1"/>
        <v>359</v>
      </c>
      <c r="I17" s="33">
        <f t="shared" si="3"/>
        <v>16</v>
      </c>
      <c r="J17" s="33"/>
      <c r="K17" s="237">
        <f t="shared" si="2"/>
        <v>454</v>
      </c>
      <c r="L17" s="237"/>
      <c r="M17" s="237"/>
      <c r="N17" s="33">
        <f t="shared" si="4"/>
        <v>32</v>
      </c>
      <c r="O17" s="33"/>
      <c r="P17" s="35"/>
    </row>
    <row r="18" spans="1:16">
      <c r="A18" s="57" t="str">
        <f>'1. 소켓인수검사'!A17</f>
        <v>09</v>
      </c>
      <c r="B18" s="38">
        <f>'1. 소켓인수검사'!C17</f>
        <v>750</v>
      </c>
      <c r="C18" s="38">
        <f>'1. 소켓인수검사'!D17</f>
        <v>950</v>
      </c>
      <c r="D18" s="33">
        <v>1</v>
      </c>
      <c r="E18" s="39"/>
      <c r="F18" s="70"/>
      <c r="G18" s="33"/>
      <c r="H18" s="68">
        <f t="shared" si="1"/>
        <v>359</v>
      </c>
      <c r="I18" s="33">
        <f t="shared" si="3"/>
        <v>16</v>
      </c>
      <c r="J18" s="33"/>
      <c r="K18" s="237">
        <f t="shared" si="2"/>
        <v>454</v>
      </c>
      <c r="L18" s="237"/>
      <c r="M18" s="237"/>
      <c r="N18" s="33">
        <f t="shared" si="4"/>
        <v>32</v>
      </c>
      <c r="O18" s="33"/>
      <c r="P18" s="35"/>
    </row>
    <row r="19" spans="1:16">
      <c r="A19" s="57" t="str">
        <f>'1. 소켓인수검사'!A18</f>
        <v>10</v>
      </c>
      <c r="B19" s="38">
        <f>'1. 소켓인수검사'!C18</f>
        <v>750</v>
      </c>
      <c r="C19" s="38">
        <f>'1. 소켓인수검사'!D18</f>
        <v>950</v>
      </c>
      <c r="D19" s="33">
        <v>1</v>
      </c>
      <c r="E19" s="39"/>
      <c r="F19" s="70"/>
      <c r="G19" s="33"/>
      <c r="H19" s="68">
        <f t="shared" si="1"/>
        <v>359</v>
      </c>
      <c r="I19" s="33">
        <f t="shared" si="3"/>
        <v>16</v>
      </c>
      <c r="J19" s="33"/>
      <c r="K19" s="237">
        <f t="shared" si="2"/>
        <v>454</v>
      </c>
      <c r="L19" s="237"/>
      <c r="M19" s="237"/>
      <c r="N19" s="33">
        <f t="shared" si="4"/>
        <v>32</v>
      </c>
      <c r="O19" s="33"/>
      <c r="P19" s="35"/>
    </row>
    <row r="20" spans="1:16">
      <c r="A20" s="57" t="str">
        <f>'1. 소켓인수검사'!A19</f>
        <v>11</v>
      </c>
      <c r="B20" s="38">
        <f>'1. 소켓인수검사'!C19</f>
        <v>750</v>
      </c>
      <c r="C20" s="38">
        <f>'1. 소켓인수검사'!D19</f>
        <v>950</v>
      </c>
      <c r="D20" s="33">
        <v>1</v>
      </c>
      <c r="E20" s="39"/>
      <c r="F20" s="70"/>
      <c r="G20" s="33"/>
      <c r="H20" s="68">
        <f t="shared" si="1"/>
        <v>359</v>
      </c>
      <c r="I20" s="33">
        <f t="shared" si="3"/>
        <v>16</v>
      </c>
      <c r="J20" s="33"/>
      <c r="K20" s="237">
        <f t="shared" si="2"/>
        <v>454</v>
      </c>
      <c r="L20" s="237"/>
      <c r="M20" s="237"/>
      <c r="N20" s="33">
        <f t="shared" si="4"/>
        <v>32</v>
      </c>
      <c r="O20" s="33"/>
      <c r="P20" s="35"/>
    </row>
    <row r="21" spans="1:16">
      <c r="A21" s="57" t="str">
        <f>'1. 소켓인수검사'!A20</f>
        <v>12</v>
      </c>
      <c r="B21" s="38">
        <f>'1. 소켓인수검사'!C20</f>
        <v>800</v>
      </c>
      <c r="C21" s="38">
        <f>'1. 소켓인수검사'!D20</f>
        <v>900</v>
      </c>
      <c r="D21" s="33">
        <v>1</v>
      </c>
      <c r="E21" s="39"/>
      <c r="F21" s="70"/>
      <c r="G21" s="33"/>
      <c r="H21" s="68">
        <f t="shared" si="1"/>
        <v>384</v>
      </c>
      <c r="I21" s="33">
        <f>D21*8*2</f>
        <v>16</v>
      </c>
      <c r="J21" s="33"/>
      <c r="K21" s="237">
        <f t="shared" si="2"/>
        <v>429</v>
      </c>
      <c r="L21" s="237"/>
      <c r="M21" s="237"/>
      <c r="N21" s="33">
        <f>D21*16*2</f>
        <v>32</v>
      </c>
      <c r="O21" s="33"/>
      <c r="P21" s="35"/>
    </row>
    <row r="22" spans="1:16">
      <c r="A22" s="57" t="str">
        <f>'1. 소켓인수검사'!A21</f>
        <v>13</v>
      </c>
      <c r="B22" s="38">
        <f>'1. 소켓인수검사'!C21</f>
        <v>800</v>
      </c>
      <c r="C22" s="38">
        <f>'1. 소켓인수검사'!D21</f>
        <v>900</v>
      </c>
      <c r="D22" s="33">
        <v>1</v>
      </c>
      <c r="E22" s="39"/>
      <c r="F22" s="70"/>
      <c r="G22" s="33"/>
      <c r="H22" s="68">
        <f t="shared" si="1"/>
        <v>384</v>
      </c>
      <c r="I22" s="33">
        <f>D22*8*2</f>
        <v>16</v>
      </c>
      <c r="J22" s="33"/>
      <c r="K22" s="237">
        <f t="shared" si="2"/>
        <v>429</v>
      </c>
      <c r="L22" s="237"/>
      <c r="M22" s="237"/>
      <c r="N22" s="33">
        <f>D22*16*2</f>
        <v>32</v>
      </c>
      <c r="O22" s="33"/>
      <c r="P22" s="35"/>
    </row>
    <row r="23" spans="1:16">
      <c r="A23" s="57" t="str">
        <f>'1. 소켓인수검사'!A22</f>
        <v>14</v>
      </c>
      <c r="B23" s="38">
        <f>'1. 소켓인수검사'!C22</f>
        <v>800</v>
      </c>
      <c r="C23" s="38">
        <f>'1. 소켓인수검사'!D22</f>
        <v>900</v>
      </c>
      <c r="D23" s="33">
        <v>1</v>
      </c>
      <c r="E23" s="39"/>
      <c r="F23" s="70"/>
      <c r="G23" s="33"/>
      <c r="H23" s="68">
        <f t="shared" si="1"/>
        <v>384</v>
      </c>
      <c r="I23" s="33">
        <f t="shared" ref="I23:I29" si="5">D23*8*2</f>
        <v>16</v>
      </c>
      <c r="J23" s="33"/>
      <c r="K23" s="237">
        <f t="shared" si="2"/>
        <v>429</v>
      </c>
      <c r="L23" s="237"/>
      <c r="M23" s="237"/>
      <c r="N23" s="33">
        <f t="shared" ref="N23:N29" si="6">D23*16*2</f>
        <v>32</v>
      </c>
      <c r="O23" s="33"/>
      <c r="P23" s="35"/>
    </row>
    <row r="24" spans="1:16">
      <c r="A24" s="57" t="str">
        <f>'1. 소켓인수검사'!A23</f>
        <v>15</v>
      </c>
      <c r="B24" s="38">
        <f>'1. 소켓인수검사'!C23</f>
        <v>800</v>
      </c>
      <c r="C24" s="38">
        <f>'1. 소켓인수검사'!D23</f>
        <v>1050</v>
      </c>
      <c r="D24" s="33">
        <v>1</v>
      </c>
      <c r="E24" s="39"/>
      <c r="F24" s="70"/>
      <c r="G24" s="33"/>
      <c r="H24" s="68">
        <f t="shared" si="1"/>
        <v>384</v>
      </c>
      <c r="I24" s="33">
        <f t="shared" si="5"/>
        <v>16</v>
      </c>
      <c r="J24" s="33"/>
      <c r="K24" s="237">
        <f t="shared" si="2"/>
        <v>504</v>
      </c>
      <c r="L24" s="237"/>
      <c r="M24" s="237"/>
      <c r="N24" s="33">
        <f t="shared" si="6"/>
        <v>32</v>
      </c>
      <c r="O24" s="33"/>
      <c r="P24" s="35"/>
    </row>
    <row r="25" spans="1:16">
      <c r="A25" s="57" t="str">
        <f>'1. 소켓인수검사'!A24</f>
        <v>16</v>
      </c>
      <c r="B25" s="38">
        <f>'1. 소켓인수검사'!C24</f>
        <v>800</v>
      </c>
      <c r="C25" s="38">
        <f>'1. 소켓인수검사'!D24</f>
        <v>1050</v>
      </c>
      <c r="D25" s="33">
        <v>1</v>
      </c>
      <c r="E25" s="39"/>
      <c r="F25" s="70"/>
      <c r="G25" s="33"/>
      <c r="H25" s="68">
        <f t="shared" si="1"/>
        <v>384</v>
      </c>
      <c r="I25" s="33">
        <f t="shared" si="5"/>
        <v>16</v>
      </c>
      <c r="J25" s="33"/>
      <c r="K25" s="237">
        <f t="shared" si="2"/>
        <v>504</v>
      </c>
      <c r="L25" s="237"/>
      <c r="M25" s="237"/>
      <c r="N25" s="33">
        <f t="shared" si="6"/>
        <v>32</v>
      </c>
      <c r="O25" s="33"/>
      <c r="P25" s="35"/>
    </row>
    <row r="26" spans="1:16">
      <c r="A26" s="57" t="str">
        <f>'1. 소켓인수검사'!A25</f>
        <v>17</v>
      </c>
      <c r="B26" s="38">
        <f>'1. 소켓인수검사'!C25</f>
        <v>800</v>
      </c>
      <c r="C26" s="38">
        <f>'1. 소켓인수검사'!D25</f>
        <v>1050</v>
      </c>
      <c r="D26" s="33">
        <v>1</v>
      </c>
      <c r="E26" s="39"/>
      <c r="F26" s="70"/>
      <c r="G26" s="33"/>
      <c r="H26" s="68">
        <f t="shared" si="1"/>
        <v>384</v>
      </c>
      <c r="I26" s="33">
        <f t="shared" si="5"/>
        <v>16</v>
      </c>
      <c r="J26" s="33"/>
      <c r="K26" s="237">
        <f t="shared" si="2"/>
        <v>504</v>
      </c>
      <c r="L26" s="237"/>
      <c r="M26" s="237"/>
      <c r="N26" s="33">
        <f t="shared" si="6"/>
        <v>32</v>
      </c>
      <c r="O26" s="33"/>
      <c r="P26" s="35"/>
    </row>
    <row r="27" spans="1:16">
      <c r="A27" s="57" t="str">
        <f>'1. 소켓인수검사'!A26</f>
        <v>18</v>
      </c>
      <c r="B27" s="38">
        <f>'1. 소켓인수검사'!C26</f>
        <v>900</v>
      </c>
      <c r="C27" s="38">
        <f>'1. 소켓인수검사'!D26</f>
        <v>950</v>
      </c>
      <c r="D27" s="33">
        <v>1</v>
      </c>
      <c r="E27" s="39"/>
      <c r="F27" s="70"/>
      <c r="G27" s="33"/>
      <c r="H27" s="68">
        <f t="shared" si="1"/>
        <v>434</v>
      </c>
      <c r="I27" s="33">
        <f t="shared" si="5"/>
        <v>16</v>
      </c>
      <c r="J27" s="33"/>
      <c r="K27" s="237">
        <f t="shared" si="2"/>
        <v>454</v>
      </c>
      <c r="L27" s="237"/>
      <c r="M27" s="237"/>
      <c r="N27" s="33">
        <f t="shared" si="6"/>
        <v>32</v>
      </c>
      <c r="O27" s="33"/>
      <c r="P27" s="35"/>
    </row>
    <row r="28" spans="1:16">
      <c r="A28" s="57" t="str">
        <f>'1. 소켓인수검사'!A27</f>
        <v>19</v>
      </c>
      <c r="B28" s="38">
        <f>'1. 소켓인수검사'!C27</f>
        <v>900</v>
      </c>
      <c r="C28" s="38">
        <f>'1. 소켓인수검사'!D27</f>
        <v>950</v>
      </c>
      <c r="D28" s="33">
        <v>1</v>
      </c>
      <c r="E28" s="39"/>
      <c r="F28" s="70"/>
      <c r="G28" s="33"/>
      <c r="H28" s="68">
        <f t="shared" si="1"/>
        <v>434</v>
      </c>
      <c r="I28" s="33">
        <f t="shared" si="5"/>
        <v>16</v>
      </c>
      <c r="J28" s="33"/>
      <c r="K28" s="237">
        <f t="shared" si="2"/>
        <v>454</v>
      </c>
      <c r="L28" s="237"/>
      <c r="M28" s="237"/>
      <c r="N28" s="33">
        <f t="shared" si="6"/>
        <v>32</v>
      </c>
      <c r="O28" s="33"/>
      <c r="P28" s="35"/>
    </row>
    <row r="29" spans="1:16">
      <c r="A29" s="57" t="str">
        <f>'1. 소켓인수검사'!A28</f>
        <v>20</v>
      </c>
      <c r="B29" s="38">
        <f>'1. 소켓인수검사'!C28</f>
        <v>900</v>
      </c>
      <c r="C29" s="38">
        <f>'1. 소켓인수검사'!D28</f>
        <v>950</v>
      </c>
      <c r="D29" s="33">
        <v>1</v>
      </c>
      <c r="E29" s="39"/>
      <c r="F29" s="70"/>
      <c r="G29" s="33"/>
      <c r="H29" s="68">
        <f t="shared" si="1"/>
        <v>434</v>
      </c>
      <c r="I29" s="33">
        <f t="shared" si="5"/>
        <v>16</v>
      </c>
      <c r="J29" s="33"/>
      <c r="K29" s="237">
        <f t="shared" si="2"/>
        <v>454</v>
      </c>
      <c r="L29" s="237"/>
      <c r="M29" s="237"/>
      <c r="N29" s="33">
        <f t="shared" si="6"/>
        <v>32</v>
      </c>
      <c r="O29" s="33"/>
      <c r="P29" s="35"/>
    </row>
    <row r="30" spans="1:16">
      <c r="A30" s="57" t="str">
        <f>'1. 소켓인수검사'!A29</f>
        <v>21</v>
      </c>
      <c r="B30" s="38">
        <f>'1. 소켓인수검사'!C29</f>
        <v>1000</v>
      </c>
      <c r="C30" s="38">
        <f>'1. 소켓인수검사'!D29</f>
        <v>1000</v>
      </c>
      <c r="D30" s="33">
        <v>1</v>
      </c>
      <c r="E30" s="39"/>
      <c r="F30" s="70"/>
      <c r="G30" s="33"/>
      <c r="H30" s="68">
        <f t="shared" si="1"/>
        <v>484</v>
      </c>
      <c r="I30" s="33">
        <f>D30*8*2</f>
        <v>16</v>
      </c>
      <c r="J30" s="33"/>
      <c r="K30" s="237">
        <f t="shared" si="2"/>
        <v>479</v>
      </c>
      <c r="L30" s="237"/>
      <c r="M30" s="237"/>
      <c r="N30" s="33">
        <f>D30*16*2</f>
        <v>32</v>
      </c>
      <c r="O30" s="33"/>
      <c r="P30" s="35"/>
    </row>
    <row r="31" spans="1:16">
      <c r="A31" s="57" t="str">
        <f>'1. 소켓인수검사'!A30</f>
        <v>22</v>
      </c>
      <c r="B31" s="38">
        <f>'1. 소켓인수검사'!C30</f>
        <v>1000</v>
      </c>
      <c r="C31" s="38">
        <f>'1. 소켓인수검사'!D30</f>
        <v>1000</v>
      </c>
      <c r="D31" s="33">
        <v>1</v>
      </c>
      <c r="E31" s="39"/>
      <c r="F31" s="70"/>
      <c r="G31" s="33"/>
      <c r="H31" s="68">
        <f t="shared" si="1"/>
        <v>484</v>
      </c>
      <c r="I31" s="33">
        <f>D31*8*2</f>
        <v>16</v>
      </c>
      <c r="J31" s="33"/>
      <c r="K31" s="237">
        <f t="shared" si="2"/>
        <v>479</v>
      </c>
      <c r="L31" s="237"/>
      <c r="M31" s="237"/>
      <c r="N31" s="33">
        <f>D31*16*2</f>
        <v>32</v>
      </c>
      <c r="O31" s="33"/>
      <c r="P31" s="35"/>
    </row>
    <row r="32" spans="1:16">
      <c r="A32" s="57" t="str">
        <f>'1. 소켓인수검사'!A31</f>
        <v>23</v>
      </c>
      <c r="B32" s="38">
        <f>'1. 소켓인수검사'!C31</f>
        <v>1200</v>
      </c>
      <c r="C32" s="38">
        <f>'1. 소켓인수검사'!D31</f>
        <v>800</v>
      </c>
      <c r="D32" s="33">
        <v>1</v>
      </c>
      <c r="E32" s="39"/>
      <c r="F32" s="70"/>
      <c r="G32" s="33"/>
      <c r="H32" s="68">
        <f t="shared" si="1"/>
        <v>584</v>
      </c>
      <c r="I32" s="33">
        <f t="shared" ref="I32:I34" si="7">D32*8*2</f>
        <v>16</v>
      </c>
      <c r="J32" s="33"/>
      <c r="K32" s="237">
        <f t="shared" si="2"/>
        <v>379</v>
      </c>
      <c r="L32" s="237"/>
      <c r="M32" s="237"/>
      <c r="N32" s="33">
        <f t="shared" ref="N32:N34" si="8">D32*16*2</f>
        <v>32</v>
      </c>
      <c r="O32" s="33"/>
      <c r="P32" s="35"/>
    </row>
    <row r="33" spans="1:16">
      <c r="A33" s="57" t="str">
        <f>'1. 소켓인수검사'!A32</f>
        <v>24</v>
      </c>
      <c r="B33" s="38">
        <f>'1. 소켓인수검사'!C32</f>
        <v>1200</v>
      </c>
      <c r="C33" s="38">
        <f>'1. 소켓인수검사'!D32</f>
        <v>800</v>
      </c>
      <c r="D33" s="33">
        <v>1</v>
      </c>
      <c r="E33" s="39"/>
      <c r="F33" s="70"/>
      <c r="G33" s="33"/>
      <c r="H33" s="68">
        <f t="shared" si="1"/>
        <v>584</v>
      </c>
      <c r="I33" s="33">
        <f t="shared" si="7"/>
        <v>16</v>
      </c>
      <c r="J33" s="33"/>
      <c r="K33" s="237">
        <f t="shared" si="2"/>
        <v>379</v>
      </c>
      <c r="L33" s="237"/>
      <c r="M33" s="237"/>
      <c r="N33" s="33">
        <f t="shared" si="8"/>
        <v>32</v>
      </c>
      <c r="O33" s="33"/>
      <c r="P33" s="35"/>
    </row>
    <row r="34" spans="1:16">
      <c r="A34" s="57" t="str">
        <f>'1. 소켓인수검사'!A33</f>
        <v>25</v>
      </c>
      <c r="B34" s="38">
        <f>'1. 소켓인수검사'!C33</f>
        <v>1300</v>
      </c>
      <c r="C34" s="38">
        <f>'1. 소켓인수검사'!D33</f>
        <v>800</v>
      </c>
      <c r="D34" s="33">
        <v>1</v>
      </c>
      <c r="E34" s="39"/>
      <c r="F34" s="70"/>
      <c r="G34" s="33"/>
      <c r="H34" s="68">
        <f t="shared" si="1"/>
        <v>634</v>
      </c>
      <c r="I34" s="33">
        <f t="shared" si="7"/>
        <v>16</v>
      </c>
      <c r="J34" s="33"/>
      <c r="K34" s="237">
        <f t="shared" si="2"/>
        <v>379</v>
      </c>
      <c r="L34" s="237"/>
      <c r="M34" s="237"/>
      <c r="N34" s="33">
        <f t="shared" si="8"/>
        <v>32</v>
      </c>
      <c r="O34" s="33"/>
      <c r="P34" s="35"/>
    </row>
    <row r="35" spans="1:16" ht="8.1" customHeight="1">
      <c r="A35" s="23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239"/>
    </row>
    <row r="36" spans="1:16">
      <c r="A36" s="217" t="s">
        <v>47</v>
      </c>
      <c r="B36" s="217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217"/>
      <c r="B37" s="217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217"/>
      <c r="B38" s="217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217"/>
      <c r="B39" s="217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217"/>
      <c r="B40" s="217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217"/>
      <c r="B41" s="217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</sheetData>
  <mergeCells count="55">
    <mergeCell ref="G8:O8"/>
    <mergeCell ref="P8:P10"/>
    <mergeCell ref="B9:B10"/>
    <mergeCell ref="C9:C10"/>
    <mergeCell ref="G9:G10"/>
    <mergeCell ref="H9:I9"/>
    <mergeCell ref="J9:J10"/>
    <mergeCell ref="A8:A10"/>
    <mergeCell ref="B8:C8"/>
    <mergeCell ref="D8:D10"/>
    <mergeCell ref="E8:E10"/>
    <mergeCell ref="F8:F10"/>
    <mergeCell ref="K9:N9"/>
    <mergeCell ref="O9:O10"/>
    <mergeCell ref="K10:M10"/>
    <mergeCell ref="A1:D3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  <mergeCell ref="E1:P4"/>
    <mergeCell ref="A7:P7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A36:B41"/>
    <mergeCell ref="C36:P41"/>
    <mergeCell ref="K31:M31"/>
    <mergeCell ref="K32:M32"/>
    <mergeCell ref="K33:M33"/>
    <mergeCell ref="K34:M34"/>
    <mergeCell ref="A35:P35"/>
  </mergeCells>
  <phoneticPr fontId="28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A1:Q41"/>
  <sheetViews>
    <sheetView showGridLines="0" zoomScaleNormal="100" zoomScaleSheetLayoutView="100" workbookViewId="0">
      <selection activeCell="T33" sqref="T33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6.625" style="5" customWidth="1"/>
    <col min="6" max="6" width="6.75" style="5" customWidth="1"/>
    <col min="7" max="7" width="6.625" style="5" customWidth="1"/>
    <col min="8" max="9" width="9.625" style="5" customWidth="1"/>
    <col min="10" max="10" width="7.125" style="5" customWidth="1"/>
    <col min="11" max="11" width="6.625" style="5" customWidth="1"/>
    <col min="12" max="14" width="3" style="5" customWidth="1"/>
    <col min="15" max="17" width="9.75" style="5" customWidth="1"/>
    <col min="18" max="16384" width="9" style="5"/>
  </cols>
  <sheetData>
    <row r="1" spans="1:17" ht="16.5" customHeight="1">
      <c r="A1" s="1"/>
      <c r="B1" s="1"/>
      <c r="C1" s="1"/>
      <c r="D1" s="1"/>
      <c r="E1" s="248" t="s">
        <v>15</v>
      </c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50"/>
    </row>
    <row r="2" spans="1:17" ht="16.5" customHeight="1">
      <c r="A2" s="1"/>
      <c r="B2" s="1"/>
      <c r="C2" s="1"/>
      <c r="D2" s="1"/>
      <c r="E2" s="251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3"/>
    </row>
    <row r="3" spans="1:17" ht="16.5" customHeight="1">
      <c r="A3" s="1"/>
      <c r="B3" s="1"/>
      <c r="C3" s="1"/>
      <c r="D3" s="1"/>
      <c r="E3" s="251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3"/>
    </row>
    <row r="4" spans="1:17" ht="16.5" customHeight="1">
      <c r="A4" s="1" t="s">
        <v>17</v>
      </c>
      <c r="B4" s="1"/>
      <c r="C4" s="1"/>
      <c r="D4" s="1"/>
      <c r="E4" s="254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6"/>
    </row>
    <row r="5" spans="1:17" ht="16.5" customHeight="1">
      <c r="A5" s="1" t="s">
        <v>27</v>
      </c>
      <c r="B5" s="1"/>
      <c r="C5" s="1"/>
      <c r="D5" s="1"/>
      <c r="E5" s="6" t="s">
        <v>33</v>
      </c>
      <c r="F5" s="1"/>
      <c r="G5" s="1"/>
      <c r="H5" s="1" t="s">
        <v>62</v>
      </c>
      <c r="I5" s="1"/>
      <c r="J5" s="1"/>
      <c r="K5" s="238" t="s">
        <v>58</v>
      </c>
      <c r="L5" s="1"/>
      <c r="M5" s="1"/>
      <c r="N5" s="239"/>
      <c r="O5" s="247" t="str">
        <f>'1. 소켓인수검사'!R2</f>
        <v>26.06.08 행복산업_덕신건업_롯데건설_인천효성구역 도시개발사업 공동주택(4BL)</v>
      </c>
      <c r="P5" s="247"/>
      <c r="Q5" s="247"/>
    </row>
    <row r="6" spans="1:17">
      <c r="A6" s="1"/>
      <c r="B6" s="1"/>
      <c r="C6" s="1"/>
      <c r="D6" s="1"/>
      <c r="E6" s="6" t="s">
        <v>30</v>
      </c>
      <c r="F6" s="1"/>
      <c r="G6" s="1"/>
      <c r="H6" s="1"/>
      <c r="I6" s="1"/>
      <c r="J6" s="1"/>
      <c r="K6" s="257"/>
      <c r="L6" s="150"/>
      <c r="M6" s="150"/>
      <c r="N6" s="258"/>
      <c r="O6" s="247"/>
      <c r="P6" s="247"/>
      <c r="Q6" s="247"/>
    </row>
    <row r="7" spans="1:17" ht="8.1" customHeight="1">
      <c r="A7" s="257"/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258"/>
    </row>
    <row r="8" spans="1:17">
      <c r="A8" s="1" t="s">
        <v>59</v>
      </c>
      <c r="B8" s="241" t="s">
        <v>4</v>
      </c>
      <c r="C8" s="241"/>
      <c r="D8" s="241" t="s">
        <v>29</v>
      </c>
      <c r="E8" s="241" t="s">
        <v>25</v>
      </c>
      <c r="F8" s="241" t="s">
        <v>63</v>
      </c>
      <c r="G8" s="260" t="s">
        <v>28</v>
      </c>
      <c r="H8" s="261"/>
      <c r="I8" s="261"/>
      <c r="J8" s="261"/>
      <c r="K8" s="260"/>
      <c r="L8" s="261"/>
      <c r="M8" s="261"/>
      <c r="N8" s="261"/>
      <c r="O8" s="261"/>
      <c r="P8" s="262"/>
      <c r="Q8" s="241" t="s">
        <v>2</v>
      </c>
    </row>
    <row r="9" spans="1:17" ht="16.5" customHeight="1">
      <c r="A9" s="1"/>
      <c r="B9" s="260" t="s">
        <v>66</v>
      </c>
      <c r="C9" s="241" t="s">
        <v>64</v>
      </c>
      <c r="D9" s="241"/>
      <c r="E9" s="241"/>
      <c r="F9" s="241"/>
      <c r="G9" s="241" t="s">
        <v>60</v>
      </c>
      <c r="H9" s="241" t="s">
        <v>52</v>
      </c>
      <c r="I9" s="241"/>
      <c r="J9" s="242" t="s">
        <v>11</v>
      </c>
      <c r="K9" s="242" t="s">
        <v>60</v>
      </c>
      <c r="L9" s="241" t="s">
        <v>19</v>
      </c>
      <c r="M9" s="241"/>
      <c r="N9" s="241"/>
      <c r="O9" s="241"/>
      <c r="P9" s="242" t="s">
        <v>11</v>
      </c>
      <c r="Q9" s="241"/>
    </row>
    <row r="10" spans="1:17">
      <c r="A10" s="259"/>
      <c r="B10" s="263"/>
      <c r="C10" s="242"/>
      <c r="D10" s="242"/>
      <c r="E10" s="242"/>
      <c r="F10" s="242"/>
      <c r="G10" s="242"/>
      <c r="H10" s="23" t="s">
        <v>4</v>
      </c>
      <c r="I10" s="23" t="s">
        <v>32</v>
      </c>
      <c r="J10" s="243"/>
      <c r="K10" s="243"/>
      <c r="L10" s="244" t="s">
        <v>4</v>
      </c>
      <c r="M10" s="245"/>
      <c r="N10" s="246"/>
      <c r="O10" s="24" t="s">
        <v>32</v>
      </c>
      <c r="P10" s="243"/>
      <c r="Q10" s="242"/>
    </row>
    <row r="11" spans="1:17" ht="20.100000000000001" customHeight="1">
      <c r="A11" s="53" t="str">
        <f>'1. 소켓인수검사'!A10</f>
        <v>02</v>
      </c>
      <c r="B11" s="54">
        <f>'1. 소켓인수검사'!C10</f>
        <v>750</v>
      </c>
      <c r="C11" s="54">
        <f>'1. 소켓인수검사'!D10</f>
        <v>900</v>
      </c>
      <c r="D11" s="56">
        <v>1</v>
      </c>
      <c r="E11" s="71"/>
      <c r="F11" s="221" t="s">
        <v>51</v>
      </c>
      <c r="G11" s="66">
        <f>228-3</f>
        <v>225</v>
      </c>
      <c r="H11" s="56">
        <f>((B11-30)/2)-1</f>
        <v>359</v>
      </c>
      <c r="I11" s="56">
        <f t="shared" ref="I11:I34" si="0">D11*4*2</f>
        <v>8</v>
      </c>
      <c r="J11" s="56"/>
      <c r="K11" s="66">
        <f>240-3</f>
        <v>237</v>
      </c>
      <c r="L11" s="266">
        <f t="shared" ref="L11:L21" si="1">C11</f>
        <v>900</v>
      </c>
      <c r="M11" s="267"/>
      <c r="N11" s="267"/>
      <c r="O11" s="56">
        <f t="shared" ref="O11:O21" si="2">D11*2*2</f>
        <v>4</v>
      </c>
      <c r="P11" s="27"/>
      <c r="Q11" s="28"/>
    </row>
    <row r="12" spans="1:17" ht="19.5" customHeight="1">
      <c r="A12" s="57" t="str">
        <f>'1. 소켓인수검사'!A11</f>
        <v>03</v>
      </c>
      <c r="B12" s="38">
        <f>'1. 소켓인수검사'!C11</f>
        <v>750</v>
      </c>
      <c r="C12" s="38">
        <f>'1. 소켓인수검사'!D11</f>
        <v>900</v>
      </c>
      <c r="D12" s="33">
        <v>1</v>
      </c>
      <c r="E12" s="72"/>
      <c r="F12" s="222"/>
      <c r="G12" s="68">
        <f t="shared" ref="G12:G34" si="3">228-3</f>
        <v>225</v>
      </c>
      <c r="H12" s="33">
        <f>((B12-30)/2)-1</f>
        <v>359</v>
      </c>
      <c r="I12" s="33">
        <f t="shared" si="0"/>
        <v>8</v>
      </c>
      <c r="J12" s="33"/>
      <c r="K12" s="68">
        <f t="shared" ref="K12:K34" si="4">240-3</f>
        <v>237</v>
      </c>
      <c r="L12" s="264">
        <f t="shared" si="1"/>
        <v>900</v>
      </c>
      <c r="M12" s="265"/>
      <c r="N12" s="265"/>
      <c r="O12" s="33">
        <f t="shared" si="2"/>
        <v>4</v>
      </c>
      <c r="P12" s="30"/>
      <c r="Q12" s="31"/>
    </row>
    <row r="13" spans="1:17" ht="20.100000000000001" customHeight="1">
      <c r="A13" s="57" t="str">
        <f>'1. 소켓인수검사'!A12</f>
        <v>04</v>
      </c>
      <c r="B13" s="38">
        <f>'1. 소켓인수검사'!C12</f>
        <v>750</v>
      </c>
      <c r="C13" s="38">
        <f>'1. 소켓인수검사'!D12</f>
        <v>900</v>
      </c>
      <c r="D13" s="33">
        <v>1</v>
      </c>
      <c r="E13" s="72"/>
      <c r="F13" s="222"/>
      <c r="G13" s="68">
        <f t="shared" si="3"/>
        <v>225</v>
      </c>
      <c r="H13" s="33">
        <f t="shared" ref="H13:H21" si="5">((B13-30)/2)-1</f>
        <v>359</v>
      </c>
      <c r="I13" s="33">
        <f t="shared" si="0"/>
        <v>8</v>
      </c>
      <c r="J13" s="33"/>
      <c r="K13" s="68">
        <f t="shared" si="4"/>
        <v>237</v>
      </c>
      <c r="L13" s="264">
        <f t="shared" si="1"/>
        <v>900</v>
      </c>
      <c r="M13" s="265"/>
      <c r="N13" s="265"/>
      <c r="O13" s="33">
        <f t="shared" si="2"/>
        <v>4</v>
      </c>
      <c r="P13" s="30"/>
      <c r="Q13" s="31"/>
    </row>
    <row r="14" spans="1:17" ht="20.100000000000001" customHeight="1">
      <c r="A14" s="57" t="str">
        <f>'1. 소켓인수검사'!A13</f>
        <v>05</v>
      </c>
      <c r="B14" s="38">
        <f>'1. 소켓인수검사'!C13</f>
        <v>750</v>
      </c>
      <c r="C14" s="38">
        <f>'1. 소켓인수검사'!D13</f>
        <v>900</v>
      </c>
      <c r="D14" s="33">
        <v>1</v>
      </c>
      <c r="E14" s="72"/>
      <c r="F14" s="222"/>
      <c r="G14" s="68">
        <f t="shared" si="3"/>
        <v>225</v>
      </c>
      <c r="H14" s="33">
        <f t="shared" si="5"/>
        <v>359</v>
      </c>
      <c r="I14" s="33">
        <f t="shared" si="0"/>
        <v>8</v>
      </c>
      <c r="J14" s="33"/>
      <c r="K14" s="68">
        <f t="shared" si="4"/>
        <v>237</v>
      </c>
      <c r="L14" s="264">
        <f t="shared" si="1"/>
        <v>900</v>
      </c>
      <c r="M14" s="265"/>
      <c r="N14" s="265"/>
      <c r="O14" s="33">
        <f t="shared" si="2"/>
        <v>4</v>
      </c>
      <c r="P14" s="30"/>
      <c r="Q14" s="31"/>
    </row>
    <row r="15" spans="1:17" ht="20.100000000000001" customHeight="1">
      <c r="A15" s="57" t="str">
        <f>'1. 소켓인수검사'!A14</f>
        <v>06</v>
      </c>
      <c r="B15" s="38">
        <f>'1. 소켓인수검사'!C14</f>
        <v>750</v>
      </c>
      <c r="C15" s="38">
        <f>'1. 소켓인수검사'!D14</f>
        <v>950</v>
      </c>
      <c r="D15" s="33">
        <v>1</v>
      </c>
      <c r="E15" s="72"/>
      <c r="F15" s="222"/>
      <c r="G15" s="68">
        <f t="shared" si="3"/>
        <v>225</v>
      </c>
      <c r="H15" s="33">
        <f t="shared" si="5"/>
        <v>359</v>
      </c>
      <c r="I15" s="33">
        <f t="shared" si="0"/>
        <v>8</v>
      </c>
      <c r="J15" s="33"/>
      <c r="K15" s="68">
        <f t="shared" si="4"/>
        <v>237</v>
      </c>
      <c r="L15" s="264">
        <f t="shared" si="1"/>
        <v>950</v>
      </c>
      <c r="M15" s="265"/>
      <c r="N15" s="265"/>
      <c r="O15" s="33">
        <f t="shared" si="2"/>
        <v>4</v>
      </c>
      <c r="P15" s="30"/>
      <c r="Q15" s="73"/>
    </row>
    <row r="16" spans="1:17" ht="20.100000000000001" customHeight="1">
      <c r="A16" s="57" t="str">
        <f>'1. 소켓인수검사'!A15</f>
        <v>07</v>
      </c>
      <c r="B16" s="38">
        <f>'1. 소켓인수검사'!C15</f>
        <v>750</v>
      </c>
      <c r="C16" s="38">
        <f>'1. 소켓인수검사'!D15</f>
        <v>950</v>
      </c>
      <c r="D16" s="33">
        <v>1</v>
      </c>
      <c r="E16" s="72"/>
      <c r="F16" s="222"/>
      <c r="G16" s="68">
        <f t="shared" si="3"/>
        <v>225</v>
      </c>
      <c r="H16" s="33">
        <f t="shared" si="5"/>
        <v>359</v>
      </c>
      <c r="I16" s="33">
        <f t="shared" si="0"/>
        <v>8</v>
      </c>
      <c r="J16" s="33"/>
      <c r="K16" s="68">
        <f t="shared" si="4"/>
        <v>237</v>
      </c>
      <c r="L16" s="264">
        <f t="shared" si="1"/>
        <v>950</v>
      </c>
      <c r="M16" s="265"/>
      <c r="N16" s="265"/>
      <c r="O16" s="33">
        <f t="shared" si="2"/>
        <v>4</v>
      </c>
      <c r="P16" s="30"/>
      <c r="Q16" s="73"/>
    </row>
    <row r="17" spans="1:17" ht="20.100000000000001" customHeight="1">
      <c r="A17" s="57" t="str">
        <f>'1. 소켓인수검사'!A16</f>
        <v>08</v>
      </c>
      <c r="B17" s="38">
        <f>'1. 소켓인수검사'!C16</f>
        <v>750</v>
      </c>
      <c r="C17" s="38">
        <f>'1. 소켓인수검사'!D16</f>
        <v>950</v>
      </c>
      <c r="D17" s="33">
        <v>1</v>
      </c>
      <c r="E17" s="72"/>
      <c r="F17" s="222"/>
      <c r="G17" s="68">
        <f t="shared" si="3"/>
        <v>225</v>
      </c>
      <c r="H17" s="33">
        <f t="shared" si="5"/>
        <v>359</v>
      </c>
      <c r="I17" s="33">
        <f t="shared" si="0"/>
        <v>8</v>
      </c>
      <c r="J17" s="33"/>
      <c r="K17" s="68">
        <f t="shared" si="4"/>
        <v>237</v>
      </c>
      <c r="L17" s="264">
        <f t="shared" si="1"/>
        <v>950</v>
      </c>
      <c r="M17" s="265"/>
      <c r="N17" s="265"/>
      <c r="O17" s="33">
        <f t="shared" si="2"/>
        <v>4</v>
      </c>
      <c r="P17" s="30"/>
      <c r="Q17" s="31"/>
    </row>
    <row r="18" spans="1:17" ht="20.100000000000001" customHeight="1">
      <c r="A18" s="57" t="str">
        <f>'1. 소켓인수검사'!A17</f>
        <v>09</v>
      </c>
      <c r="B18" s="38">
        <f>'1. 소켓인수검사'!C17</f>
        <v>750</v>
      </c>
      <c r="C18" s="38">
        <f>'1. 소켓인수검사'!D17</f>
        <v>950</v>
      </c>
      <c r="D18" s="33">
        <v>1</v>
      </c>
      <c r="E18" s="72"/>
      <c r="F18" s="222"/>
      <c r="G18" s="68">
        <f t="shared" si="3"/>
        <v>225</v>
      </c>
      <c r="H18" s="33">
        <f t="shared" si="5"/>
        <v>359</v>
      </c>
      <c r="I18" s="33">
        <f t="shared" si="0"/>
        <v>8</v>
      </c>
      <c r="J18" s="33"/>
      <c r="K18" s="68">
        <f t="shared" si="4"/>
        <v>237</v>
      </c>
      <c r="L18" s="264">
        <f t="shared" si="1"/>
        <v>950</v>
      </c>
      <c r="M18" s="265"/>
      <c r="N18" s="265"/>
      <c r="O18" s="33">
        <f t="shared" si="2"/>
        <v>4</v>
      </c>
      <c r="P18" s="30"/>
      <c r="Q18" s="31"/>
    </row>
    <row r="19" spans="1:17" ht="20.100000000000001" customHeight="1">
      <c r="A19" s="57" t="str">
        <f>'1. 소켓인수검사'!A18</f>
        <v>10</v>
      </c>
      <c r="B19" s="38">
        <f>'1. 소켓인수검사'!C18</f>
        <v>750</v>
      </c>
      <c r="C19" s="38">
        <f>'1. 소켓인수검사'!D18</f>
        <v>950</v>
      </c>
      <c r="D19" s="33">
        <v>1</v>
      </c>
      <c r="E19" s="72"/>
      <c r="F19" s="222"/>
      <c r="G19" s="68">
        <f t="shared" si="3"/>
        <v>225</v>
      </c>
      <c r="H19" s="33">
        <f t="shared" si="5"/>
        <v>359</v>
      </c>
      <c r="I19" s="33">
        <f t="shared" si="0"/>
        <v>8</v>
      </c>
      <c r="J19" s="33"/>
      <c r="K19" s="68">
        <f t="shared" si="4"/>
        <v>237</v>
      </c>
      <c r="L19" s="264">
        <f t="shared" si="1"/>
        <v>950</v>
      </c>
      <c r="M19" s="265"/>
      <c r="N19" s="265"/>
      <c r="O19" s="33">
        <f t="shared" si="2"/>
        <v>4</v>
      </c>
      <c r="P19" s="30"/>
      <c r="Q19" s="31"/>
    </row>
    <row r="20" spans="1:17" ht="20.100000000000001" customHeight="1">
      <c r="A20" s="57" t="str">
        <f>'1. 소켓인수검사'!A19</f>
        <v>11</v>
      </c>
      <c r="B20" s="38">
        <f>'1. 소켓인수검사'!C19</f>
        <v>750</v>
      </c>
      <c r="C20" s="38">
        <f>'1. 소켓인수검사'!D19</f>
        <v>950</v>
      </c>
      <c r="D20" s="33">
        <v>1</v>
      </c>
      <c r="E20" s="72"/>
      <c r="F20" s="222"/>
      <c r="G20" s="68">
        <f t="shared" si="3"/>
        <v>225</v>
      </c>
      <c r="H20" s="33">
        <f t="shared" si="5"/>
        <v>359</v>
      </c>
      <c r="I20" s="33">
        <f t="shared" si="0"/>
        <v>8</v>
      </c>
      <c r="J20" s="33"/>
      <c r="K20" s="68">
        <f t="shared" si="4"/>
        <v>237</v>
      </c>
      <c r="L20" s="264">
        <f t="shared" si="1"/>
        <v>950</v>
      </c>
      <c r="M20" s="265"/>
      <c r="N20" s="265"/>
      <c r="O20" s="33">
        <f t="shared" si="2"/>
        <v>4</v>
      </c>
      <c r="P20" s="30"/>
      <c r="Q20" s="31"/>
    </row>
    <row r="21" spans="1:17" ht="20.100000000000001" customHeight="1">
      <c r="A21" s="57" t="str">
        <f>'1. 소켓인수검사'!A20</f>
        <v>12</v>
      </c>
      <c r="B21" s="38">
        <f>'1. 소켓인수검사'!C20</f>
        <v>800</v>
      </c>
      <c r="C21" s="38">
        <f>'1. 소켓인수검사'!D20</f>
        <v>900</v>
      </c>
      <c r="D21" s="33">
        <v>1</v>
      </c>
      <c r="E21" s="72"/>
      <c r="F21" s="222"/>
      <c r="G21" s="68">
        <f t="shared" si="3"/>
        <v>225</v>
      </c>
      <c r="H21" s="33">
        <f t="shared" si="5"/>
        <v>384</v>
      </c>
      <c r="I21" s="33">
        <f t="shared" si="0"/>
        <v>8</v>
      </c>
      <c r="J21" s="33"/>
      <c r="K21" s="68">
        <f t="shared" si="4"/>
        <v>237</v>
      </c>
      <c r="L21" s="264">
        <f t="shared" si="1"/>
        <v>900</v>
      </c>
      <c r="M21" s="265"/>
      <c r="N21" s="265"/>
      <c r="O21" s="33">
        <f t="shared" si="2"/>
        <v>4</v>
      </c>
      <c r="P21" s="30"/>
      <c r="Q21" s="31"/>
    </row>
    <row r="22" spans="1:17" ht="20.100000000000001" customHeight="1">
      <c r="A22" s="57" t="str">
        <f>'1. 소켓인수검사'!A21</f>
        <v>13</v>
      </c>
      <c r="B22" s="38">
        <f>'1. 소켓인수검사'!C21</f>
        <v>800</v>
      </c>
      <c r="C22" s="38">
        <f>'1. 소켓인수검사'!D21</f>
        <v>900</v>
      </c>
      <c r="D22" s="33">
        <v>1</v>
      </c>
      <c r="E22" s="72"/>
      <c r="F22" s="222"/>
      <c r="G22" s="68">
        <f t="shared" si="3"/>
        <v>225</v>
      </c>
      <c r="H22" s="33">
        <f>((B22-30)/2)-1</f>
        <v>384</v>
      </c>
      <c r="I22" s="33">
        <f t="shared" si="0"/>
        <v>8</v>
      </c>
      <c r="J22" s="33"/>
      <c r="K22" s="68">
        <f t="shared" si="4"/>
        <v>237</v>
      </c>
      <c r="L22" s="264">
        <f t="shared" ref="L22:L34" si="6">C22</f>
        <v>900</v>
      </c>
      <c r="M22" s="265"/>
      <c r="N22" s="265"/>
      <c r="O22" s="33">
        <f t="shared" ref="O22:O34" si="7">D22*2*2</f>
        <v>4</v>
      </c>
      <c r="P22" s="30"/>
      <c r="Q22" s="31"/>
    </row>
    <row r="23" spans="1:17" ht="20.100000000000001" customHeight="1">
      <c r="A23" s="57" t="str">
        <f>'1. 소켓인수검사'!A22</f>
        <v>14</v>
      </c>
      <c r="B23" s="38">
        <f>'1. 소켓인수검사'!C22</f>
        <v>800</v>
      </c>
      <c r="C23" s="38">
        <f>'1. 소켓인수검사'!D22</f>
        <v>900</v>
      </c>
      <c r="D23" s="33">
        <v>1</v>
      </c>
      <c r="E23" s="72"/>
      <c r="F23" s="222"/>
      <c r="G23" s="68">
        <f t="shared" si="3"/>
        <v>225</v>
      </c>
      <c r="H23" s="33">
        <f t="shared" ref="H23:H27" si="8">((B23-30)/2)-1</f>
        <v>384</v>
      </c>
      <c r="I23" s="33">
        <f t="shared" si="0"/>
        <v>8</v>
      </c>
      <c r="J23" s="33"/>
      <c r="K23" s="68">
        <f t="shared" si="4"/>
        <v>237</v>
      </c>
      <c r="L23" s="264">
        <f t="shared" si="6"/>
        <v>900</v>
      </c>
      <c r="M23" s="265"/>
      <c r="N23" s="265"/>
      <c r="O23" s="33">
        <f t="shared" si="7"/>
        <v>4</v>
      </c>
      <c r="P23" s="30"/>
      <c r="Q23" s="31"/>
    </row>
    <row r="24" spans="1:17" ht="20.100000000000001" customHeight="1">
      <c r="A24" s="57" t="str">
        <f>'1. 소켓인수검사'!A23</f>
        <v>15</v>
      </c>
      <c r="B24" s="38">
        <f>'1. 소켓인수검사'!C23</f>
        <v>800</v>
      </c>
      <c r="C24" s="38">
        <f>'1. 소켓인수검사'!D23</f>
        <v>1050</v>
      </c>
      <c r="D24" s="33">
        <v>1</v>
      </c>
      <c r="E24" s="72"/>
      <c r="F24" s="222"/>
      <c r="G24" s="68">
        <f t="shared" si="3"/>
        <v>225</v>
      </c>
      <c r="H24" s="33">
        <f t="shared" si="8"/>
        <v>384</v>
      </c>
      <c r="I24" s="33">
        <f t="shared" si="0"/>
        <v>8</v>
      </c>
      <c r="J24" s="33"/>
      <c r="K24" s="68">
        <f t="shared" si="4"/>
        <v>237</v>
      </c>
      <c r="L24" s="264">
        <f t="shared" si="6"/>
        <v>1050</v>
      </c>
      <c r="M24" s="265"/>
      <c r="N24" s="265"/>
      <c r="O24" s="33">
        <f t="shared" si="7"/>
        <v>4</v>
      </c>
      <c r="P24" s="30"/>
      <c r="Q24" s="31"/>
    </row>
    <row r="25" spans="1:17" ht="20.100000000000001" customHeight="1">
      <c r="A25" s="57" t="str">
        <f>'1. 소켓인수검사'!A24</f>
        <v>16</v>
      </c>
      <c r="B25" s="38">
        <f>'1. 소켓인수검사'!C24</f>
        <v>800</v>
      </c>
      <c r="C25" s="38">
        <f>'1. 소켓인수검사'!D24</f>
        <v>1050</v>
      </c>
      <c r="D25" s="33">
        <v>1</v>
      </c>
      <c r="E25" s="72"/>
      <c r="F25" s="222"/>
      <c r="G25" s="68">
        <f t="shared" si="3"/>
        <v>225</v>
      </c>
      <c r="H25" s="33">
        <f t="shared" si="8"/>
        <v>384</v>
      </c>
      <c r="I25" s="33">
        <f t="shared" si="0"/>
        <v>8</v>
      </c>
      <c r="J25" s="33"/>
      <c r="K25" s="68">
        <f t="shared" si="4"/>
        <v>237</v>
      </c>
      <c r="L25" s="264">
        <f t="shared" si="6"/>
        <v>1050</v>
      </c>
      <c r="M25" s="265"/>
      <c r="N25" s="265"/>
      <c r="O25" s="33">
        <f t="shared" si="7"/>
        <v>4</v>
      </c>
      <c r="P25" s="30"/>
      <c r="Q25" s="73"/>
    </row>
    <row r="26" spans="1:17" ht="20.100000000000001" customHeight="1">
      <c r="A26" s="57" t="str">
        <f>'1. 소켓인수검사'!A25</f>
        <v>17</v>
      </c>
      <c r="B26" s="38">
        <f>'1. 소켓인수검사'!C25</f>
        <v>800</v>
      </c>
      <c r="C26" s="38">
        <f>'1. 소켓인수검사'!D25</f>
        <v>1050</v>
      </c>
      <c r="D26" s="33">
        <v>1</v>
      </c>
      <c r="E26" s="72"/>
      <c r="F26" s="222"/>
      <c r="G26" s="68">
        <f t="shared" si="3"/>
        <v>225</v>
      </c>
      <c r="H26" s="33">
        <f t="shared" si="8"/>
        <v>384</v>
      </c>
      <c r="I26" s="33">
        <f t="shared" si="0"/>
        <v>8</v>
      </c>
      <c r="J26" s="33"/>
      <c r="K26" s="68">
        <f t="shared" si="4"/>
        <v>237</v>
      </c>
      <c r="L26" s="264">
        <f t="shared" si="6"/>
        <v>1050</v>
      </c>
      <c r="M26" s="265"/>
      <c r="N26" s="265"/>
      <c r="O26" s="33">
        <f t="shared" si="7"/>
        <v>4</v>
      </c>
      <c r="P26" s="30"/>
      <c r="Q26" s="73"/>
    </row>
    <row r="27" spans="1:17" ht="20.100000000000001" customHeight="1">
      <c r="A27" s="57" t="str">
        <f>'1. 소켓인수검사'!A26</f>
        <v>18</v>
      </c>
      <c r="B27" s="38">
        <f>'1. 소켓인수검사'!C26</f>
        <v>900</v>
      </c>
      <c r="C27" s="38">
        <f>'1. 소켓인수검사'!D26</f>
        <v>950</v>
      </c>
      <c r="D27" s="33">
        <v>1</v>
      </c>
      <c r="E27" s="72"/>
      <c r="F27" s="222"/>
      <c r="G27" s="68">
        <f t="shared" si="3"/>
        <v>225</v>
      </c>
      <c r="H27" s="33">
        <f t="shared" si="8"/>
        <v>434</v>
      </c>
      <c r="I27" s="33">
        <f t="shared" si="0"/>
        <v>8</v>
      </c>
      <c r="J27" s="33"/>
      <c r="K27" s="68">
        <f t="shared" si="4"/>
        <v>237</v>
      </c>
      <c r="L27" s="264">
        <f t="shared" si="6"/>
        <v>950</v>
      </c>
      <c r="M27" s="265"/>
      <c r="N27" s="265"/>
      <c r="O27" s="33">
        <f t="shared" si="7"/>
        <v>4</v>
      </c>
      <c r="P27" s="30"/>
      <c r="Q27" s="31"/>
    </row>
    <row r="28" spans="1:17" ht="19.5" customHeight="1">
      <c r="A28" s="57" t="str">
        <f>'1. 소켓인수검사'!A27</f>
        <v>19</v>
      </c>
      <c r="B28" s="38">
        <f>'1. 소켓인수검사'!C27</f>
        <v>900</v>
      </c>
      <c r="C28" s="38">
        <f>'1. 소켓인수검사'!D27</f>
        <v>950</v>
      </c>
      <c r="D28" s="33">
        <v>1</v>
      </c>
      <c r="E28" s="72"/>
      <c r="F28" s="222"/>
      <c r="G28" s="68">
        <f t="shared" si="3"/>
        <v>225</v>
      </c>
      <c r="H28" s="33">
        <f>((B28-30)/2)-1</f>
        <v>434</v>
      </c>
      <c r="I28" s="33">
        <f t="shared" si="0"/>
        <v>8</v>
      </c>
      <c r="J28" s="33"/>
      <c r="K28" s="68">
        <f t="shared" si="4"/>
        <v>237</v>
      </c>
      <c r="L28" s="264">
        <f t="shared" si="6"/>
        <v>950</v>
      </c>
      <c r="M28" s="265"/>
      <c r="N28" s="265"/>
      <c r="O28" s="33">
        <f t="shared" si="7"/>
        <v>4</v>
      </c>
      <c r="P28" s="30"/>
      <c r="Q28" s="31"/>
    </row>
    <row r="29" spans="1:17" ht="20.100000000000001" customHeight="1">
      <c r="A29" s="57" t="str">
        <f>'1. 소켓인수검사'!A28</f>
        <v>20</v>
      </c>
      <c r="B29" s="38">
        <f>'1. 소켓인수검사'!C28</f>
        <v>900</v>
      </c>
      <c r="C29" s="38">
        <f>'1. 소켓인수검사'!D28</f>
        <v>950</v>
      </c>
      <c r="D29" s="33">
        <v>1</v>
      </c>
      <c r="E29" s="72"/>
      <c r="F29" s="222"/>
      <c r="G29" s="68">
        <f t="shared" si="3"/>
        <v>225</v>
      </c>
      <c r="H29" s="33">
        <f t="shared" ref="H29:H34" si="9">((B29-30)/2)-1</f>
        <v>434</v>
      </c>
      <c r="I29" s="33">
        <f t="shared" si="0"/>
        <v>8</v>
      </c>
      <c r="J29" s="33"/>
      <c r="K29" s="68">
        <f t="shared" si="4"/>
        <v>237</v>
      </c>
      <c r="L29" s="264">
        <f t="shared" si="6"/>
        <v>950</v>
      </c>
      <c r="M29" s="265"/>
      <c r="N29" s="265"/>
      <c r="O29" s="33">
        <f t="shared" si="7"/>
        <v>4</v>
      </c>
      <c r="P29" s="30"/>
      <c r="Q29" s="31"/>
    </row>
    <row r="30" spans="1:17" ht="20.100000000000001" customHeight="1">
      <c r="A30" s="57" t="str">
        <f>'1. 소켓인수검사'!A29</f>
        <v>21</v>
      </c>
      <c r="B30" s="38">
        <f>'1. 소켓인수검사'!C29</f>
        <v>1000</v>
      </c>
      <c r="C30" s="38">
        <f>'1. 소켓인수검사'!D29</f>
        <v>1000</v>
      </c>
      <c r="D30" s="33">
        <v>1</v>
      </c>
      <c r="E30" s="72"/>
      <c r="F30" s="222"/>
      <c r="G30" s="68">
        <f t="shared" si="3"/>
        <v>225</v>
      </c>
      <c r="H30" s="33">
        <f t="shared" si="9"/>
        <v>484</v>
      </c>
      <c r="I30" s="33">
        <f t="shared" si="0"/>
        <v>8</v>
      </c>
      <c r="J30" s="33"/>
      <c r="K30" s="68">
        <f t="shared" si="4"/>
        <v>237</v>
      </c>
      <c r="L30" s="264">
        <f t="shared" si="6"/>
        <v>1000</v>
      </c>
      <c r="M30" s="265"/>
      <c r="N30" s="265"/>
      <c r="O30" s="33">
        <f t="shared" si="7"/>
        <v>4</v>
      </c>
      <c r="P30" s="30"/>
      <c r="Q30" s="31"/>
    </row>
    <row r="31" spans="1:17" ht="20.100000000000001" customHeight="1">
      <c r="A31" s="57" t="str">
        <f>'1. 소켓인수검사'!A30</f>
        <v>22</v>
      </c>
      <c r="B31" s="38">
        <f>'1. 소켓인수검사'!C30</f>
        <v>1000</v>
      </c>
      <c r="C31" s="38">
        <f>'1. 소켓인수검사'!D30</f>
        <v>1000</v>
      </c>
      <c r="D31" s="33">
        <v>1</v>
      </c>
      <c r="E31" s="72"/>
      <c r="F31" s="222"/>
      <c r="G31" s="68">
        <f t="shared" si="3"/>
        <v>225</v>
      </c>
      <c r="H31" s="33">
        <f t="shared" si="9"/>
        <v>484</v>
      </c>
      <c r="I31" s="33">
        <f t="shared" si="0"/>
        <v>8</v>
      </c>
      <c r="J31" s="33"/>
      <c r="K31" s="68">
        <f t="shared" si="4"/>
        <v>237</v>
      </c>
      <c r="L31" s="264">
        <f t="shared" si="6"/>
        <v>1000</v>
      </c>
      <c r="M31" s="265"/>
      <c r="N31" s="265"/>
      <c r="O31" s="33">
        <f t="shared" si="7"/>
        <v>4</v>
      </c>
      <c r="P31" s="30"/>
      <c r="Q31" s="73"/>
    </row>
    <row r="32" spans="1:17" ht="20.100000000000001" customHeight="1">
      <c r="A32" s="57" t="str">
        <f>'1. 소켓인수검사'!A31</f>
        <v>23</v>
      </c>
      <c r="B32" s="38">
        <f>'1. 소켓인수검사'!C31</f>
        <v>1200</v>
      </c>
      <c r="C32" s="38">
        <f>'1. 소켓인수검사'!D31</f>
        <v>800</v>
      </c>
      <c r="D32" s="33">
        <v>1</v>
      </c>
      <c r="E32" s="72"/>
      <c r="F32" s="222"/>
      <c r="G32" s="68">
        <f t="shared" si="3"/>
        <v>225</v>
      </c>
      <c r="H32" s="33">
        <f t="shared" si="9"/>
        <v>584</v>
      </c>
      <c r="I32" s="33">
        <f t="shared" si="0"/>
        <v>8</v>
      </c>
      <c r="J32" s="33"/>
      <c r="K32" s="68">
        <f t="shared" si="4"/>
        <v>237</v>
      </c>
      <c r="L32" s="264">
        <f t="shared" si="6"/>
        <v>800</v>
      </c>
      <c r="M32" s="265"/>
      <c r="N32" s="265"/>
      <c r="O32" s="33">
        <f t="shared" si="7"/>
        <v>4</v>
      </c>
      <c r="P32" s="30"/>
      <c r="Q32" s="73"/>
    </row>
    <row r="33" spans="1:17" ht="20.100000000000001" customHeight="1">
      <c r="A33" s="57" t="str">
        <f>'1. 소켓인수검사'!A32</f>
        <v>24</v>
      </c>
      <c r="B33" s="38">
        <f>'1. 소켓인수검사'!C32</f>
        <v>1200</v>
      </c>
      <c r="C33" s="38">
        <f>'1. 소켓인수검사'!D32</f>
        <v>800</v>
      </c>
      <c r="D33" s="33">
        <v>1</v>
      </c>
      <c r="E33" s="72"/>
      <c r="F33" s="222"/>
      <c r="G33" s="68">
        <f t="shared" si="3"/>
        <v>225</v>
      </c>
      <c r="H33" s="33">
        <f t="shared" si="9"/>
        <v>584</v>
      </c>
      <c r="I33" s="33">
        <f t="shared" si="0"/>
        <v>8</v>
      </c>
      <c r="J33" s="33"/>
      <c r="K33" s="68">
        <f t="shared" si="4"/>
        <v>237</v>
      </c>
      <c r="L33" s="264">
        <f t="shared" si="6"/>
        <v>800</v>
      </c>
      <c r="M33" s="265"/>
      <c r="N33" s="265"/>
      <c r="O33" s="33">
        <f t="shared" si="7"/>
        <v>4</v>
      </c>
      <c r="P33" s="30"/>
      <c r="Q33" s="31"/>
    </row>
    <row r="34" spans="1:17" ht="20.100000000000001" customHeight="1">
      <c r="A34" s="57" t="str">
        <f>'1. 소켓인수검사'!A33</f>
        <v>25</v>
      </c>
      <c r="B34" s="38">
        <f>'1. 소켓인수검사'!C33</f>
        <v>1300</v>
      </c>
      <c r="C34" s="38">
        <f>'1. 소켓인수검사'!D33</f>
        <v>800</v>
      </c>
      <c r="D34" s="33">
        <v>1</v>
      </c>
      <c r="E34" s="72"/>
      <c r="F34" s="222"/>
      <c r="G34" s="68">
        <f t="shared" si="3"/>
        <v>225</v>
      </c>
      <c r="H34" s="33">
        <f t="shared" si="9"/>
        <v>634</v>
      </c>
      <c r="I34" s="33">
        <f t="shared" si="0"/>
        <v>8</v>
      </c>
      <c r="J34" s="33"/>
      <c r="K34" s="68">
        <f t="shared" si="4"/>
        <v>237</v>
      </c>
      <c r="L34" s="264">
        <f t="shared" si="6"/>
        <v>800</v>
      </c>
      <c r="M34" s="265"/>
      <c r="N34" s="265"/>
      <c r="O34" s="33">
        <f t="shared" si="7"/>
        <v>4</v>
      </c>
      <c r="P34" s="30"/>
      <c r="Q34" s="31"/>
    </row>
    <row r="35" spans="1:17" ht="8.1" customHeight="1">
      <c r="A35" s="23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39"/>
    </row>
    <row r="36" spans="1:17">
      <c r="A36" s="217" t="s">
        <v>47</v>
      </c>
      <c r="B36" s="217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>
      <c r="A37" s="217"/>
      <c r="B37" s="217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>
      <c r="A38" s="217"/>
      <c r="B38" s="217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>
      <c r="A39" s="217"/>
      <c r="B39" s="217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>
      <c r="A40" s="217"/>
      <c r="B40" s="217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>
      <c r="A41" s="217"/>
      <c r="B41" s="217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</sheetData>
  <mergeCells count="57">
    <mergeCell ref="A1:D3"/>
    <mergeCell ref="A4:B4"/>
    <mergeCell ref="C4:D4"/>
    <mergeCell ref="A5:B6"/>
    <mergeCell ref="C5:D6"/>
    <mergeCell ref="F5:G5"/>
    <mergeCell ref="H5:H6"/>
    <mergeCell ref="I5:J6"/>
    <mergeCell ref="K5:N6"/>
    <mergeCell ref="O5:Q6"/>
    <mergeCell ref="F6:G6"/>
    <mergeCell ref="E1:Q4"/>
    <mergeCell ref="L29:N29"/>
    <mergeCell ref="L30:N30"/>
    <mergeCell ref="L31:N31"/>
    <mergeCell ref="L32:N32"/>
    <mergeCell ref="P9:P10"/>
    <mergeCell ref="L10:N10"/>
    <mergeCell ref="L20:N20"/>
    <mergeCell ref="L21:N21"/>
    <mergeCell ref="L22:N22"/>
    <mergeCell ref="L23:N23"/>
    <mergeCell ref="L24:N24"/>
    <mergeCell ref="L25:N25"/>
    <mergeCell ref="L26:N26"/>
    <mergeCell ref="L27:N27"/>
    <mergeCell ref="L19:N19"/>
    <mergeCell ref="A7:Q7"/>
    <mergeCell ref="A8:A10"/>
    <mergeCell ref="B8:C8"/>
    <mergeCell ref="D8:D10"/>
    <mergeCell ref="E8:E10"/>
    <mergeCell ref="F8:F10"/>
    <mergeCell ref="G8:P8"/>
    <mergeCell ref="Q8:Q10"/>
    <mergeCell ref="B9:B10"/>
    <mergeCell ref="C9:C10"/>
    <mergeCell ref="G9:G10"/>
    <mergeCell ref="H9:I9"/>
    <mergeCell ref="J9:J10"/>
    <mergeCell ref="K9:K10"/>
    <mergeCell ref="L9:O9"/>
    <mergeCell ref="L28:N28"/>
    <mergeCell ref="L34:N34"/>
    <mergeCell ref="A35:Q35"/>
    <mergeCell ref="A36:B41"/>
    <mergeCell ref="C36:Q41"/>
    <mergeCell ref="F11:F34"/>
    <mergeCell ref="L11:N11"/>
    <mergeCell ref="L12:N12"/>
    <mergeCell ref="L13:N13"/>
    <mergeCell ref="L14:N14"/>
    <mergeCell ref="L15:N15"/>
    <mergeCell ref="L16:N16"/>
    <mergeCell ref="L17:N17"/>
    <mergeCell ref="L18:N18"/>
    <mergeCell ref="L33:N33"/>
  </mergeCells>
  <phoneticPr fontId="28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44"/>
  <sheetViews>
    <sheetView zoomScaleNormal="100" zoomScaleSheetLayoutView="100" workbookViewId="0">
      <pane ySplit="9" topLeftCell="A10" activePane="bottomLeft" state="frozen"/>
      <selection pane="bottomLeft" activeCell="W34" sqref="W34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1"/>
      <c r="B1" s="1"/>
      <c r="C1" s="1"/>
      <c r="D1" s="299" t="s">
        <v>45</v>
      </c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300"/>
      <c r="R1" s="301"/>
      <c r="S1" s="14"/>
    </row>
    <row r="2" spans="1:19">
      <c r="A2" s="1"/>
      <c r="B2" s="1"/>
      <c r="C2" s="1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300"/>
      <c r="R2" s="302"/>
      <c r="S2" s="303"/>
    </row>
    <row r="3" spans="1:19" ht="24" customHeight="1">
      <c r="A3" s="1"/>
      <c r="B3" s="1"/>
      <c r="C3" s="1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300"/>
      <c r="R3" s="302"/>
      <c r="S3" s="303"/>
    </row>
    <row r="4" spans="1:19">
      <c r="A4" s="1" t="s">
        <v>17</v>
      </c>
      <c r="B4" s="1"/>
      <c r="C4" s="1"/>
      <c r="D4" s="299"/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  <c r="P4" s="299"/>
      <c r="Q4" s="300"/>
      <c r="R4" s="302"/>
      <c r="S4" s="303"/>
    </row>
    <row r="5" spans="1:19">
      <c r="A5" s="1" t="s">
        <v>27</v>
      </c>
      <c r="B5" s="1"/>
      <c r="C5" s="1"/>
      <c r="D5" s="2" t="s">
        <v>33</v>
      </c>
      <c r="E5" s="297"/>
      <c r="F5" s="298"/>
      <c r="G5" s="289" t="s">
        <v>62</v>
      </c>
      <c r="H5" s="163"/>
      <c r="I5" s="164"/>
      <c r="J5" s="164"/>
      <c r="K5" s="165"/>
      <c r="L5" s="289" t="s">
        <v>22</v>
      </c>
      <c r="M5" s="75"/>
      <c r="N5" s="75"/>
      <c r="O5" s="289" t="s">
        <v>22</v>
      </c>
      <c r="P5" s="291" t="str">
        <f>'1. 소켓인수검사'!R2</f>
        <v>26.06.08 행복산업_덕신건업_롯데건설_인천효성구역 도시개발사업 공동주택(4BL)</v>
      </c>
      <c r="Q5" s="292"/>
      <c r="R5" s="292"/>
      <c r="S5" s="293"/>
    </row>
    <row r="6" spans="1:19">
      <c r="A6" s="1"/>
      <c r="B6" s="1"/>
      <c r="C6" s="1"/>
      <c r="D6" s="2" t="s">
        <v>30</v>
      </c>
      <c r="E6" s="297"/>
      <c r="F6" s="298"/>
      <c r="G6" s="290"/>
      <c r="H6" s="169"/>
      <c r="I6" s="170"/>
      <c r="J6" s="170"/>
      <c r="K6" s="171"/>
      <c r="L6" s="290"/>
      <c r="M6" s="76"/>
      <c r="N6" s="76"/>
      <c r="O6" s="290"/>
      <c r="P6" s="294"/>
      <c r="Q6" s="295"/>
      <c r="R6" s="295"/>
      <c r="S6" s="296"/>
    </row>
    <row r="7" spans="1:19" ht="8.1" customHeight="1">
      <c r="A7" s="169"/>
      <c r="B7" s="170"/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1"/>
    </row>
    <row r="8" spans="1:19" ht="16.5" customHeight="1">
      <c r="A8" s="136" t="s">
        <v>59</v>
      </c>
      <c r="B8" s="284" t="s">
        <v>66</v>
      </c>
      <c r="C8" s="284" t="s">
        <v>64</v>
      </c>
      <c r="D8" s="284" t="s">
        <v>69</v>
      </c>
      <c r="E8" s="284" t="s">
        <v>54</v>
      </c>
      <c r="F8" s="284" t="s">
        <v>61</v>
      </c>
      <c r="G8" s="284" t="s">
        <v>24</v>
      </c>
      <c r="H8" s="284"/>
      <c r="I8" s="284"/>
      <c r="J8" s="284" t="s">
        <v>0</v>
      </c>
      <c r="K8" s="284"/>
      <c r="L8" s="284"/>
      <c r="M8" s="284" t="s">
        <v>0</v>
      </c>
      <c r="N8" s="284"/>
      <c r="O8" s="284"/>
      <c r="P8" s="284" t="s">
        <v>0</v>
      </c>
      <c r="Q8" s="284"/>
      <c r="R8" s="284"/>
      <c r="S8" s="286"/>
    </row>
    <row r="9" spans="1:19" ht="33" customHeight="1">
      <c r="A9" s="288"/>
      <c r="B9" s="285"/>
      <c r="C9" s="285"/>
      <c r="D9" s="285"/>
      <c r="E9" s="285"/>
      <c r="F9" s="285"/>
      <c r="G9" s="78" t="s">
        <v>34</v>
      </c>
      <c r="H9" s="78" t="s">
        <v>57</v>
      </c>
      <c r="I9" s="78" t="s">
        <v>56</v>
      </c>
      <c r="J9" s="78" t="s">
        <v>20</v>
      </c>
      <c r="K9" s="78" t="s">
        <v>57</v>
      </c>
      <c r="L9" s="78" t="s">
        <v>56</v>
      </c>
      <c r="M9" s="78" t="s">
        <v>26</v>
      </c>
      <c r="N9" s="78" t="s">
        <v>57</v>
      </c>
      <c r="O9" s="78" t="s">
        <v>56</v>
      </c>
      <c r="P9" s="78" t="s">
        <v>23</v>
      </c>
      <c r="Q9" s="78" t="s">
        <v>57</v>
      </c>
      <c r="R9" s="285" t="s">
        <v>56</v>
      </c>
      <c r="S9" s="287"/>
    </row>
    <row r="10" spans="1:19">
      <c r="A10" s="57" t="str">
        <f>'1. 소켓인수검사'!A9</f>
        <v>01</v>
      </c>
      <c r="B10" s="38">
        <f>'1. 소켓인수검사'!C9</f>
        <v>1100</v>
      </c>
      <c r="C10" s="38">
        <f>'1. 소켓인수검사'!D9</f>
        <v>450</v>
      </c>
      <c r="D10" s="60" t="s">
        <v>49</v>
      </c>
      <c r="E10" s="74">
        <f>B10*C10/1000000</f>
        <v>0.495</v>
      </c>
      <c r="F10" s="74">
        <f>(B10+C10)*2/1000</f>
        <v>3.1</v>
      </c>
      <c r="G10" s="32"/>
      <c r="H10" s="38"/>
      <c r="I10" s="32"/>
      <c r="J10" s="32"/>
      <c r="K10" s="38"/>
      <c r="L10" s="32"/>
      <c r="M10" s="32">
        <f>F10+0.5</f>
        <v>3.6</v>
      </c>
      <c r="N10" s="38">
        <v>4</v>
      </c>
      <c r="O10" s="32">
        <f>+N10*M10</f>
        <v>14.4</v>
      </c>
      <c r="P10" s="32"/>
      <c r="Q10" s="38"/>
      <c r="R10" s="282"/>
      <c r="S10" s="283"/>
    </row>
    <row r="11" spans="1:19">
      <c r="A11" s="57" t="str">
        <f>'1. 소켓인수검사'!A10</f>
        <v>02</v>
      </c>
      <c r="B11" s="38">
        <f>'1. 소켓인수검사'!C10</f>
        <v>750</v>
      </c>
      <c r="C11" s="38">
        <f>'1. 소켓인수검사'!D10</f>
        <v>900</v>
      </c>
      <c r="D11" s="61" t="s">
        <v>48</v>
      </c>
      <c r="E11" s="74">
        <f t="shared" ref="E11:E17" si="0">B11*C11/1000000</f>
        <v>0.67500000000000004</v>
      </c>
      <c r="F11" s="74">
        <f t="shared" ref="F11:F17" si="1">(B11+C11)*2/1000</f>
        <v>3.3</v>
      </c>
      <c r="G11" s="32">
        <f t="shared" ref="G11:G34" si="2">(F11+0.4)</f>
        <v>3.6999999999999997</v>
      </c>
      <c r="H11" s="38">
        <v>2</v>
      </c>
      <c r="I11" s="32">
        <f>G11*H11</f>
        <v>7.3999999999999995</v>
      </c>
      <c r="J11" s="32"/>
      <c r="K11" s="32"/>
      <c r="L11" s="32"/>
      <c r="M11" s="32"/>
      <c r="N11" s="32"/>
      <c r="O11" s="32"/>
      <c r="P11" s="32">
        <f t="shared" ref="P11:P34" si="3">F11+0.5</f>
        <v>3.8</v>
      </c>
      <c r="Q11" s="32">
        <v>2</v>
      </c>
      <c r="R11" s="282">
        <f>P11*Q11</f>
        <v>7.6</v>
      </c>
      <c r="S11" s="283"/>
    </row>
    <row r="12" spans="1:19">
      <c r="A12" s="57" t="str">
        <f>'1. 소켓인수검사'!A11</f>
        <v>03</v>
      </c>
      <c r="B12" s="38">
        <f>'1. 소켓인수검사'!C11</f>
        <v>750</v>
      </c>
      <c r="C12" s="38">
        <f>'1. 소켓인수검사'!D11</f>
        <v>900</v>
      </c>
      <c r="D12" s="61" t="s">
        <v>48</v>
      </c>
      <c r="E12" s="74">
        <f t="shared" si="0"/>
        <v>0.67500000000000004</v>
      </c>
      <c r="F12" s="74">
        <f t="shared" si="1"/>
        <v>3.3</v>
      </c>
      <c r="G12" s="32">
        <f t="shared" si="2"/>
        <v>3.6999999999999997</v>
      </c>
      <c r="H12" s="38">
        <v>2</v>
      </c>
      <c r="I12" s="32">
        <f>G12*H12</f>
        <v>7.3999999999999995</v>
      </c>
      <c r="J12" s="32"/>
      <c r="K12" s="32"/>
      <c r="L12" s="32"/>
      <c r="M12" s="32"/>
      <c r="N12" s="32"/>
      <c r="O12" s="32"/>
      <c r="P12" s="32">
        <f t="shared" si="3"/>
        <v>3.8</v>
      </c>
      <c r="Q12" s="32">
        <v>2</v>
      </c>
      <c r="R12" s="282">
        <f t="shared" ref="R12:R34" si="4">P12*Q12</f>
        <v>7.6</v>
      </c>
      <c r="S12" s="283"/>
    </row>
    <row r="13" spans="1:19">
      <c r="A13" s="57" t="str">
        <f>'1. 소켓인수검사'!A12</f>
        <v>04</v>
      </c>
      <c r="B13" s="38">
        <f>'1. 소켓인수검사'!C12</f>
        <v>750</v>
      </c>
      <c r="C13" s="38">
        <f>'1. 소켓인수검사'!D12</f>
        <v>900</v>
      </c>
      <c r="D13" s="61" t="s">
        <v>48</v>
      </c>
      <c r="E13" s="74">
        <f t="shared" si="0"/>
        <v>0.67500000000000004</v>
      </c>
      <c r="F13" s="74">
        <f t="shared" si="1"/>
        <v>3.3</v>
      </c>
      <c r="G13" s="32">
        <f t="shared" si="2"/>
        <v>3.6999999999999997</v>
      </c>
      <c r="H13" s="38">
        <v>2</v>
      </c>
      <c r="I13" s="32">
        <f t="shared" ref="I13:I34" si="5">G13*H13</f>
        <v>7.3999999999999995</v>
      </c>
      <c r="J13" s="32"/>
      <c r="K13" s="32"/>
      <c r="L13" s="32"/>
      <c r="M13" s="32"/>
      <c r="N13" s="32"/>
      <c r="O13" s="32"/>
      <c r="P13" s="32">
        <f t="shared" si="3"/>
        <v>3.8</v>
      </c>
      <c r="Q13" s="32">
        <v>2</v>
      </c>
      <c r="R13" s="282">
        <f t="shared" si="4"/>
        <v>7.6</v>
      </c>
      <c r="S13" s="283"/>
    </row>
    <row r="14" spans="1:19">
      <c r="A14" s="57" t="str">
        <f>'1. 소켓인수검사'!A13</f>
        <v>05</v>
      </c>
      <c r="B14" s="38">
        <f>'1. 소켓인수검사'!C13</f>
        <v>750</v>
      </c>
      <c r="C14" s="38">
        <f>'1. 소켓인수검사'!D13</f>
        <v>900</v>
      </c>
      <c r="D14" s="61" t="s">
        <v>48</v>
      </c>
      <c r="E14" s="74">
        <f t="shared" si="0"/>
        <v>0.67500000000000004</v>
      </c>
      <c r="F14" s="74">
        <f t="shared" si="1"/>
        <v>3.3</v>
      </c>
      <c r="G14" s="32">
        <f t="shared" si="2"/>
        <v>3.6999999999999997</v>
      </c>
      <c r="H14" s="38">
        <v>2</v>
      </c>
      <c r="I14" s="32">
        <f t="shared" si="5"/>
        <v>7.3999999999999995</v>
      </c>
      <c r="J14" s="32"/>
      <c r="K14" s="32"/>
      <c r="L14" s="32"/>
      <c r="M14" s="32"/>
      <c r="N14" s="32"/>
      <c r="O14" s="32"/>
      <c r="P14" s="32">
        <f t="shared" si="3"/>
        <v>3.8</v>
      </c>
      <c r="Q14" s="32">
        <v>2</v>
      </c>
      <c r="R14" s="282">
        <f t="shared" si="4"/>
        <v>7.6</v>
      </c>
      <c r="S14" s="283"/>
    </row>
    <row r="15" spans="1:19">
      <c r="A15" s="57" t="str">
        <f>'1. 소켓인수검사'!A14</f>
        <v>06</v>
      </c>
      <c r="B15" s="38">
        <f>'1. 소켓인수검사'!C14</f>
        <v>750</v>
      </c>
      <c r="C15" s="38">
        <f>'1. 소켓인수검사'!D14</f>
        <v>950</v>
      </c>
      <c r="D15" s="61" t="s">
        <v>48</v>
      </c>
      <c r="E15" s="74">
        <f t="shared" si="0"/>
        <v>0.71250000000000002</v>
      </c>
      <c r="F15" s="74">
        <f t="shared" si="1"/>
        <v>3.4</v>
      </c>
      <c r="G15" s="32">
        <f t="shared" si="2"/>
        <v>3.8</v>
      </c>
      <c r="H15" s="38">
        <v>2</v>
      </c>
      <c r="I15" s="32">
        <f t="shared" si="5"/>
        <v>7.6</v>
      </c>
      <c r="J15" s="32"/>
      <c r="K15" s="32"/>
      <c r="L15" s="32"/>
      <c r="M15" s="32"/>
      <c r="N15" s="32"/>
      <c r="O15" s="32"/>
      <c r="P15" s="32">
        <f t="shared" si="3"/>
        <v>3.9</v>
      </c>
      <c r="Q15" s="32">
        <v>2</v>
      </c>
      <c r="R15" s="282">
        <f t="shared" si="4"/>
        <v>7.8</v>
      </c>
      <c r="S15" s="283"/>
    </row>
    <row r="16" spans="1:19">
      <c r="A16" s="57" t="str">
        <f>'1. 소켓인수검사'!A15</f>
        <v>07</v>
      </c>
      <c r="B16" s="38">
        <f>'1. 소켓인수검사'!C15</f>
        <v>750</v>
      </c>
      <c r="C16" s="38">
        <f>'1. 소켓인수검사'!D15</f>
        <v>950</v>
      </c>
      <c r="D16" s="61" t="s">
        <v>48</v>
      </c>
      <c r="E16" s="74">
        <f t="shared" si="0"/>
        <v>0.71250000000000002</v>
      </c>
      <c r="F16" s="74">
        <f t="shared" si="1"/>
        <v>3.4</v>
      </c>
      <c r="G16" s="32">
        <f t="shared" si="2"/>
        <v>3.8</v>
      </c>
      <c r="H16" s="38">
        <v>2</v>
      </c>
      <c r="I16" s="32">
        <f t="shared" si="5"/>
        <v>7.6</v>
      </c>
      <c r="J16" s="32"/>
      <c r="K16" s="32"/>
      <c r="L16" s="32"/>
      <c r="M16" s="32"/>
      <c r="N16" s="32"/>
      <c r="O16" s="32"/>
      <c r="P16" s="32">
        <f t="shared" si="3"/>
        <v>3.9</v>
      </c>
      <c r="Q16" s="32">
        <v>2</v>
      </c>
      <c r="R16" s="282">
        <f t="shared" si="4"/>
        <v>7.8</v>
      </c>
      <c r="S16" s="283"/>
    </row>
    <row r="17" spans="1:19">
      <c r="A17" s="57" t="str">
        <f>'1. 소켓인수검사'!A16</f>
        <v>08</v>
      </c>
      <c r="B17" s="38">
        <f>'1. 소켓인수검사'!C16</f>
        <v>750</v>
      </c>
      <c r="C17" s="38">
        <f>'1. 소켓인수검사'!D16</f>
        <v>950</v>
      </c>
      <c r="D17" s="61" t="s">
        <v>48</v>
      </c>
      <c r="E17" s="74">
        <f t="shared" si="0"/>
        <v>0.71250000000000002</v>
      </c>
      <c r="F17" s="74">
        <f t="shared" si="1"/>
        <v>3.4</v>
      </c>
      <c r="G17" s="32">
        <f t="shared" si="2"/>
        <v>3.8</v>
      </c>
      <c r="H17" s="38">
        <v>2</v>
      </c>
      <c r="I17" s="32">
        <f t="shared" si="5"/>
        <v>7.6</v>
      </c>
      <c r="J17" s="32"/>
      <c r="K17" s="32"/>
      <c r="L17" s="32"/>
      <c r="M17" s="32"/>
      <c r="N17" s="32"/>
      <c r="O17" s="32"/>
      <c r="P17" s="32">
        <f t="shared" si="3"/>
        <v>3.9</v>
      </c>
      <c r="Q17" s="32">
        <v>2</v>
      </c>
      <c r="R17" s="282">
        <f t="shared" si="4"/>
        <v>7.8</v>
      </c>
      <c r="S17" s="283"/>
    </row>
    <row r="18" spans="1:19">
      <c r="A18" s="57" t="str">
        <f>'1. 소켓인수검사'!A17</f>
        <v>09</v>
      </c>
      <c r="B18" s="38">
        <f>'1. 소켓인수검사'!C17</f>
        <v>750</v>
      </c>
      <c r="C18" s="38">
        <f>'1. 소켓인수검사'!D17</f>
        <v>950</v>
      </c>
      <c r="D18" s="61" t="s">
        <v>48</v>
      </c>
      <c r="E18" s="74">
        <f t="shared" ref="E18" si="6">B18*C18/1000000</f>
        <v>0.71250000000000002</v>
      </c>
      <c r="F18" s="74">
        <f t="shared" ref="F18" si="7">(B18+C18)*2/1000</f>
        <v>3.4</v>
      </c>
      <c r="G18" s="32">
        <f t="shared" si="2"/>
        <v>3.8</v>
      </c>
      <c r="H18" s="38">
        <v>2</v>
      </c>
      <c r="I18" s="32">
        <f t="shared" si="5"/>
        <v>7.6</v>
      </c>
      <c r="J18" s="32"/>
      <c r="K18" s="32"/>
      <c r="L18" s="32"/>
      <c r="M18" s="32"/>
      <c r="N18" s="32"/>
      <c r="O18" s="32"/>
      <c r="P18" s="32">
        <f t="shared" si="3"/>
        <v>3.9</v>
      </c>
      <c r="Q18" s="32">
        <v>2</v>
      </c>
      <c r="R18" s="282">
        <f t="shared" si="4"/>
        <v>7.8</v>
      </c>
      <c r="S18" s="283"/>
    </row>
    <row r="19" spans="1:19">
      <c r="A19" s="57" t="str">
        <f>'1. 소켓인수검사'!A18</f>
        <v>10</v>
      </c>
      <c r="B19" s="38">
        <f>'1. 소켓인수검사'!C18</f>
        <v>750</v>
      </c>
      <c r="C19" s="38">
        <f>'1. 소켓인수검사'!D18</f>
        <v>950</v>
      </c>
      <c r="D19" s="61" t="s">
        <v>48</v>
      </c>
      <c r="E19" s="74">
        <f t="shared" ref="E19:E34" si="8">B19*C19/1000000</f>
        <v>0.71250000000000002</v>
      </c>
      <c r="F19" s="74">
        <f t="shared" ref="F19:F34" si="9">(B19+C19)*2/1000</f>
        <v>3.4</v>
      </c>
      <c r="G19" s="32">
        <f t="shared" si="2"/>
        <v>3.8</v>
      </c>
      <c r="H19" s="38">
        <v>2</v>
      </c>
      <c r="I19" s="32">
        <f t="shared" si="5"/>
        <v>7.6</v>
      </c>
      <c r="J19" s="32"/>
      <c r="K19" s="32"/>
      <c r="L19" s="32"/>
      <c r="M19" s="32"/>
      <c r="N19" s="32"/>
      <c r="O19" s="32"/>
      <c r="P19" s="32">
        <f t="shared" si="3"/>
        <v>3.9</v>
      </c>
      <c r="Q19" s="32">
        <v>2</v>
      </c>
      <c r="R19" s="282">
        <f t="shared" si="4"/>
        <v>7.8</v>
      </c>
      <c r="S19" s="283"/>
    </row>
    <row r="20" spans="1:19">
      <c r="A20" s="57" t="str">
        <f>'1. 소켓인수검사'!A19</f>
        <v>11</v>
      </c>
      <c r="B20" s="38">
        <f>'1. 소켓인수검사'!C19</f>
        <v>750</v>
      </c>
      <c r="C20" s="38">
        <f>'1. 소켓인수검사'!D19</f>
        <v>950</v>
      </c>
      <c r="D20" s="61" t="s">
        <v>48</v>
      </c>
      <c r="E20" s="74">
        <f t="shared" si="8"/>
        <v>0.71250000000000002</v>
      </c>
      <c r="F20" s="74">
        <f t="shared" si="9"/>
        <v>3.4</v>
      </c>
      <c r="G20" s="32">
        <f t="shared" si="2"/>
        <v>3.8</v>
      </c>
      <c r="H20" s="38">
        <v>2</v>
      </c>
      <c r="I20" s="32">
        <f t="shared" si="5"/>
        <v>7.6</v>
      </c>
      <c r="J20" s="32"/>
      <c r="K20" s="32"/>
      <c r="L20" s="32"/>
      <c r="M20" s="32"/>
      <c r="N20" s="32"/>
      <c r="O20" s="32"/>
      <c r="P20" s="32">
        <f t="shared" si="3"/>
        <v>3.9</v>
      </c>
      <c r="Q20" s="32">
        <v>2</v>
      </c>
      <c r="R20" s="282">
        <f t="shared" si="4"/>
        <v>7.8</v>
      </c>
      <c r="S20" s="283"/>
    </row>
    <row r="21" spans="1:19">
      <c r="A21" s="57" t="str">
        <f>'1. 소켓인수검사'!A20</f>
        <v>12</v>
      </c>
      <c r="B21" s="38">
        <f>'1. 소켓인수검사'!C20</f>
        <v>800</v>
      </c>
      <c r="C21" s="38">
        <f>'1. 소켓인수검사'!D20</f>
        <v>900</v>
      </c>
      <c r="D21" s="61" t="s">
        <v>48</v>
      </c>
      <c r="E21" s="74">
        <f t="shared" si="8"/>
        <v>0.72</v>
      </c>
      <c r="F21" s="74">
        <f t="shared" si="9"/>
        <v>3.4</v>
      </c>
      <c r="G21" s="32">
        <f t="shared" si="2"/>
        <v>3.8</v>
      </c>
      <c r="H21" s="38">
        <v>2</v>
      </c>
      <c r="I21" s="32">
        <f t="shared" si="5"/>
        <v>7.6</v>
      </c>
      <c r="J21" s="32"/>
      <c r="K21" s="32"/>
      <c r="L21" s="32"/>
      <c r="M21" s="32"/>
      <c r="N21" s="32"/>
      <c r="O21" s="32"/>
      <c r="P21" s="32">
        <f t="shared" si="3"/>
        <v>3.9</v>
      </c>
      <c r="Q21" s="32">
        <v>2</v>
      </c>
      <c r="R21" s="282">
        <f t="shared" si="4"/>
        <v>7.8</v>
      </c>
      <c r="S21" s="283"/>
    </row>
    <row r="22" spans="1:19">
      <c r="A22" s="57" t="str">
        <f>'1. 소켓인수검사'!A21</f>
        <v>13</v>
      </c>
      <c r="B22" s="38">
        <f>'1. 소켓인수검사'!C21</f>
        <v>800</v>
      </c>
      <c r="C22" s="38">
        <f>'1. 소켓인수검사'!D21</f>
        <v>900</v>
      </c>
      <c r="D22" s="61" t="s">
        <v>48</v>
      </c>
      <c r="E22" s="74">
        <f t="shared" si="8"/>
        <v>0.72</v>
      </c>
      <c r="F22" s="74">
        <f t="shared" si="9"/>
        <v>3.4</v>
      </c>
      <c r="G22" s="32">
        <f t="shared" si="2"/>
        <v>3.8</v>
      </c>
      <c r="H22" s="38">
        <v>2</v>
      </c>
      <c r="I22" s="32">
        <f t="shared" si="5"/>
        <v>7.6</v>
      </c>
      <c r="J22" s="32"/>
      <c r="K22" s="32"/>
      <c r="L22" s="32"/>
      <c r="M22" s="32"/>
      <c r="N22" s="32"/>
      <c r="O22" s="32"/>
      <c r="P22" s="32">
        <f t="shared" si="3"/>
        <v>3.9</v>
      </c>
      <c r="Q22" s="32">
        <v>2</v>
      </c>
      <c r="R22" s="282">
        <f t="shared" si="4"/>
        <v>7.8</v>
      </c>
      <c r="S22" s="283"/>
    </row>
    <row r="23" spans="1:19">
      <c r="A23" s="57" t="str">
        <f>'1. 소켓인수검사'!A22</f>
        <v>14</v>
      </c>
      <c r="B23" s="38">
        <f>'1. 소켓인수검사'!C22</f>
        <v>800</v>
      </c>
      <c r="C23" s="38">
        <f>'1. 소켓인수검사'!D22</f>
        <v>900</v>
      </c>
      <c r="D23" s="61" t="s">
        <v>48</v>
      </c>
      <c r="E23" s="74">
        <f t="shared" si="8"/>
        <v>0.72</v>
      </c>
      <c r="F23" s="74">
        <f t="shared" si="9"/>
        <v>3.4</v>
      </c>
      <c r="G23" s="32">
        <f t="shared" si="2"/>
        <v>3.8</v>
      </c>
      <c r="H23" s="38">
        <v>2</v>
      </c>
      <c r="I23" s="32">
        <f t="shared" si="5"/>
        <v>7.6</v>
      </c>
      <c r="J23" s="32"/>
      <c r="K23" s="32"/>
      <c r="L23" s="32"/>
      <c r="M23" s="32"/>
      <c r="N23" s="32"/>
      <c r="O23" s="32"/>
      <c r="P23" s="32">
        <f t="shared" si="3"/>
        <v>3.9</v>
      </c>
      <c r="Q23" s="32">
        <v>2</v>
      </c>
      <c r="R23" s="282">
        <f t="shared" si="4"/>
        <v>7.8</v>
      </c>
      <c r="S23" s="283"/>
    </row>
    <row r="24" spans="1:19">
      <c r="A24" s="57" t="str">
        <f>'1. 소켓인수검사'!A23</f>
        <v>15</v>
      </c>
      <c r="B24" s="38">
        <f>'1. 소켓인수검사'!C23</f>
        <v>800</v>
      </c>
      <c r="C24" s="38">
        <f>'1. 소켓인수검사'!D23</f>
        <v>1050</v>
      </c>
      <c r="D24" s="61" t="s">
        <v>48</v>
      </c>
      <c r="E24" s="74">
        <f t="shared" si="8"/>
        <v>0.84</v>
      </c>
      <c r="F24" s="74">
        <f t="shared" si="9"/>
        <v>3.7</v>
      </c>
      <c r="G24" s="32">
        <f t="shared" si="2"/>
        <v>4.1000000000000005</v>
      </c>
      <c r="H24" s="38">
        <v>2</v>
      </c>
      <c r="I24" s="32">
        <f t="shared" si="5"/>
        <v>8.2000000000000011</v>
      </c>
      <c r="J24" s="32"/>
      <c r="K24" s="32"/>
      <c r="L24" s="32"/>
      <c r="M24" s="32"/>
      <c r="N24" s="32"/>
      <c r="O24" s="32"/>
      <c r="P24" s="32">
        <f t="shared" si="3"/>
        <v>4.2</v>
      </c>
      <c r="Q24" s="32">
        <v>2</v>
      </c>
      <c r="R24" s="282">
        <f t="shared" si="4"/>
        <v>8.4</v>
      </c>
      <c r="S24" s="283"/>
    </row>
    <row r="25" spans="1:19">
      <c r="A25" s="57" t="str">
        <f>'1. 소켓인수검사'!A24</f>
        <v>16</v>
      </c>
      <c r="B25" s="38">
        <f>'1. 소켓인수검사'!C24</f>
        <v>800</v>
      </c>
      <c r="C25" s="38">
        <f>'1. 소켓인수검사'!D24</f>
        <v>1050</v>
      </c>
      <c r="D25" s="61" t="s">
        <v>48</v>
      </c>
      <c r="E25" s="74">
        <f t="shared" si="8"/>
        <v>0.84</v>
      </c>
      <c r="F25" s="74">
        <f t="shared" si="9"/>
        <v>3.7</v>
      </c>
      <c r="G25" s="32">
        <f t="shared" si="2"/>
        <v>4.1000000000000005</v>
      </c>
      <c r="H25" s="38">
        <v>2</v>
      </c>
      <c r="I25" s="32">
        <f t="shared" si="5"/>
        <v>8.2000000000000011</v>
      </c>
      <c r="J25" s="32"/>
      <c r="K25" s="32"/>
      <c r="L25" s="32"/>
      <c r="M25" s="32"/>
      <c r="N25" s="32"/>
      <c r="O25" s="32"/>
      <c r="P25" s="32">
        <f t="shared" si="3"/>
        <v>4.2</v>
      </c>
      <c r="Q25" s="32">
        <v>2</v>
      </c>
      <c r="R25" s="282">
        <f t="shared" si="4"/>
        <v>8.4</v>
      </c>
      <c r="S25" s="283"/>
    </row>
    <row r="26" spans="1:19">
      <c r="A26" s="57" t="str">
        <f>'1. 소켓인수검사'!A25</f>
        <v>17</v>
      </c>
      <c r="B26" s="38">
        <f>'1. 소켓인수검사'!C25</f>
        <v>800</v>
      </c>
      <c r="C26" s="38">
        <f>'1. 소켓인수검사'!D25</f>
        <v>1050</v>
      </c>
      <c r="D26" s="61" t="s">
        <v>48</v>
      </c>
      <c r="E26" s="74">
        <f t="shared" si="8"/>
        <v>0.84</v>
      </c>
      <c r="F26" s="74">
        <f t="shared" si="9"/>
        <v>3.7</v>
      </c>
      <c r="G26" s="32">
        <f t="shared" si="2"/>
        <v>4.1000000000000005</v>
      </c>
      <c r="H26" s="38">
        <v>2</v>
      </c>
      <c r="I26" s="32">
        <f t="shared" si="5"/>
        <v>8.2000000000000011</v>
      </c>
      <c r="J26" s="32"/>
      <c r="K26" s="32"/>
      <c r="L26" s="32"/>
      <c r="M26" s="32"/>
      <c r="N26" s="32"/>
      <c r="O26" s="32"/>
      <c r="P26" s="32">
        <f t="shared" si="3"/>
        <v>4.2</v>
      </c>
      <c r="Q26" s="32">
        <v>2</v>
      </c>
      <c r="R26" s="282">
        <f t="shared" si="4"/>
        <v>8.4</v>
      </c>
      <c r="S26" s="283"/>
    </row>
    <row r="27" spans="1:19">
      <c r="A27" s="57" t="str">
        <f>'1. 소켓인수검사'!A26</f>
        <v>18</v>
      </c>
      <c r="B27" s="38">
        <f>'1. 소켓인수검사'!C26</f>
        <v>900</v>
      </c>
      <c r="C27" s="38">
        <f>'1. 소켓인수검사'!D26</f>
        <v>950</v>
      </c>
      <c r="D27" s="61" t="s">
        <v>48</v>
      </c>
      <c r="E27" s="74">
        <f t="shared" si="8"/>
        <v>0.85499999999999998</v>
      </c>
      <c r="F27" s="74">
        <f t="shared" si="9"/>
        <v>3.7</v>
      </c>
      <c r="G27" s="32">
        <f t="shared" si="2"/>
        <v>4.1000000000000005</v>
      </c>
      <c r="H27" s="38">
        <v>2</v>
      </c>
      <c r="I27" s="32">
        <f t="shared" si="5"/>
        <v>8.2000000000000011</v>
      </c>
      <c r="J27" s="32"/>
      <c r="K27" s="32"/>
      <c r="L27" s="32"/>
      <c r="M27" s="32"/>
      <c r="N27" s="32"/>
      <c r="O27" s="32"/>
      <c r="P27" s="32">
        <f t="shared" si="3"/>
        <v>4.2</v>
      </c>
      <c r="Q27" s="32">
        <v>2</v>
      </c>
      <c r="R27" s="282">
        <f t="shared" si="4"/>
        <v>8.4</v>
      </c>
      <c r="S27" s="283"/>
    </row>
    <row r="28" spans="1:19">
      <c r="A28" s="57" t="str">
        <f>'1. 소켓인수검사'!A27</f>
        <v>19</v>
      </c>
      <c r="B28" s="38">
        <f>'1. 소켓인수검사'!C27</f>
        <v>900</v>
      </c>
      <c r="C28" s="38">
        <f>'1. 소켓인수검사'!D27</f>
        <v>950</v>
      </c>
      <c r="D28" s="61" t="s">
        <v>48</v>
      </c>
      <c r="E28" s="74">
        <f t="shared" si="8"/>
        <v>0.85499999999999998</v>
      </c>
      <c r="F28" s="74">
        <f t="shared" si="9"/>
        <v>3.7</v>
      </c>
      <c r="G28" s="32">
        <f t="shared" si="2"/>
        <v>4.1000000000000005</v>
      </c>
      <c r="H28" s="38">
        <v>2</v>
      </c>
      <c r="I28" s="32">
        <f t="shared" si="5"/>
        <v>8.2000000000000011</v>
      </c>
      <c r="J28" s="32"/>
      <c r="K28" s="32"/>
      <c r="L28" s="32"/>
      <c r="M28" s="32"/>
      <c r="N28" s="32"/>
      <c r="O28" s="32"/>
      <c r="P28" s="32">
        <f t="shared" si="3"/>
        <v>4.2</v>
      </c>
      <c r="Q28" s="32">
        <v>2</v>
      </c>
      <c r="R28" s="282">
        <f t="shared" si="4"/>
        <v>8.4</v>
      </c>
      <c r="S28" s="283"/>
    </row>
    <row r="29" spans="1:19">
      <c r="A29" s="57" t="str">
        <f>'1. 소켓인수검사'!A28</f>
        <v>20</v>
      </c>
      <c r="B29" s="38">
        <f>'1. 소켓인수검사'!C28</f>
        <v>900</v>
      </c>
      <c r="C29" s="38">
        <f>'1. 소켓인수검사'!D28</f>
        <v>950</v>
      </c>
      <c r="D29" s="61" t="s">
        <v>48</v>
      </c>
      <c r="E29" s="74">
        <f t="shared" si="8"/>
        <v>0.85499999999999998</v>
      </c>
      <c r="F29" s="74">
        <f t="shared" si="9"/>
        <v>3.7</v>
      </c>
      <c r="G29" s="32">
        <f t="shared" si="2"/>
        <v>4.1000000000000005</v>
      </c>
      <c r="H29" s="38">
        <v>2</v>
      </c>
      <c r="I29" s="32">
        <f t="shared" si="5"/>
        <v>8.2000000000000011</v>
      </c>
      <c r="J29" s="32"/>
      <c r="K29" s="32"/>
      <c r="L29" s="32"/>
      <c r="M29" s="32"/>
      <c r="N29" s="32"/>
      <c r="O29" s="32"/>
      <c r="P29" s="32">
        <f t="shared" si="3"/>
        <v>4.2</v>
      </c>
      <c r="Q29" s="32">
        <v>2</v>
      </c>
      <c r="R29" s="282">
        <f t="shared" si="4"/>
        <v>8.4</v>
      </c>
      <c r="S29" s="283"/>
    </row>
    <row r="30" spans="1:19">
      <c r="A30" s="57" t="str">
        <f>'1. 소켓인수검사'!A29</f>
        <v>21</v>
      </c>
      <c r="B30" s="38">
        <f>'1. 소켓인수검사'!C29</f>
        <v>1000</v>
      </c>
      <c r="C30" s="38">
        <f>'1. 소켓인수검사'!D29</f>
        <v>1000</v>
      </c>
      <c r="D30" s="61" t="s">
        <v>48</v>
      </c>
      <c r="E30" s="74">
        <f t="shared" si="8"/>
        <v>1</v>
      </c>
      <c r="F30" s="74">
        <f t="shared" si="9"/>
        <v>4</v>
      </c>
      <c r="G30" s="32">
        <f t="shared" si="2"/>
        <v>4.4000000000000004</v>
      </c>
      <c r="H30" s="38">
        <v>2</v>
      </c>
      <c r="I30" s="32">
        <f t="shared" si="5"/>
        <v>8.8000000000000007</v>
      </c>
      <c r="J30" s="32"/>
      <c r="K30" s="32"/>
      <c r="L30" s="32"/>
      <c r="M30" s="32"/>
      <c r="N30" s="32"/>
      <c r="O30" s="32"/>
      <c r="P30" s="32">
        <f t="shared" si="3"/>
        <v>4.5</v>
      </c>
      <c r="Q30" s="32">
        <v>2</v>
      </c>
      <c r="R30" s="282">
        <f t="shared" si="4"/>
        <v>9</v>
      </c>
      <c r="S30" s="283"/>
    </row>
    <row r="31" spans="1:19">
      <c r="A31" s="57" t="str">
        <f>'1. 소켓인수검사'!A30</f>
        <v>22</v>
      </c>
      <c r="B31" s="38">
        <f>'1. 소켓인수검사'!C30</f>
        <v>1000</v>
      </c>
      <c r="C31" s="38">
        <f>'1. 소켓인수검사'!D30</f>
        <v>1000</v>
      </c>
      <c r="D31" s="61" t="s">
        <v>48</v>
      </c>
      <c r="E31" s="74">
        <f t="shared" si="8"/>
        <v>1</v>
      </c>
      <c r="F31" s="74">
        <f t="shared" si="9"/>
        <v>4</v>
      </c>
      <c r="G31" s="32">
        <f t="shared" si="2"/>
        <v>4.4000000000000004</v>
      </c>
      <c r="H31" s="38">
        <v>2</v>
      </c>
      <c r="I31" s="32">
        <f t="shared" si="5"/>
        <v>8.8000000000000007</v>
      </c>
      <c r="J31" s="32"/>
      <c r="K31" s="32"/>
      <c r="L31" s="32"/>
      <c r="M31" s="32"/>
      <c r="N31" s="32"/>
      <c r="O31" s="32"/>
      <c r="P31" s="32">
        <f t="shared" si="3"/>
        <v>4.5</v>
      </c>
      <c r="Q31" s="32">
        <v>2</v>
      </c>
      <c r="R31" s="282">
        <f t="shared" si="4"/>
        <v>9</v>
      </c>
      <c r="S31" s="283"/>
    </row>
    <row r="32" spans="1:19">
      <c r="A32" s="57" t="str">
        <f>'1. 소켓인수검사'!A31</f>
        <v>23</v>
      </c>
      <c r="B32" s="38">
        <f>'1. 소켓인수검사'!C31</f>
        <v>1200</v>
      </c>
      <c r="C32" s="38">
        <f>'1. 소켓인수검사'!D31</f>
        <v>800</v>
      </c>
      <c r="D32" s="61" t="s">
        <v>48</v>
      </c>
      <c r="E32" s="74">
        <f t="shared" si="8"/>
        <v>0.96</v>
      </c>
      <c r="F32" s="74">
        <f t="shared" si="9"/>
        <v>4</v>
      </c>
      <c r="G32" s="32">
        <f t="shared" si="2"/>
        <v>4.4000000000000004</v>
      </c>
      <c r="H32" s="38">
        <v>2</v>
      </c>
      <c r="I32" s="32">
        <f t="shared" si="5"/>
        <v>8.8000000000000007</v>
      </c>
      <c r="J32" s="32"/>
      <c r="K32" s="32"/>
      <c r="L32" s="32"/>
      <c r="M32" s="32"/>
      <c r="N32" s="32"/>
      <c r="O32" s="32"/>
      <c r="P32" s="32">
        <f t="shared" si="3"/>
        <v>4.5</v>
      </c>
      <c r="Q32" s="32">
        <v>2</v>
      </c>
      <c r="R32" s="282">
        <f t="shared" si="4"/>
        <v>9</v>
      </c>
      <c r="S32" s="283"/>
    </row>
    <row r="33" spans="1:19">
      <c r="A33" s="57" t="str">
        <f>'1. 소켓인수검사'!A32</f>
        <v>24</v>
      </c>
      <c r="B33" s="38">
        <f>'1. 소켓인수검사'!C32</f>
        <v>1200</v>
      </c>
      <c r="C33" s="38">
        <f>'1. 소켓인수검사'!D32</f>
        <v>800</v>
      </c>
      <c r="D33" s="61" t="s">
        <v>48</v>
      </c>
      <c r="E33" s="74">
        <f t="shared" si="8"/>
        <v>0.96</v>
      </c>
      <c r="F33" s="74">
        <f t="shared" si="9"/>
        <v>4</v>
      </c>
      <c r="G33" s="32">
        <f t="shared" si="2"/>
        <v>4.4000000000000004</v>
      </c>
      <c r="H33" s="38">
        <v>2</v>
      </c>
      <c r="I33" s="32">
        <f t="shared" si="5"/>
        <v>8.8000000000000007</v>
      </c>
      <c r="J33" s="32"/>
      <c r="K33" s="32"/>
      <c r="L33" s="32"/>
      <c r="M33" s="32"/>
      <c r="N33" s="32"/>
      <c r="O33" s="32"/>
      <c r="P33" s="32">
        <f t="shared" si="3"/>
        <v>4.5</v>
      </c>
      <c r="Q33" s="32">
        <v>2</v>
      </c>
      <c r="R33" s="282">
        <f t="shared" si="4"/>
        <v>9</v>
      </c>
      <c r="S33" s="283"/>
    </row>
    <row r="34" spans="1:19">
      <c r="A34" s="57" t="str">
        <f>'1. 소켓인수검사'!A33</f>
        <v>25</v>
      </c>
      <c r="B34" s="38">
        <f>'1. 소켓인수검사'!C33</f>
        <v>1300</v>
      </c>
      <c r="C34" s="38">
        <f>'1. 소켓인수검사'!D33</f>
        <v>800</v>
      </c>
      <c r="D34" s="61" t="s">
        <v>48</v>
      </c>
      <c r="E34" s="74">
        <f t="shared" si="8"/>
        <v>1.04</v>
      </c>
      <c r="F34" s="74">
        <f t="shared" si="9"/>
        <v>4.2</v>
      </c>
      <c r="G34" s="32">
        <f t="shared" si="2"/>
        <v>4.6000000000000005</v>
      </c>
      <c r="H34" s="38">
        <v>2</v>
      </c>
      <c r="I34" s="32">
        <f t="shared" si="5"/>
        <v>9.2000000000000011</v>
      </c>
      <c r="J34" s="32"/>
      <c r="K34" s="32"/>
      <c r="L34" s="32"/>
      <c r="M34" s="32"/>
      <c r="N34" s="32"/>
      <c r="O34" s="32"/>
      <c r="P34" s="32">
        <f t="shared" si="3"/>
        <v>4.7</v>
      </c>
      <c r="Q34" s="32">
        <v>2</v>
      </c>
      <c r="R34" s="282">
        <f t="shared" si="4"/>
        <v>9.4</v>
      </c>
      <c r="S34" s="283"/>
    </row>
    <row r="35" spans="1:19">
      <c r="A35" s="268" t="s">
        <v>3</v>
      </c>
      <c r="B35" s="269"/>
      <c r="C35" s="269"/>
      <c r="D35" s="269"/>
      <c r="E35" s="269"/>
      <c r="F35" s="270"/>
      <c r="G35" s="36"/>
      <c r="H35" s="49"/>
      <c r="I35" s="82">
        <f>SUM(I10:I34)</f>
        <v>191.6</v>
      </c>
      <c r="J35" s="36"/>
      <c r="K35" s="36"/>
      <c r="L35" s="82">
        <f>SUM(L10:L34)</f>
        <v>0</v>
      </c>
      <c r="M35" s="36"/>
      <c r="N35" s="36"/>
      <c r="O35" s="82">
        <f>SUM(O10:O34)</f>
        <v>14.4</v>
      </c>
      <c r="P35" s="36"/>
      <c r="Q35" s="36"/>
      <c r="R35" s="271">
        <f>SUM(R10:S34)</f>
        <v>196.4</v>
      </c>
      <c r="S35" s="272"/>
    </row>
    <row r="36" spans="1:19" ht="17.25" customHeight="1">
      <c r="A36" s="275" t="s">
        <v>13</v>
      </c>
      <c r="B36" s="276"/>
      <c r="C36" s="276"/>
      <c r="D36" s="276"/>
      <c r="E36" s="276"/>
      <c r="F36" s="277"/>
      <c r="G36" s="278">
        <f>I35/20</f>
        <v>9.58</v>
      </c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80"/>
    </row>
    <row r="37" spans="1:19">
      <c r="A37" s="275" t="s">
        <v>12</v>
      </c>
      <c r="B37" s="276"/>
      <c r="C37" s="276"/>
      <c r="D37" s="276"/>
      <c r="E37" s="276"/>
      <c r="F37" s="277"/>
      <c r="G37" s="278">
        <f>L35/3.6</f>
        <v>0</v>
      </c>
      <c r="H37" s="279"/>
      <c r="I37" s="279"/>
      <c r="J37" s="279"/>
      <c r="K37" s="279"/>
      <c r="L37" s="279"/>
      <c r="M37" s="279"/>
      <c r="N37" s="279"/>
      <c r="O37" s="279"/>
      <c r="P37" s="279"/>
      <c r="Q37" s="279"/>
      <c r="R37" s="279"/>
      <c r="S37" s="280"/>
    </row>
    <row r="38" spans="1:19">
      <c r="A38" s="281" t="s">
        <v>78</v>
      </c>
      <c r="B38" s="276"/>
      <c r="C38" s="276"/>
      <c r="D38" s="276"/>
      <c r="E38" s="276"/>
      <c r="F38" s="277"/>
      <c r="G38" s="278">
        <f>O35/7.4</f>
        <v>1.9459459459459458</v>
      </c>
      <c r="H38" s="279"/>
      <c r="I38" s="279"/>
      <c r="J38" s="279"/>
      <c r="K38" s="279"/>
      <c r="L38" s="279"/>
      <c r="M38" s="279"/>
      <c r="N38" s="279"/>
      <c r="O38" s="279"/>
      <c r="P38" s="279"/>
      <c r="Q38" s="279"/>
      <c r="R38" s="279"/>
      <c r="S38" s="280"/>
    </row>
    <row r="39" spans="1:19">
      <c r="A39" s="275" t="s">
        <v>14</v>
      </c>
      <c r="B39" s="276"/>
      <c r="C39" s="276"/>
      <c r="D39" s="276"/>
      <c r="E39" s="276"/>
      <c r="F39" s="277"/>
      <c r="G39" s="278">
        <f>R35/3.6</f>
        <v>54.555555555555557</v>
      </c>
      <c r="H39" s="279"/>
      <c r="I39" s="279"/>
      <c r="J39" s="279"/>
      <c r="K39" s="279"/>
      <c r="L39" s="279"/>
      <c r="M39" s="279"/>
      <c r="N39" s="279"/>
      <c r="O39" s="279"/>
      <c r="P39" s="279"/>
      <c r="Q39" s="279"/>
      <c r="R39" s="279"/>
      <c r="S39" s="280"/>
    </row>
    <row r="40" spans="1:19" ht="8.1" customHeight="1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</row>
    <row r="41" spans="1:19">
      <c r="A41" s="1" t="s">
        <v>47</v>
      </c>
      <c r="B41" s="1"/>
      <c r="C41" s="273"/>
      <c r="D41" s="274"/>
      <c r="E41" s="274"/>
      <c r="F41" s="274"/>
      <c r="G41" s="274"/>
      <c r="H41" s="274"/>
      <c r="I41" s="274"/>
      <c r="J41" s="274"/>
      <c r="K41" s="274"/>
      <c r="L41" s="274"/>
      <c r="M41" s="274"/>
      <c r="N41" s="274"/>
      <c r="O41" s="274"/>
      <c r="P41" s="274"/>
      <c r="Q41" s="274"/>
      <c r="R41" s="274"/>
      <c r="S41" s="274"/>
    </row>
    <row r="42" spans="1:19">
      <c r="A42" s="1"/>
      <c r="B42" s="1"/>
      <c r="C42" s="274"/>
      <c r="D42" s="274"/>
      <c r="E42" s="274"/>
      <c r="F42" s="274"/>
      <c r="G42" s="274"/>
      <c r="H42" s="274"/>
      <c r="I42" s="274"/>
      <c r="J42" s="274"/>
      <c r="K42" s="274"/>
      <c r="L42" s="274"/>
      <c r="M42" s="274"/>
      <c r="N42" s="274"/>
      <c r="O42" s="274"/>
      <c r="P42" s="274"/>
      <c r="Q42" s="274"/>
      <c r="R42" s="274"/>
      <c r="S42" s="274"/>
    </row>
    <row r="43" spans="1:19">
      <c r="A43" s="1"/>
      <c r="B43" s="1"/>
      <c r="C43" s="274"/>
      <c r="D43" s="274"/>
      <c r="E43" s="274"/>
      <c r="F43" s="274"/>
      <c r="G43" s="274"/>
      <c r="H43" s="274"/>
      <c r="I43" s="274"/>
      <c r="J43" s="274"/>
      <c r="K43" s="274"/>
      <c r="L43" s="274"/>
      <c r="M43" s="274"/>
      <c r="N43" s="274"/>
      <c r="O43" s="274"/>
      <c r="P43" s="274"/>
      <c r="Q43" s="274"/>
      <c r="R43" s="274"/>
      <c r="S43" s="274"/>
    </row>
    <row r="44" spans="1:19">
      <c r="A44" s="1"/>
      <c r="B44" s="1"/>
      <c r="C44" s="274"/>
      <c r="D44" s="274"/>
      <c r="E44" s="274"/>
      <c r="F44" s="274"/>
      <c r="G44" s="274"/>
      <c r="H44" s="274"/>
      <c r="I44" s="274"/>
      <c r="J44" s="274"/>
      <c r="K44" s="274"/>
      <c r="L44" s="274"/>
      <c r="M44" s="274"/>
      <c r="N44" s="274"/>
      <c r="O44" s="274"/>
      <c r="P44" s="274"/>
      <c r="Q44" s="274"/>
      <c r="R44" s="274"/>
      <c r="S44" s="274"/>
    </row>
  </sheetData>
  <mergeCells count="64">
    <mergeCell ref="A1:C3"/>
    <mergeCell ref="D1:Q4"/>
    <mergeCell ref="R1:R4"/>
    <mergeCell ref="S2:S4"/>
    <mergeCell ref="A4:B4"/>
    <mergeCell ref="L5:L6"/>
    <mergeCell ref="O5:O6"/>
    <mergeCell ref="P5:S6"/>
    <mergeCell ref="E6:F6"/>
    <mergeCell ref="A7:S7"/>
    <mergeCell ref="A5:B6"/>
    <mergeCell ref="C5:C6"/>
    <mergeCell ref="E5:F5"/>
    <mergeCell ref="G5:G6"/>
    <mergeCell ref="H5:K6"/>
    <mergeCell ref="A8:A9"/>
    <mergeCell ref="B8:B9"/>
    <mergeCell ref="C8:C9"/>
    <mergeCell ref="D8:D9"/>
    <mergeCell ref="E8:E9"/>
    <mergeCell ref="F8:F9"/>
    <mergeCell ref="G8:I8"/>
    <mergeCell ref="J8:L8"/>
    <mergeCell ref="M8:O8"/>
    <mergeCell ref="P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A35:F35"/>
    <mergeCell ref="R35:S35"/>
    <mergeCell ref="A41:B44"/>
    <mergeCell ref="C41:S44"/>
    <mergeCell ref="A36:F36"/>
    <mergeCell ref="G36:S36"/>
    <mergeCell ref="A37:F37"/>
    <mergeCell ref="G37:S37"/>
    <mergeCell ref="A38:F38"/>
    <mergeCell ref="G38:S38"/>
    <mergeCell ref="A39:F39"/>
    <mergeCell ref="G39:S39"/>
    <mergeCell ref="A40:S40"/>
  </mergeCells>
  <phoneticPr fontId="28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39"/>
  <sheetViews>
    <sheetView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A32" sqref="A32:XFD147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1"/>
      <c r="B1" s="1"/>
      <c r="C1" s="1"/>
      <c r="D1" s="1"/>
      <c r="E1" s="103" t="s">
        <v>8</v>
      </c>
      <c r="F1" s="311" t="s">
        <v>75</v>
      </c>
      <c r="G1" s="311"/>
      <c r="H1" s="311"/>
      <c r="I1" s="311"/>
      <c r="J1" s="311"/>
      <c r="K1" s="203" t="str">
        <f>'1. 소켓인수검사'!R2</f>
        <v>26.06.08 행복산업_덕신건업_롯데건설_인천효성구역 도시개발사업 공동주택(4BL)</v>
      </c>
      <c r="L1" s="203"/>
      <c r="M1" s="203"/>
      <c r="N1" s="203"/>
      <c r="O1" s="203"/>
      <c r="P1" s="203"/>
      <c r="Q1" s="203"/>
      <c r="R1" s="203"/>
      <c r="S1" s="203"/>
      <c r="T1" s="203"/>
      <c r="U1" s="204"/>
    </row>
    <row r="2" spans="1:21" ht="16.5" customHeight="1">
      <c r="A2" s="1"/>
      <c r="B2" s="1"/>
      <c r="C2" s="1"/>
      <c r="D2" s="1"/>
      <c r="E2" s="102"/>
      <c r="F2" s="312"/>
      <c r="G2" s="312"/>
      <c r="H2" s="312"/>
      <c r="I2" s="312"/>
      <c r="J2" s="312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6"/>
    </row>
    <row r="3" spans="1:21" ht="24" customHeight="1">
      <c r="A3" s="1"/>
      <c r="B3" s="1"/>
      <c r="C3" s="1"/>
      <c r="D3" s="1"/>
      <c r="E3" s="104"/>
      <c r="F3" s="313"/>
      <c r="G3" s="313"/>
      <c r="H3" s="313"/>
      <c r="I3" s="313"/>
      <c r="J3" s="313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8"/>
    </row>
    <row r="4" spans="1:21" ht="8.1" customHeight="1">
      <c r="A4" s="169"/>
      <c r="B4" s="170"/>
      <c r="C4" s="170"/>
      <c r="D4" s="170"/>
      <c r="E4" s="170"/>
      <c r="F4" s="170"/>
      <c r="G4" s="170"/>
      <c r="H4" s="169"/>
      <c r="I4" s="170"/>
      <c r="J4" s="170"/>
      <c r="K4" s="170"/>
      <c r="L4" s="170"/>
      <c r="M4" s="170"/>
      <c r="N4" s="170"/>
      <c r="O4" s="170"/>
      <c r="P4" s="170"/>
      <c r="Q4" s="3"/>
      <c r="S4" s="3"/>
      <c r="T4" s="3"/>
      <c r="U4" s="3"/>
    </row>
    <row r="5" spans="1:21" ht="16.5" customHeight="1">
      <c r="A5" s="136" t="s">
        <v>59</v>
      </c>
      <c r="B5" s="314" t="s">
        <v>37</v>
      </c>
      <c r="C5" s="284" t="s">
        <v>66</v>
      </c>
      <c r="D5" s="284" t="s">
        <v>64</v>
      </c>
      <c r="E5" s="284" t="s">
        <v>25</v>
      </c>
      <c r="F5" s="284" t="s">
        <v>54</v>
      </c>
      <c r="G5" s="284" t="s">
        <v>61</v>
      </c>
      <c r="H5" s="284" t="s">
        <v>41</v>
      </c>
      <c r="I5" s="284" t="s">
        <v>24</v>
      </c>
      <c r="J5" s="284"/>
      <c r="K5" s="284" t="s">
        <v>0</v>
      </c>
      <c r="L5" s="284"/>
      <c r="M5" s="284" t="s">
        <v>0</v>
      </c>
      <c r="N5" s="284"/>
      <c r="O5" s="284" t="s">
        <v>0</v>
      </c>
      <c r="P5" s="284"/>
      <c r="Q5" s="304" t="s">
        <v>53</v>
      </c>
      <c r="R5" s="304"/>
      <c r="S5" s="305" t="s">
        <v>31</v>
      </c>
      <c r="T5" s="305" t="s">
        <v>58</v>
      </c>
      <c r="U5" s="307" t="s">
        <v>18</v>
      </c>
    </row>
    <row r="6" spans="1:21" ht="26.45" customHeight="1">
      <c r="A6" s="288"/>
      <c r="B6" s="315"/>
      <c r="C6" s="285"/>
      <c r="D6" s="285"/>
      <c r="E6" s="285"/>
      <c r="F6" s="285"/>
      <c r="G6" s="285"/>
      <c r="H6" s="285"/>
      <c r="I6" s="78" t="s">
        <v>9</v>
      </c>
      <c r="J6" s="37" t="s">
        <v>57</v>
      </c>
      <c r="K6" s="78" t="s">
        <v>76</v>
      </c>
      <c r="L6" s="37" t="s">
        <v>57</v>
      </c>
      <c r="M6" s="78" t="s">
        <v>36</v>
      </c>
      <c r="N6" s="37" t="s">
        <v>57</v>
      </c>
      <c r="O6" s="78" t="s">
        <v>38</v>
      </c>
      <c r="P6" s="37" t="s">
        <v>57</v>
      </c>
      <c r="Q6" s="78" t="s">
        <v>55</v>
      </c>
      <c r="R6" s="37" t="s">
        <v>67</v>
      </c>
      <c r="S6" s="306"/>
      <c r="T6" s="306"/>
      <c r="U6" s="308"/>
    </row>
    <row r="7" spans="1:21">
      <c r="A7" s="57" t="str">
        <f>'1. 소켓인수검사'!A9</f>
        <v>01</v>
      </c>
      <c r="B7" s="79" t="s">
        <v>40</v>
      </c>
      <c r="C7" s="38">
        <f>'1. 소켓인수검사'!C9</f>
        <v>1100</v>
      </c>
      <c r="D7" s="38">
        <f>'1. 소켓인수검사'!D9</f>
        <v>450</v>
      </c>
      <c r="E7" s="39"/>
      <c r="F7" s="40">
        <f t="shared" ref="F7" si="0">C7*D7/1000000</f>
        <v>0.495</v>
      </c>
      <c r="G7" s="40">
        <f t="shared" ref="G7" si="1">(C7+D7)*2/1000</f>
        <v>3.1</v>
      </c>
      <c r="H7" s="45">
        <v>1</v>
      </c>
      <c r="I7" s="78"/>
      <c r="J7" s="37"/>
      <c r="K7" s="32">
        <f t="shared" ref="K7" si="2">G7+0.5</f>
        <v>3.6</v>
      </c>
      <c r="L7" s="37">
        <v>4</v>
      </c>
      <c r="M7" s="32"/>
      <c r="N7" s="37"/>
      <c r="O7" s="32"/>
      <c r="P7" s="37"/>
      <c r="Q7" s="41">
        <f t="shared" ref="Q7" si="3">(((C7+60)+250+(D7+60))*2/1000)*2</f>
        <v>7.68</v>
      </c>
      <c r="R7" s="117">
        <f t="shared" ref="R7" si="4">Q7</f>
        <v>7.68</v>
      </c>
      <c r="S7" s="42" t="s">
        <v>44</v>
      </c>
      <c r="T7" s="43" t="s">
        <v>6</v>
      </c>
      <c r="U7" s="44" t="str">
        <f>'1. 소켓인수검사'!G9</f>
        <v>1동 2번</v>
      </c>
    </row>
    <row r="8" spans="1:21">
      <c r="A8" s="57" t="str">
        <f>'1. 소켓인수검사'!A10</f>
        <v>02</v>
      </c>
      <c r="B8" s="79" t="s">
        <v>40</v>
      </c>
      <c r="C8" s="38">
        <f>'1. 소켓인수검사'!C10</f>
        <v>750</v>
      </c>
      <c r="D8" s="38">
        <f>'1. 소켓인수검사'!D10</f>
        <v>900</v>
      </c>
      <c r="E8" s="39"/>
      <c r="F8" s="40">
        <f t="shared" ref="F8:F31" si="5">C8*D8/1000000</f>
        <v>0.67500000000000004</v>
      </c>
      <c r="G8" s="40">
        <f t="shared" ref="G8:G31" si="6">(C8+D8)*2/1000</f>
        <v>3.3</v>
      </c>
      <c r="H8" s="45">
        <v>2</v>
      </c>
      <c r="I8" s="78">
        <f t="shared" ref="I8:I31" si="7">(G8+0.4)</f>
        <v>3.6999999999999997</v>
      </c>
      <c r="J8" s="46">
        <v>2</v>
      </c>
      <c r="K8" s="32"/>
      <c r="L8" s="37"/>
      <c r="M8" s="32"/>
      <c r="N8" s="37"/>
      <c r="O8" s="78">
        <f t="shared" ref="O8:O31" si="8">(G8+0.5)</f>
        <v>3.8</v>
      </c>
      <c r="P8" s="46">
        <v>2</v>
      </c>
      <c r="Q8" s="41">
        <f t="shared" ref="Q8:Q31" si="9">(((C8+60)+250+(D8+60))*2/1000)*2</f>
        <v>8.08</v>
      </c>
      <c r="R8" s="117">
        <f t="shared" ref="R8:R31" si="10">Q8</f>
        <v>8.08</v>
      </c>
      <c r="S8" s="47" t="s">
        <v>43</v>
      </c>
      <c r="T8" s="48" t="s">
        <v>7</v>
      </c>
      <c r="U8" s="44" t="str">
        <f>'1. 소켓인수검사'!G10</f>
        <v>1동 7,8,9,10번</v>
      </c>
    </row>
    <row r="9" spans="1:21">
      <c r="A9" s="57" t="str">
        <f>'1. 소켓인수검사'!A11</f>
        <v>03</v>
      </c>
      <c r="B9" s="79" t="s">
        <v>40</v>
      </c>
      <c r="C9" s="38">
        <f>'1. 소켓인수검사'!C11</f>
        <v>750</v>
      </c>
      <c r="D9" s="38">
        <f>'1. 소켓인수검사'!D11</f>
        <v>900</v>
      </c>
      <c r="E9" s="39"/>
      <c r="F9" s="40">
        <f t="shared" si="5"/>
        <v>0.67500000000000004</v>
      </c>
      <c r="G9" s="40">
        <f t="shared" si="6"/>
        <v>3.3</v>
      </c>
      <c r="H9" s="45">
        <v>2</v>
      </c>
      <c r="I9" s="78">
        <f t="shared" si="7"/>
        <v>3.6999999999999997</v>
      </c>
      <c r="J9" s="46">
        <v>2</v>
      </c>
      <c r="K9" s="32"/>
      <c r="L9" s="37"/>
      <c r="M9" s="32"/>
      <c r="N9" s="37"/>
      <c r="O9" s="78">
        <f t="shared" si="8"/>
        <v>3.8</v>
      </c>
      <c r="P9" s="46">
        <v>2</v>
      </c>
      <c r="Q9" s="41">
        <f t="shared" si="9"/>
        <v>8.08</v>
      </c>
      <c r="R9" s="117">
        <f t="shared" si="10"/>
        <v>8.08</v>
      </c>
      <c r="S9" s="47" t="s">
        <v>43</v>
      </c>
      <c r="T9" s="48" t="s">
        <v>7</v>
      </c>
      <c r="U9" s="44" t="str">
        <f>'1. 소켓인수검사'!G11</f>
        <v>1동 7,8,9,10번</v>
      </c>
    </row>
    <row r="10" spans="1:21">
      <c r="A10" s="57" t="str">
        <f>'1. 소켓인수검사'!A12</f>
        <v>04</v>
      </c>
      <c r="B10" s="79" t="s">
        <v>40</v>
      </c>
      <c r="C10" s="38">
        <f>'1. 소켓인수검사'!C12</f>
        <v>750</v>
      </c>
      <c r="D10" s="38">
        <f>'1. 소켓인수검사'!D12</f>
        <v>900</v>
      </c>
      <c r="E10" s="39"/>
      <c r="F10" s="40">
        <f t="shared" si="5"/>
        <v>0.67500000000000004</v>
      </c>
      <c r="G10" s="40">
        <f t="shared" si="6"/>
        <v>3.3</v>
      </c>
      <c r="H10" s="45">
        <v>2</v>
      </c>
      <c r="I10" s="78">
        <f t="shared" si="7"/>
        <v>3.6999999999999997</v>
      </c>
      <c r="J10" s="46">
        <v>2</v>
      </c>
      <c r="K10" s="32"/>
      <c r="L10" s="37"/>
      <c r="M10" s="32"/>
      <c r="N10" s="37"/>
      <c r="O10" s="78">
        <f t="shared" si="8"/>
        <v>3.8</v>
      </c>
      <c r="P10" s="46">
        <v>2</v>
      </c>
      <c r="Q10" s="41">
        <f t="shared" si="9"/>
        <v>8.08</v>
      </c>
      <c r="R10" s="117">
        <f t="shared" si="10"/>
        <v>8.08</v>
      </c>
      <c r="S10" s="47" t="s">
        <v>43</v>
      </c>
      <c r="T10" s="48" t="s">
        <v>7</v>
      </c>
      <c r="U10" s="44" t="str">
        <f>'1. 소켓인수검사'!G12</f>
        <v>1동 7,8,9,10번</v>
      </c>
    </row>
    <row r="11" spans="1:21">
      <c r="A11" s="57" t="str">
        <f>'1. 소켓인수검사'!A13</f>
        <v>05</v>
      </c>
      <c r="B11" s="79" t="s">
        <v>40</v>
      </c>
      <c r="C11" s="38">
        <f>'1. 소켓인수검사'!C13</f>
        <v>750</v>
      </c>
      <c r="D11" s="38">
        <f>'1. 소켓인수검사'!D13</f>
        <v>900</v>
      </c>
      <c r="E11" s="39"/>
      <c r="F11" s="40">
        <f t="shared" si="5"/>
        <v>0.67500000000000004</v>
      </c>
      <c r="G11" s="40">
        <f t="shared" si="6"/>
        <v>3.3</v>
      </c>
      <c r="H11" s="45">
        <v>2</v>
      </c>
      <c r="I11" s="78">
        <f t="shared" si="7"/>
        <v>3.6999999999999997</v>
      </c>
      <c r="J11" s="46">
        <v>2</v>
      </c>
      <c r="K11" s="32"/>
      <c r="L11" s="37"/>
      <c r="M11" s="32"/>
      <c r="N11" s="37"/>
      <c r="O11" s="78">
        <f t="shared" si="8"/>
        <v>3.8</v>
      </c>
      <c r="P11" s="46">
        <v>2</v>
      </c>
      <c r="Q11" s="41">
        <f t="shared" si="9"/>
        <v>8.08</v>
      </c>
      <c r="R11" s="117">
        <f t="shared" si="10"/>
        <v>8.08</v>
      </c>
      <c r="S11" s="47" t="s">
        <v>43</v>
      </c>
      <c r="T11" s="48" t="s">
        <v>7</v>
      </c>
      <c r="U11" s="44" t="str">
        <f>'1. 소켓인수검사'!G13</f>
        <v>1동 7,8,9,10번</v>
      </c>
    </row>
    <row r="12" spans="1:21">
      <c r="A12" s="57" t="str">
        <f>'1. 소켓인수검사'!A14</f>
        <v>06</v>
      </c>
      <c r="B12" s="79" t="s">
        <v>40</v>
      </c>
      <c r="C12" s="38">
        <f>'1. 소켓인수검사'!C14</f>
        <v>750</v>
      </c>
      <c r="D12" s="38">
        <f>'1. 소켓인수검사'!D14</f>
        <v>950</v>
      </c>
      <c r="E12" s="39"/>
      <c r="F12" s="40">
        <f t="shared" si="5"/>
        <v>0.71250000000000002</v>
      </c>
      <c r="G12" s="40">
        <f t="shared" si="6"/>
        <v>3.4</v>
      </c>
      <c r="H12" s="45">
        <v>2</v>
      </c>
      <c r="I12" s="78">
        <f t="shared" si="7"/>
        <v>3.8</v>
      </c>
      <c r="J12" s="46">
        <v>2</v>
      </c>
      <c r="K12" s="32"/>
      <c r="L12" s="37"/>
      <c r="M12" s="32"/>
      <c r="N12" s="37"/>
      <c r="O12" s="78">
        <f t="shared" si="8"/>
        <v>3.9</v>
      </c>
      <c r="P12" s="46">
        <v>2</v>
      </c>
      <c r="Q12" s="41">
        <f t="shared" si="9"/>
        <v>8.2799999999999994</v>
      </c>
      <c r="R12" s="117">
        <f t="shared" si="10"/>
        <v>8.2799999999999994</v>
      </c>
      <c r="S12" s="47" t="s">
        <v>43</v>
      </c>
      <c r="T12" s="48" t="s">
        <v>7</v>
      </c>
      <c r="U12" s="44" t="str">
        <f>'1. 소켓인수검사'!G14</f>
        <v>9동 1~6번</v>
      </c>
    </row>
    <row r="13" spans="1:21">
      <c r="A13" s="57" t="str">
        <f>'1. 소켓인수검사'!A15</f>
        <v>07</v>
      </c>
      <c r="B13" s="79" t="s">
        <v>40</v>
      </c>
      <c r="C13" s="38">
        <f>'1. 소켓인수검사'!C15</f>
        <v>750</v>
      </c>
      <c r="D13" s="38">
        <f>'1. 소켓인수검사'!D15</f>
        <v>950</v>
      </c>
      <c r="E13" s="39"/>
      <c r="F13" s="40">
        <f t="shared" si="5"/>
        <v>0.71250000000000002</v>
      </c>
      <c r="G13" s="40">
        <f t="shared" si="6"/>
        <v>3.4</v>
      </c>
      <c r="H13" s="45">
        <v>2</v>
      </c>
      <c r="I13" s="78">
        <f t="shared" si="7"/>
        <v>3.8</v>
      </c>
      <c r="J13" s="46">
        <v>2</v>
      </c>
      <c r="K13" s="32"/>
      <c r="L13" s="37"/>
      <c r="M13" s="32"/>
      <c r="N13" s="37"/>
      <c r="O13" s="78">
        <f t="shared" si="8"/>
        <v>3.9</v>
      </c>
      <c r="P13" s="46">
        <v>2</v>
      </c>
      <c r="Q13" s="41">
        <f t="shared" si="9"/>
        <v>8.2799999999999994</v>
      </c>
      <c r="R13" s="117">
        <f t="shared" si="10"/>
        <v>8.2799999999999994</v>
      </c>
      <c r="S13" s="47" t="s">
        <v>43</v>
      </c>
      <c r="T13" s="48" t="s">
        <v>7</v>
      </c>
      <c r="U13" s="44" t="str">
        <f>'1. 소켓인수검사'!G15</f>
        <v>9동 1~6번</v>
      </c>
    </row>
    <row r="14" spans="1:21">
      <c r="A14" s="57" t="str">
        <f>'1. 소켓인수검사'!A16</f>
        <v>08</v>
      </c>
      <c r="B14" s="79" t="s">
        <v>40</v>
      </c>
      <c r="C14" s="38">
        <f>'1. 소켓인수검사'!C16</f>
        <v>750</v>
      </c>
      <c r="D14" s="38">
        <f>'1. 소켓인수검사'!D16</f>
        <v>950</v>
      </c>
      <c r="E14" s="39"/>
      <c r="F14" s="40">
        <f t="shared" si="5"/>
        <v>0.71250000000000002</v>
      </c>
      <c r="G14" s="40">
        <f t="shared" si="6"/>
        <v>3.4</v>
      </c>
      <c r="H14" s="45">
        <v>2</v>
      </c>
      <c r="I14" s="78">
        <f t="shared" si="7"/>
        <v>3.8</v>
      </c>
      <c r="J14" s="46">
        <v>2</v>
      </c>
      <c r="K14" s="32"/>
      <c r="L14" s="37"/>
      <c r="M14" s="32"/>
      <c r="N14" s="37"/>
      <c r="O14" s="78">
        <f t="shared" si="8"/>
        <v>3.9</v>
      </c>
      <c r="P14" s="46">
        <v>2</v>
      </c>
      <c r="Q14" s="41">
        <f t="shared" si="9"/>
        <v>8.2799999999999994</v>
      </c>
      <c r="R14" s="117">
        <f t="shared" si="10"/>
        <v>8.2799999999999994</v>
      </c>
      <c r="S14" s="47" t="s">
        <v>43</v>
      </c>
      <c r="T14" s="48" t="s">
        <v>7</v>
      </c>
      <c r="U14" s="44" t="str">
        <f>'1. 소켓인수검사'!G16</f>
        <v>9동 1~6번</v>
      </c>
    </row>
    <row r="15" spans="1:21">
      <c r="A15" s="57" t="str">
        <f>'1. 소켓인수검사'!A17</f>
        <v>09</v>
      </c>
      <c r="B15" s="79" t="s">
        <v>40</v>
      </c>
      <c r="C15" s="38">
        <f>'1. 소켓인수검사'!C17</f>
        <v>750</v>
      </c>
      <c r="D15" s="38">
        <f>'1. 소켓인수검사'!D17</f>
        <v>950</v>
      </c>
      <c r="E15" s="39"/>
      <c r="F15" s="40">
        <f t="shared" si="5"/>
        <v>0.71250000000000002</v>
      </c>
      <c r="G15" s="40">
        <f t="shared" si="6"/>
        <v>3.4</v>
      </c>
      <c r="H15" s="45">
        <v>2</v>
      </c>
      <c r="I15" s="78">
        <f t="shared" si="7"/>
        <v>3.8</v>
      </c>
      <c r="J15" s="46">
        <v>2</v>
      </c>
      <c r="K15" s="32"/>
      <c r="L15" s="37"/>
      <c r="M15" s="32"/>
      <c r="N15" s="37"/>
      <c r="O15" s="78">
        <f t="shared" si="8"/>
        <v>3.9</v>
      </c>
      <c r="P15" s="46">
        <v>2</v>
      </c>
      <c r="Q15" s="41">
        <f t="shared" si="9"/>
        <v>8.2799999999999994</v>
      </c>
      <c r="R15" s="117">
        <f t="shared" si="10"/>
        <v>8.2799999999999994</v>
      </c>
      <c r="S15" s="47" t="s">
        <v>43</v>
      </c>
      <c r="T15" s="48" t="s">
        <v>7</v>
      </c>
      <c r="U15" s="44" t="str">
        <f>'1. 소켓인수검사'!G17</f>
        <v>9동 1~6번</v>
      </c>
    </row>
    <row r="16" spans="1:21">
      <c r="A16" s="57" t="str">
        <f>'1. 소켓인수검사'!A18</f>
        <v>10</v>
      </c>
      <c r="B16" s="79" t="s">
        <v>40</v>
      </c>
      <c r="C16" s="38">
        <f>'1. 소켓인수검사'!C18</f>
        <v>750</v>
      </c>
      <c r="D16" s="38">
        <f>'1. 소켓인수검사'!D18</f>
        <v>950</v>
      </c>
      <c r="E16" s="39"/>
      <c r="F16" s="40">
        <f t="shared" si="5"/>
        <v>0.71250000000000002</v>
      </c>
      <c r="G16" s="40">
        <f t="shared" si="6"/>
        <v>3.4</v>
      </c>
      <c r="H16" s="45">
        <v>2</v>
      </c>
      <c r="I16" s="78">
        <f t="shared" si="7"/>
        <v>3.8</v>
      </c>
      <c r="J16" s="46">
        <v>2</v>
      </c>
      <c r="K16" s="32"/>
      <c r="L16" s="37"/>
      <c r="M16" s="32"/>
      <c r="N16" s="37"/>
      <c r="O16" s="78">
        <f t="shared" si="8"/>
        <v>3.9</v>
      </c>
      <c r="P16" s="46">
        <v>2</v>
      </c>
      <c r="Q16" s="41">
        <f t="shared" si="9"/>
        <v>8.2799999999999994</v>
      </c>
      <c r="R16" s="117">
        <f t="shared" si="10"/>
        <v>8.2799999999999994</v>
      </c>
      <c r="S16" s="47" t="s">
        <v>43</v>
      </c>
      <c r="T16" s="48" t="s">
        <v>7</v>
      </c>
      <c r="U16" s="44" t="str">
        <f>'1. 소켓인수검사'!G18</f>
        <v>9동 1~6번</v>
      </c>
    </row>
    <row r="17" spans="1:21">
      <c r="A17" s="57" t="str">
        <f>'1. 소켓인수검사'!A19</f>
        <v>11</v>
      </c>
      <c r="B17" s="79" t="s">
        <v>40</v>
      </c>
      <c r="C17" s="38">
        <f>'1. 소켓인수검사'!C19</f>
        <v>750</v>
      </c>
      <c r="D17" s="38">
        <f>'1. 소켓인수검사'!D19</f>
        <v>950</v>
      </c>
      <c r="E17" s="39"/>
      <c r="F17" s="40">
        <f t="shared" si="5"/>
        <v>0.71250000000000002</v>
      </c>
      <c r="G17" s="40">
        <f t="shared" si="6"/>
        <v>3.4</v>
      </c>
      <c r="H17" s="45">
        <v>2</v>
      </c>
      <c r="I17" s="78">
        <f t="shared" si="7"/>
        <v>3.8</v>
      </c>
      <c r="J17" s="46">
        <v>2</v>
      </c>
      <c r="K17" s="32"/>
      <c r="L17" s="37"/>
      <c r="M17" s="32"/>
      <c r="N17" s="37"/>
      <c r="O17" s="78">
        <f t="shared" si="8"/>
        <v>3.9</v>
      </c>
      <c r="P17" s="46">
        <v>2</v>
      </c>
      <c r="Q17" s="41">
        <f t="shared" si="9"/>
        <v>8.2799999999999994</v>
      </c>
      <c r="R17" s="117">
        <f t="shared" si="10"/>
        <v>8.2799999999999994</v>
      </c>
      <c r="S17" s="47" t="s">
        <v>43</v>
      </c>
      <c r="T17" s="48" t="s">
        <v>7</v>
      </c>
      <c r="U17" s="44" t="str">
        <f>'1. 소켓인수검사'!G19</f>
        <v>9동 1~6번</v>
      </c>
    </row>
    <row r="18" spans="1:21">
      <c r="A18" s="57" t="str">
        <f>'1. 소켓인수검사'!A20</f>
        <v>12</v>
      </c>
      <c r="B18" s="79" t="s">
        <v>40</v>
      </c>
      <c r="C18" s="38">
        <f>'1. 소켓인수검사'!C20</f>
        <v>800</v>
      </c>
      <c r="D18" s="38">
        <f>'1. 소켓인수검사'!D20</f>
        <v>900</v>
      </c>
      <c r="E18" s="39"/>
      <c r="F18" s="40">
        <f t="shared" si="5"/>
        <v>0.72</v>
      </c>
      <c r="G18" s="40">
        <f t="shared" si="6"/>
        <v>3.4</v>
      </c>
      <c r="H18" s="45">
        <v>2</v>
      </c>
      <c r="I18" s="78">
        <f t="shared" si="7"/>
        <v>3.8</v>
      </c>
      <c r="J18" s="46">
        <v>2</v>
      </c>
      <c r="K18" s="32"/>
      <c r="L18" s="37"/>
      <c r="M18" s="32"/>
      <c r="N18" s="37"/>
      <c r="O18" s="78">
        <f t="shared" si="8"/>
        <v>3.9</v>
      </c>
      <c r="P18" s="46">
        <v>2</v>
      </c>
      <c r="Q18" s="41">
        <f t="shared" si="9"/>
        <v>8.2799999999999994</v>
      </c>
      <c r="R18" s="117">
        <f t="shared" si="10"/>
        <v>8.2799999999999994</v>
      </c>
      <c r="S18" s="47" t="s">
        <v>43</v>
      </c>
      <c r="T18" s="48" t="s">
        <v>7</v>
      </c>
      <c r="U18" s="44" t="str">
        <f>'1. 소켓인수검사'!G20</f>
        <v>2동 1,2,3번</v>
      </c>
    </row>
    <row r="19" spans="1:21">
      <c r="A19" s="57" t="str">
        <f>'1. 소켓인수검사'!A21</f>
        <v>13</v>
      </c>
      <c r="B19" s="79" t="s">
        <v>40</v>
      </c>
      <c r="C19" s="38">
        <f>'1. 소켓인수검사'!C21</f>
        <v>800</v>
      </c>
      <c r="D19" s="38">
        <f>'1. 소켓인수검사'!D21</f>
        <v>900</v>
      </c>
      <c r="E19" s="39"/>
      <c r="F19" s="40">
        <f t="shared" si="5"/>
        <v>0.72</v>
      </c>
      <c r="G19" s="40">
        <f t="shared" si="6"/>
        <v>3.4</v>
      </c>
      <c r="H19" s="45">
        <v>2</v>
      </c>
      <c r="I19" s="78">
        <f t="shared" si="7"/>
        <v>3.8</v>
      </c>
      <c r="J19" s="46">
        <v>2</v>
      </c>
      <c r="K19" s="32"/>
      <c r="L19" s="37"/>
      <c r="M19" s="32"/>
      <c r="N19" s="37"/>
      <c r="O19" s="78">
        <f t="shared" si="8"/>
        <v>3.9</v>
      </c>
      <c r="P19" s="46">
        <v>2</v>
      </c>
      <c r="Q19" s="41">
        <f t="shared" si="9"/>
        <v>8.2799999999999994</v>
      </c>
      <c r="R19" s="117">
        <f t="shared" si="10"/>
        <v>8.2799999999999994</v>
      </c>
      <c r="S19" s="47" t="s">
        <v>43</v>
      </c>
      <c r="T19" s="48" t="s">
        <v>7</v>
      </c>
      <c r="U19" s="44" t="str">
        <f>'1. 소켓인수검사'!G21</f>
        <v>2동 1,2,3번</v>
      </c>
    </row>
    <row r="20" spans="1:21">
      <c r="A20" s="57" t="str">
        <f>'1. 소켓인수검사'!A22</f>
        <v>14</v>
      </c>
      <c r="B20" s="79" t="s">
        <v>40</v>
      </c>
      <c r="C20" s="38">
        <f>'1. 소켓인수검사'!C22</f>
        <v>800</v>
      </c>
      <c r="D20" s="38">
        <f>'1. 소켓인수검사'!D22</f>
        <v>900</v>
      </c>
      <c r="E20" s="39"/>
      <c r="F20" s="40">
        <f t="shared" si="5"/>
        <v>0.72</v>
      </c>
      <c r="G20" s="40">
        <f t="shared" si="6"/>
        <v>3.4</v>
      </c>
      <c r="H20" s="45">
        <v>2</v>
      </c>
      <c r="I20" s="78">
        <f t="shared" si="7"/>
        <v>3.8</v>
      </c>
      <c r="J20" s="46">
        <v>2</v>
      </c>
      <c r="K20" s="32"/>
      <c r="L20" s="37"/>
      <c r="M20" s="32"/>
      <c r="N20" s="37"/>
      <c r="O20" s="78">
        <f t="shared" si="8"/>
        <v>3.9</v>
      </c>
      <c r="P20" s="46">
        <v>2</v>
      </c>
      <c r="Q20" s="41">
        <f t="shared" si="9"/>
        <v>8.2799999999999994</v>
      </c>
      <c r="R20" s="117">
        <f t="shared" si="10"/>
        <v>8.2799999999999994</v>
      </c>
      <c r="S20" s="47" t="s">
        <v>43</v>
      </c>
      <c r="T20" s="48" t="s">
        <v>7</v>
      </c>
      <c r="U20" s="44" t="str">
        <f>'1. 소켓인수검사'!G22</f>
        <v>2동 1,2,3번</v>
      </c>
    </row>
    <row r="21" spans="1:21">
      <c r="A21" s="57" t="str">
        <f>'1. 소켓인수검사'!A23</f>
        <v>15</v>
      </c>
      <c r="B21" s="79" t="s">
        <v>40</v>
      </c>
      <c r="C21" s="38">
        <f>'1. 소켓인수검사'!C23</f>
        <v>800</v>
      </c>
      <c r="D21" s="38">
        <f>'1. 소켓인수검사'!D23</f>
        <v>1050</v>
      </c>
      <c r="E21" s="39"/>
      <c r="F21" s="40">
        <f t="shared" si="5"/>
        <v>0.84</v>
      </c>
      <c r="G21" s="40">
        <f t="shared" si="6"/>
        <v>3.7</v>
      </c>
      <c r="H21" s="45">
        <v>2</v>
      </c>
      <c r="I21" s="78">
        <f t="shared" si="7"/>
        <v>4.1000000000000005</v>
      </c>
      <c r="J21" s="46">
        <v>2</v>
      </c>
      <c r="K21" s="32"/>
      <c r="L21" s="37"/>
      <c r="M21" s="32"/>
      <c r="N21" s="37"/>
      <c r="O21" s="78">
        <f t="shared" si="8"/>
        <v>4.2</v>
      </c>
      <c r="P21" s="46">
        <v>2</v>
      </c>
      <c r="Q21" s="41">
        <f t="shared" si="9"/>
        <v>8.8800000000000008</v>
      </c>
      <c r="R21" s="117">
        <f t="shared" si="10"/>
        <v>8.8800000000000008</v>
      </c>
      <c r="S21" s="47" t="s">
        <v>43</v>
      </c>
      <c r="T21" s="48" t="s">
        <v>7</v>
      </c>
      <c r="U21" s="44" t="str">
        <f>'1. 소켓인수검사'!G23</f>
        <v>1동 4,5,6번</v>
      </c>
    </row>
    <row r="22" spans="1:21">
      <c r="A22" s="57" t="str">
        <f>'1. 소켓인수검사'!A24</f>
        <v>16</v>
      </c>
      <c r="B22" s="79" t="s">
        <v>40</v>
      </c>
      <c r="C22" s="38">
        <f>'1. 소켓인수검사'!C24</f>
        <v>800</v>
      </c>
      <c r="D22" s="38">
        <f>'1. 소켓인수검사'!D24</f>
        <v>1050</v>
      </c>
      <c r="E22" s="39"/>
      <c r="F22" s="40">
        <f t="shared" si="5"/>
        <v>0.84</v>
      </c>
      <c r="G22" s="40">
        <f t="shared" si="6"/>
        <v>3.7</v>
      </c>
      <c r="H22" s="45">
        <v>2</v>
      </c>
      <c r="I22" s="78">
        <f t="shared" si="7"/>
        <v>4.1000000000000005</v>
      </c>
      <c r="J22" s="46">
        <v>2</v>
      </c>
      <c r="K22" s="32"/>
      <c r="L22" s="37"/>
      <c r="M22" s="32"/>
      <c r="N22" s="37"/>
      <c r="O22" s="78">
        <f t="shared" si="8"/>
        <v>4.2</v>
      </c>
      <c r="P22" s="46">
        <v>2</v>
      </c>
      <c r="Q22" s="41">
        <f t="shared" si="9"/>
        <v>8.8800000000000008</v>
      </c>
      <c r="R22" s="117">
        <f t="shared" si="10"/>
        <v>8.8800000000000008</v>
      </c>
      <c r="S22" s="47" t="s">
        <v>43</v>
      </c>
      <c r="T22" s="48" t="s">
        <v>7</v>
      </c>
      <c r="U22" s="44" t="str">
        <f>'1. 소켓인수검사'!G24</f>
        <v>1동 4,5,6번</v>
      </c>
    </row>
    <row r="23" spans="1:21">
      <c r="A23" s="57" t="str">
        <f>'1. 소켓인수검사'!A25</f>
        <v>17</v>
      </c>
      <c r="B23" s="79" t="s">
        <v>40</v>
      </c>
      <c r="C23" s="38">
        <f>'1. 소켓인수검사'!C25</f>
        <v>800</v>
      </c>
      <c r="D23" s="38">
        <f>'1. 소켓인수검사'!D25</f>
        <v>1050</v>
      </c>
      <c r="E23" s="39"/>
      <c r="F23" s="40">
        <f t="shared" si="5"/>
        <v>0.84</v>
      </c>
      <c r="G23" s="40">
        <f t="shared" si="6"/>
        <v>3.7</v>
      </c>
      <c r="H23" s="45">
        <v>2</v>
      </c>
      <c r="I23" s="78">
        <f t="shared" si="7"/>
        <v>4.1000000000000005</v>
      </c>
      <c r="J23" s="46">
        <v>2</v>
      </c>
      <c r="K23" s="32"/>
      <c r="L23" s="37"/>
      <c r="M23" s="32"/>
      <c r="N23" s="37"/>
      <c r="O23" s="78">
        <f t="shared" si="8"/>
        <v>4.2</v>
      </c>
      <c r="P23" s="46">
        <v>2</v>
      </c>
      <c r="Q23" s="41">
        <f t="shared" si="9"/>
        <v>8.8800000000000008</v>
      </c>
      <c r="R23" s="117">
        <f t="shared" si="10"/>
        <v>8.8800000000000008</v>
      </c>
      <c r="S23" s="47" t="s">
        <v>43</v>
      </c>
      <c r="T23" s="48" t="s">
        <v>7</v>
      </c>
      <c r="U23" s="44" t="str">
        <f>'1. 소켓인수검사'!G25</f>
        <v>1동 4,5,6번</v>
      </c>
    </row>
    <row r="24" spans="1:21">
      <c r="A24" s="57" t="str">
        <f>'1. 소켓인수검사'!A26</f>
        <v>18</v>
      </c>
      <c r="B24" s="79" t="s">
        <v>40</v>
      </c>
      <c r="C24" s="38">
        <f>'1. 소켓인수검사'!C26</f>
        <v>900</v>
      </c>
      <c r="D24" s="38">
        <f>'1. 소켓인수검사'!D26</f>
        <v>950</v>
      </c>
      <c r="E24" s="39"/>
      <c r="F24" s="40">
        <f t="shared" si="5"/>
        <v>0.85499999999999998</v>
      </c>
      <c r="G24" s="40">
        <f t="shared" si="6"/>
        <v>3.7</v>
      </c>
      <c r="H24" s="45">
        <v>2</v>
      </c>
      <c r="I24" s="78">
        <f t="shared" si="7"/>
        <v>4.1000000000000005</v>
      </c>
      <c r="J24" s="46">
        <v>2</v>
      </c>
      <c r="K24" s="32"/>
      <c r="L24" s="37"/>
      <c r="M24" s="32"/>
      <c r="N24" s="37"/>
      <c r="O24" s="78">
        <f t="shared" si="8"/>
        <v>4.2</v>
      </c>
      <c r="P24" s="46">
        <v>2</v>
      </c>
      <c r="Q24" s="41">
        <f t="shared" si="9"/>
        <v>8.8800000000000008</v>
      </c>
      <c r="R24" s="117">
        <f t="shared" si="10"/>
        <v>8.8800000000000008</v>
      </c>
      <c r="S24" s="47" t="s">
        <v>43</v>
      </c>
      <c r="T24" s="48" t="s">
        <v>7</v>
      </c>
      <c r="U24" s="44" t="str">
        <f>'1. 소켓인수검사'!G26</f>
        <v>2동 6,7,8번</v>
      </c>
    </row>
    <row r="25" spans="1:21">
      <c r="A25" s="57" t="str">
        <f>'1. 소켓인수검사'!A27</f>
        <v>19</v>
      </c>
      <c r="B25" s="79" t="s">
        <v>40</v>
      </c>
      <c r="C25" s="38">
        <f>'1. 소켓인수검사'!C27</f>
        <v>900</v>
      </c>
      <c r="D25" s="38">
        <f>'1. 소켓인수검사'!D27</f>
        <v>950</v>
      </c>
      <c r="E25" s="39"/>
      <c r="F25" s="40">
        <f t="shared" si="5"/>
        <v>0.85499999999999998</v>
      </c>
      <c r="G25" s="40">
        <f t="shared" si="6"/>
        <v>3.7</v>
      </c>
      <c r="H25" s="45">
        <v>2</v>
      </c>
      <c r="I25" s="78">
        <f t="shared" si="7"/>
        <v>4.1000000000000005</v>
      </c>
      <c r="J25" s="46">
        <v>2</v>
      </c>
      <c r="K25" s="32"/>
      <c r="L25" s="37"/>
      <c r="M25" s="32"/>
      <c r="N25" s="37"/>
      <c r="O25" s="78">
        <f t="shared" si="8"/>
        <v>4.2</v>
      </c>
      <c r="P25" s="46">
        <v>2</v>
      </c>
      <c r="Q25" s="41">
        <f t="shared" si="9"/>
        <v>8.8800000000000008</v>
      </c>
      <c r="R25" s="117">
        <f t="shared" si="10"/>
        <v>8.8800000000000008</v>
      </c>
      <c r="S25" s="47" t="s">
        <v>43</v>
      </c>
      <c r="T25" s="48" t="s">
        <v>7</v>
      </c>
      <c r="U25" s="44" t="str">
        <f>'1. 소켓인수검사'!G27</f>
        <v>2동 6,7,8번</v>
      </c>
    </row>
    <row r="26" spans="1:21">
      <c r="A26" s="57" t="str">
        <f>'1. 소켓인수검사'!A28</f>
        <v>20</v>
      </c>
      <c r="B26" s="79" t="s">
        <v>40</v>
      </c>
      <c r="C26" s="38">
        <f>'1. 소켓인수검사'!C28</f>
        <v>900</v>
      </c>
      <c r="D26" s="38">
        <f>'1. 소켓인수검사'!D28</f>
        <v>950</v>
      </c>
      <c r="E26" s="39"/>
      <c r="F26" s="40">
        <f t="shared" si="5"/>
        <v>0.85499999999999998</v>
      </c>
      <c r="G26" s="40">
        <f t="shared" si="6"/>
        <v>3.7</v>
      </c>
      <c r="H26" s="45">
        <v>2</v>
      </c>
      <c r="I26" s="78">
        <f t="shared" si="7"/>
        <v>4.1000000000000005</v>
      </c>
      <c r="J26" s="46">
        <v>2</v>
      </c>
      <c r="K26" s="32"/>
      <c r="L26" s="37"/>
      <c r="M26" s="32"/>
      <c r="N26" s="37"/>
      <c r="O26" s="78">
        <f t="shared" si="8"/>
        <v>4.2</v>
      </c>
      <c r="P26" s="46">
        <v>2</v>
      </c>
      <c r="Q26" s="41">
        <f t="shared" si="9"/>
        <v>8.8800000000000008</v>
      </c>
      <c r="R26" s="117">
        <f t="shared" si="10"/>
        <v>8.8800000000000008</v>
      </c>
      <c r="S26" s="47" t="s">
        <v>43</v>
      </c>
      <c r="T26" s="48" t="s">
        <v>7</v>
      </c>
      <c r="U26" s="44" t="str">
        <f>'1. 소켓인수검사'!G28</f>
        <v>2동 6,7,8번</v>
      </c>
    </row>
    <row r="27" spans="1:21">
      <c r="A27" s="57" t="str">
        <f>'1. 소켓인수검사'!A29</f>
        <v>21</v>
      </c>
      <c r="B27" s="79" t="s">
        <v>40</v>
      </c>
      <c r="C27" s="38">
        <f>'1. 소켓인수검사'!C29</f>
        <v>1000</v>
      </c>
      <c r="D27" s="38">
        <f>'1. 소켓인수검사'!D29</f>
        <v>1000</v>
      </c>
      <c r="E27" s="39"/>
      <c r="F27" s="40">
        <f t="shared" si="5"/>
        <v>1</v>
      </c>
      <c r="G27" s="40">
        <f t="shared" si="6"/>
        <v>4</v>
      </c>
      <c r="H27" s="45">
        <v>2</v>
      </c>
      <c r="I27" s="78">
        <f t="shared" si="7"/>
        <v>4.4000000000000004</v>
      </c>
      <c r="J27" s="46">
        <v>2</v>
      </c>
      <c r="K27" s="32"/>
      <c r="L27" s="37"/>
      <c r="M27" s="32"/>
      <c r="N27" s="37"/>
      <c r="O27" s="78">
        <f t="shared" si="8"/>
        <v>4.5</v>
      </c>
      <c r="P27" s="46">
        <v>2</v>
      </c>
      <c r="Q27" s="41">
        <f t="shared" si="9"/>
        <v>9.48</v>
      </c>
      <c r="R27" s="117">
        <f t="shared" si="10"/>
        <v>9.48</v>
      </c>
      <c r="S27" s="47" t="s">
        <v>43</v>
      </c>
      <c r="T27" s="48" t="s">
        <v>7</v>
      </c>
      <c r="U27" s="44" t="str">
        <f>'1. 소켓인수검사'!G29</f>
        <v>2동 4,5번</v>
      </c>
    </row>
    <row r="28" spans="1:21">
      <c r="A28" s="57" t="str">
        <f>'1. 소켓인수검사'!A30</f>
        <v>22</v>
      </c>
      <c r="B28" s="79" t="s">
        <v>40</v>
      </c>
      <c r="C28" s="38">
        <f>'1. 소켓인수검사'!C30</f>
        <v>1000</v>
      </c>
      <c r="D28" s="38">
        <f>'1. 소켓인수검사'!D30</f>
        <v>1000</v>
      </c>
      <c r="E28" s="39"/>
      <c r="F28" s="40">
        <f t="shared" si="5"/>
        <v>1</v>
      </c>
      <c r="G28" s="40">
        <f t="shared" si="6"/>
        <v>4</v>
      </c>
      <c r="H28" s="45">
        <v>2</v>
      </c>
      <c r="I28" s="78">
        <f t="shared" si="7"/>
        <v>4.4000000000000004</v>
      </c>
      <c r="J28" s="46">
        <v>2</v>
      </c>
      <c r="K28" s="32"/>
      <c r="L28" s="37"/>
      <c r="M28" s="32"/>
      <c r="N28" s="37"/>
      <c r="O28" s="78">
        <f t="shared" si="8"/>
        <v>4.5</v>
      </c>
      <c r="P28" s="46">
        <v>2</v>
      </c>
      <c r="Q28" s="41">
        <f t="shared" si="9"/>
        <v>9.48</v>
      </c>
      <c r="R28" s="117">
        <f t="shared" si="10"/>
        <v>9.48</v>
      </c>
      <c r="S28" s="47" t="s">
        <v>43</v>
      </c>
      <c r="T28" s="48" t="s">
        <v>7</v>
      </c>
      <c r="U28" s="44" t="str">
        <f>'1. 소켓인수검사'!G30</f>
        <v>2동 4,5번</v>
      </c>
    </row>
    <row r="29" spans="1:21">
      <c r="A29" s="57" t="str">
        <f>'1. 소켓인수검사'!A31</f>
        <v>23</v>
      </c>
      <c r="B29" s="79" t="s">
        <v>40</v>
      </c>
      <c r="C29" s="38">
        <f>'1. 소켓인수검사'!C31</f>
        <v>1200</v>
      </c>
      <c r="D29" s="38">
        <f>'1. 소켓인수검사'!D31</f>
        <v>800</v>
      </c>
      <c r="E29" s="39"/>
      <c r="F29" s="40">
        <f t="shared" si="5"/>
        <v>0.96</v>
      </c>
      <c r="G29" s="40">
        <f t="shared" si="6"/>
        <v>4</v>
      </c>
      <c r="H29" s="45">
        <v>2</v>
      </c>
      <c r="I29" s="78">
        <f t="shared" si="7"/>
        <v>4.4000000000000004</v>
      </c>
      <c r="J29" s="46">
        <v>2</v>
      </c>
      <c r="K29" s="32"/>
      <c r="L29" s="37"/>
      <c r="M29" s="32"/>
      <c r="N29" s="37"/>
      <c r="O29" s="78">
        <f t="shared" si="8"/>
        <v>4.5</v>
      </c>
      <c r="P29" s="46">
        <v>2</v>
      </c>
      <c r="Q29" s="41">
        <f t="shared" si="9"/>
        <v>9.48</v>
      </c>
      <c r="R29" s="117">
        <f t="shared" si="10"/>
        <v>9.48</v>
      </c>
      <c r="S29" s="47" t="s">
        <v>43</v>
      </c>
      <c r="T29" s="48" t="s">
        <v>7</v>
      </c>
      <c r="U29" s="44" t="str">
        <f>'1. 소켓인수검사'!G31</f>
        <v>9동 7,8번</v>
      </c>
    </row>
    <row r="30" spans="1:21">
      <c r="A30" s="57" t="str">
        <f>'1. 소켓인수검사'!A32</f>
        <v>24</v>
      </c>
      <c r="B30" s="79" t="s">
        <v>40</v>
      </c>
      <c r="C30" s="38">
        <f>'1. 소켓인수검사'!C32</f>
        <v>1200</v>
      </c>
      <c r="D30" s="38">
        <f>'1. 소켓인수검사'!D32</f>
        <v>800</v>
      </c>
      <c r="E30" s="39"/>
      <c r="F30" s="40">
        <f t="shared" si="5"/>
        <v>0.96</v>
      </c>
      <c r="G30" s="40">
        <f t="shared" si="6"/>
        <v>4</v>
      </c>
      <c r="H30" s="45">
        <v>2</v>
      </c>
      <c r="I30" s="78">
        <f t="shared" si="7"/>
        <v>4.4000000000000004</v>
      </c>
      <c r="J30" s="46">
        <v>2</v>
      </c>
      <c r="K30" s="32"/>
      <c r="L30" s="37"/>
      <c r="M30" s="32"/>
      <c r="N30" s="37"/>
      <c r="O30" s="78">
        <f t="shared" si="8"/>
        <v>4.5</v>
      </c>
      <c r="P30" s="46">
        <v>2</v>
      </c>
      <c r="Q30" s="41">
        <f t="shared" si="9"/>
        <v>9.48</v>
      </c>
      <c r="R30" s="117">
        <f t="shared" si="10"/>
        <v>9.48</v>
      </c>
      <c r="S30" s="47" t="s">
        <v>43</v>
      </c>
      <c r="T30" s="48" t="s">
        <v>7</v>
      </c>
      <c r="U30" s="44" t="str">
        <f>'1. 소켓인수검사'!G32</f>
        <v>9동 7,8번</v>
      </c>
    </row>
    <row r="31" spans="1:21">
      <c r="A31" s="57" t="str">
        <f>'1. 소켓인수검사'!A33</f>
        <v>25</v>
      </c>
      <c r="B31" s="79" t="s">
        <v>40</v>
      </c>
      <c r="C31" s="38">
        <f>'1. 소켓인수검사'!C33</f>
        <v>1300</v>
      </c>
      <c r="D31" s="38">
        <f>'1. 소켓인수검사'!D33</f>
        <v>800</v>
      </c>
      <c r="E31" s="39"/>
      <c r="F31" s="40">
        <f t="shared" si="5"/>
        <v>1.04</v>
      </c>
      <c r="G31" s="40">
        <f t="shared" si="6"/>
        <v>4.2</v>
      </c>
      <c r="H31" s="45">
        <v>2</v>
      </c>
      <c r="I31" s="78">
        <f t="shared" si="7"/>
        <v>4.6000000000000005</v>
      </c>
      <c r="J31" s="46">
        <v>2</v>
      </c>
      <c r="K31" s="32"/>
      <c r="L31" s="37"/>
      <c r="M31" s="32"/>
      <c r="N31" s="37"/>
      <c r="O31" s="78">
        <f t="shared" si="8"/>
        <v>4.7</v>
      </c>
      <c r="P31" s="46">
        <v>2</v>
      </c>
      <c r="Q31" s="41">
        <f t="shared" si="9"/>
        <v>9.8800000000000008</v>
      </c>
      <c r="R31" s="117">
        <f t="shared" si="10"/>
        <v>9.8800000000000008</v>
      </c>
      <c r="S31" s="47" t="s">
        <v>43</v>
      </c>
      <c r="T31" s="48" t="s">
        <v>7</v>
      </c>
      <c r="U31" s="44" t="str">
        <f>'1. 소켓인수검사'!G33</f>
        <v>1동 3번</v>
      </c>
    </row>
    <row r="32" spans="1:21">
      <c r="A32" s="309" t="s">
        <v>5</v>
      </c>
      <c r="B32" s="310"/>
      <c r="C32" s="310"/>
      <c r="D32" s="77"/>
      <c r="E32" s="52"/>
      <c r="F32" s="52"/>
      <c r="G32" s="52"/>
      <c r="H32" s="51">
        <f>SUM(H7:H31)</f>
        <v>49</v>
      </c>
      <c r="I32" s="83"/>
      <c r="J32" s="51">
        <f>SUM(J7:J31)</f>
        <v>48</v>
      </c>
      <c r="K32" s="83"/>
      <c r="L32" s="51">
        <f>SUM(L7:L31)</f>
        <v>4</v>
      </c>
      <c r="M32" s="83"/>
      <c r="N32" s="51">
        <f>SUM(N7:N31)</f>
        <v>0</v>
      </c>
      <c r="O32" s="83"/>
      <c r="P32" s="51">
        <f>SUM(P7:P31)</f>
        <v>48</v>
      </c>
      <c r="Q32" s="83">
        <f>SUM(Q7:Q31)</f>
        <v>215.59999999999994</v>
      </c>
      <c r="R32" s="51">
        <f>SUM(R7:R31)</f>
        <v>215.59999999999994</v>
      </c>
      <c r="S32" s="80"/>
      <c r="T32" s="80"/>
      <c r="U32" s="81"/>
    </row>
    <row r="33" spans="1:21" ht="8.1" customHeight="1">
      <c r="A33" s="167"/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4"/>
    </row>
    <row r="34" spans="1:21">
      <c r="A34" s="1" t="s">
        <v>47</v>
      </c>
      <c r="B34" s="1"/>
      <c r="C34" s="1"/>
      <c r="D34" s="163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5"/>
    </row>
    <row r="35" spans="1:21">
      <c r="A35" s="1"/>
      <c r="B35" s="1"/>
      <c r="C35" s="1"/>
      <c r="D35" s="166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8"/>
    </row>
    <row r="36" spans="1:21">
      <c r="A36" s="1"/>
      <c r="B36" s="1"/>
      <c r="C36" s="1"/>
      <c r="D36" s="166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8"/>
    </row>
    <row r="37" spans="1:21">
      <c r="A37" s="1"/>
      <c r="B37" s="1"/>
      <c r="C37" s="1"/>
      <c r="D37" s="166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8"/>
    </row>
    <row r="38" spans="1:21">
      <c r="A38" s="1"/>
      <c r="B38" s="1"/>
      <c r="C38" s="1"/>
      <c r="D38" s="166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8"/>
    </row>
    <row r="39" spans="1:21">
      <c r="A39" s="1"/>
      <c r="B39" s="1"/>
      <c r="C39" s="1"/>
      <c r="D39" s="169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1"/>
    </row>
  </sheetData>
  <mergeCells count="24">
    <mergeCell ref="U5:U6"/>
    <mergeCell ref="A32:C32"/>
    <mergeCell ref="F1:J3"/>
    <mergeCell ref="K1:U3"/>
    <mergeCell ref="D34:U39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  <mergeCell ref="A33:P33"/>
    <mergeCell ref="A34:C39"/>
    <mergeCell ref="Q5:R5"/>
    <mergeCell ref="S5:S6"/>
    <mergeCell ref="T5:T6"/>
    <mergeCell ref="K5:L5"/>
    <mergeCell ref="O5:P5"/>
    <mergeCell ref="M5:N5"/>
  </mergeCells>
  <phoneticPr fontId="28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84"/>
  </cols>
  <sheetData/>
  <phoneticPr fontId="28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10</vt:i4>
      </vt:variant>
    </vt:vector>
  </HeadingPairs>
  <TitlesOfParts>
    <vt:vector size="20" baseType="lpstr">
      <vt:lpstr>1. 소켓인수검사</vt:lpstr>
      <vt:lpstr>2.재단(VM)작업</vt:lpstr>
      <vt:lpstr>2.1 재단작업(VT)</vt:lpstr>
      <vt:lpstr>차열재 재단(VM,VT)</vt:lpstr>
      <vt:lpstr>3. 1절곡(VM)</vt:lpstr>
      <vt:lpstr>3.2 절곡(VT)</vt:lpstr>
      <vt:lpstr>3.3 절곡(VT-보강대)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'2.1 재단작업(VT)'!Print_Titles</vt:lpstr>
      <vt:lpstr>'2.재단(VM)작업'!Print_Titles</vt:lpstr>
      <vt:lpstr>'3. 1절곡(VM)'!Print_Titles</vt:lpstr>
      <vt:lpstr>'3.2 절곡(VT)'!Print_Titles</vt:lpstr>
      <vt:lpstr>'3.3 절곡(VT-보강대)'!Print_Titles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t35840</cp:lastModifiedBy>
  <cp:revision>53</cp:revision>
  <cp:lastPrinted>2026-06-09T00:37:10Z</cp:lastPrinted>
  <dcterms:created xsi:type="dcterms:W3CDTF">2025-03-13T00:09:10Z</dcterms:created>
  <dcterms:modified xsi:type="dcterms:W3CDTF">2026-06-09T00:37:39Z</dcterms:modified>
  <cp:version>1200.0100.01</cp:version>
</cp:coreProperties>
</file>