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001EFDA7-28B9-465D-9008-A6248EFC9D8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 소켓인수검사" sheetId="1" r:id="rId1"/>
    <sheet name="2.재단(VM)작업" sheetId="12" r:id="rId2"/>
    <sheet name="2.1 재단작업(VT)" sheetId="3" r:id="rId3"/>
    <sheet name="차열재 재단(VM,VT)" sheetId="2" r:id="rId4"/>
    <sheet name="3. 1절곡(VM)" sheetId="5" r:id="rId5"/>
    <sheet name="3.2 절곡(VT)" sheetId="6" r:id="rId6"/>
    <sheet name="3.3 절곡(VT-보강대)" sheetId="7" r:id="rId7"/>
    <sheet name="5. 차열재 출하용(VM,VT,VAG)" sheetId="9" r:id="rId8"/>
    <sheet name="6. 라벨소요량" sheetId="10" r:id="rId9"/>
    <sheet name="발주서정리" sheetId="11" r:id="rId10"/>
  </sheets>
  <definedNames>
    <definedName name="_xlnm.Print_Area" localSheetId="0">'1. 소켓인수검사'!$A$1:$P$15</definedName>
    <definedName name="_xlnm.Print_Titles" localSheetId="0">'1. 소켓인수검사'!$6:$8</definedName>
    <definedName name="_xlnm.Print_Titles" localSheetId="2">'2.1 재단작업(VT)'!$5:$7</definedName>
    <definedName name="_xlnm.Print_Titles" localSheetId="1">'2.재단(VM)작업'!$5:$7</definedName>
    <definedName name="_xlnm.Print_Titles" localSheetId="4">'3. 1절곡(VM)'!$1:$6</definedName>
    <definedName name="_xlnm.Print_Titles" localSheetId="5">'3.2 절곡(VT)'!$1:$6</definedName>
    <definedName name="_xlnm.Print_Titles" localSheetId="6">'3.3 절곡(VT-보강대)'!$1:$6</definedName>
    <definedName name="_xlnm.Print_Titles" localSheetId="7">'5. 차열재 출하용(VM,VT,VAG)'!$8:$9</definedName>
    <definedName name="_xlnm.Print_Titles" localSheetId="8">'6. 라벨소요량'!$5:$6</definedName>
    <definedName name="_xlnm.Print_Titles" localSheetId="3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2" l="1"/>
  <c r="D10" i="12"/>
  <c r="M10" i="12" s="1"/>
  <c r="C10" i="12"/>
  <c r="D9" i="12"/>
  <c r="M9" i="12" s="1"/>
  <c r="C9" i="12"/>
  <c r="G9" i="12" s="1"/>
  <c r="D8" i="12"/>
  <c r="M8" i="12" s="1"/>
  <c r="C8" i="12"/>
  <c r="A10" i="12"/>
  <c r="A9" i="12"/>
  <c r="A8" i="12"/>
  <c r="J10" i="12"/>
  <c r="I10" i="12"/>
  <c r="H10" i="12"/>
  <c r="J9" i="12"/>
  <c r="H9" i="12"/>
  <c r="J8" i="12"/>
  <c r="H8" i="12"/>
  <c r="G1" i="2"/>
  <c r="D14" i="2"/>
  <c r="I14" i="2" s="1"/>
  <c r="C14" i="2"/>
  <c r="G14" i="2" s="1"/>
  <c r="D13" i="2"/>
  <c r="C13" i="2"/>
  <c r="G13" i="2" s="1"/>
  <c r="D12" i="2"/>
  <c r="I12" i="2" s="1"/>
  <c r="C12" i="2"/>
  <c r="G12" i="2" s="1"/>
  <c r="D11" i="2"/>
  <c r="I11" i="2" s="1"/>
  <c r="C11" i="2"/>
  <c r="G11" i="2" s="1"/>
  <c r="D10" i="2"/>
  <c r="C10" i="2"/>
  <c r="A14" i="2"/>
  <c r="I13" i="2"/>
  <c r="A13" i="2"/>
  <c r="A12" i="2"/>
  <c r="A11" i="2"/>
  <c r="C8" i="3"/>
  <c r="G8" i="3" s="1"/>
  <c r="K1" i="10"/>
  <c r="P5" i="9"/>
  <c r="O5" i="7"/>
  <c r="N5" i="6"/>
  <c r="N5" i="5"/>
  <c r="H1" i="3"/>
  <c r="D1" i="1"/>
  <c r="P14" i="10"/>
  <c r="H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O14" i="7"/>
  <c r="K14" i="7"/>
  <c r="I14" i="7"/>
  <c r="G14" i="7"/>
  <c r="C14" i="7"/>
  <c r="L14" i="7" s="1"/>
  <c r="B14" i="7"/>
  <c r="H14" i="7" s="1"/>
  <c r="A14" i="7"/>
  <c r="O13" i="7"/>
  <c r="K13" i="7"/>
  <c r="I13" i="7"/>
  <c r="G13" i="7"/>
  <c r="C13" i="7"/>
  <c r="L13" i="7" s="1"/>
  <c r="B13" i="7"/>
  <c r="H13" i="7" s="1"/>
  <c r="A13" i="7"/>
  <c r="O12" i="7"/>
  <c r="K12" i="7"/>
  <c r="I12" i="7"/>
  <c r="G12" i="7"/>
  <c r="C12" i="7"/>
  <c r="L12" i="7" s="1"/>
  <c r="B12" i="7"/>
  <c r="H12" i="7" s="1"/>
  <c r="A12" i="7"/>
  <c r="O11" i="7"/>
  <c r="K11" i="7"/>
  <c r="I11" i="7"/>
  <c r="G11" i="7"/>
  <c r="C11" i="7"/>
  <c r="L11" i="7" s="1"/>
  <c r="B11" i="7"/>
  <c r="H11" i="7" s="1"/>
  <c r="A11" i="7"/>
  <c r="N14" i="6"/>
  <c r="I14" i="6"/>
  <c r="C14" i="6"/>
  <c r="K14" i="6" s="1"/>
  <c r="B14" i="6"/>
  <c r="H14" i="6" s="1"/>
  <c r="A14" i="6"/>
  <c r="N13" i="6"/>
  <c r="I13" i="6"/>
  <c r="C13" i="6"/>
  <c r="K13" i="6" s="1"/>
  <c r="B13" i="6"/>
  <c r="H13" i="6" s="1"/>
  <c r="A13" i="6"/>
  <c r="N12" i="6"/>
  <c r="I12" i="6"/>
  <c r="C12" i="6"/>
  <c r="K12" i="6" s="1"/>
  <c r="B12" i="6"/>
  <c r="H12" i="6" s="1"/>
  <c r="A12" i="6"/>
  <c r="N11" i="6"/>
  <c r="I11" i="6"/>
  <c r="C11" i="6"/>
  <c r="K11" i="6" s="1"/>
  <c r="B11" i="6"/>
  <c r="H11" i="6" s="1"/>
  <c r="A11" i="6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N12" i="3"/>
  <c r="L12" i="3"/>
  <c r="J11" i="3"/>
  <c r="H11" i="3"/>
  <c r="D11" i="3"/>
  <c r="I11" i="3" s="1"/>
  <c r="C11" i="3"/>
  <c r="G11" i="3" s="1"/>
  <c r="A11" i="3"/>
  <c r="J10" i="3"/>
  <c r="H10" i="3"/>
  <c r="D10" i="3"/>
  <c r="C10" i="3"/>
  <c r="G10" i="3" s="1"/>
  <c r="A10" i="3"/>
  <c r="J9" i="3"/>
  <c r="H9" i="3"/>
  <c r="D9" i="3"/>
  <c r="M9" i="3" s="1"/>
  <c r="C9" i="3"/>
  <c r="A9" i="3"/>
  <c r="J8" i="3"/>
  <c r="H8" i="3"/>
  <c r="D8" i="3"/>
  <c r="A8" i="3"/>
  <c r="A10" i="2"/>
  <c r="D9" i="2"/>
  <c r="I9" i="2" s="1"/>
  <c r="C9" i="2"/>
  <c r="A9" i="2"/>
  <c r="D8" i="2"/>
  <c r="I8" i="2" s="1"/>
  <c r="C8" i="2"/>
  <c r="G8" i="2" s="1"/>
  <c r="A8" i="2"/>
  <c r="Q9" i="10" l="1"/>
  <c r="R9" i="10" s="1"/>
  <c r="G10" i="12"/>
  <c r="K10" i="12"/>
  <c r="K9" i="12"/>
  <c r="I9" i="12"/>
  <c r="K8" i="12"/>
  <c r="G8" i="12"/>
  <c r="I8" i="12"/>
  <c r="J12" i="3"/>
  <c r="H12" i="3"/>
  <c r="M11" i="3"/>
  <c r="I9" i="3"/>
  <c r="G9" i="2"/>
  <c r="K8" i="3"/>
  <c r="Q7" i="10"/>
  <c r="R7" i="10" s="1"/>
  <c r="I8" i="3"/>
  <c r="M8" i="3"/>
  <c r="M10" i="3"/>
  <c r="I10" i="2"/>
  <c r="G10" i="2"/>
  <c r="G9" i="3"/>
  <c r="G13" i="10"/>
  <c r="O13" i="10" s="1"/>
  <c r="E13" i="9"/>
  <c r="F13" i="9"/>
  <c r="P13" i="9" s="1"/>
  <c r="R13" i="9" s="1"/>
  <c r="G9" i="10"/>
  <c r="I9" i="10" s="1"/>
  <c r="Q11" i="10"/>
  <c r="R11" i="10" s="1"/>
  <c r="G11" i="10"/>
  <c r="I11" i="10" s="1"/>
  <c r="G7" i="10"/>
  <c r="I7" i="10" s="1"/>
  <c r="N14" i="10"/>
  <c r="Q13" i="10"/>
  <c r="R13" i="10" s="1"/>
  <c r="F15" i="9"/>
  <c r="E15" i="9"/>
  <c r="F10" i="9"/>
  <c r="G10" i="9" s="1"/>
  <c r="I10" i="9" s="1"/>
  <c r="E12" i="9"/>
  <c r="K11" i="3"/>
  <c r="I10" i="3"/>
  <c r="K10" i="3"/>
  <c r="E11" i="9"/>
  <c r="F11" i="9"/>
  <c r="G11" i="9" s="1"/>
  <c r="I11" i="9" s="1"/>
  <c r="K9" i="3"/>
  <c r="F12" i="9"/>
  <c r="G12" i="9" s="1"/>
  <c r="I12" i="9" s="1"/>
  <c r="E10" i="9"/>
  <c r="F14" i="9"/>
  <c r="E14" i="9"/>
  <c r="F16" i="9"/>
  <c r="E16" i="9"/>
  <c r="G8" i="10"/>
  <c r="I8" i="10" s="1"/>
  <c r="Q8" i="10"/>
  <c r="R8" i="10" s="1"/>
  <c r="F8" i="10"/>
  <c r="J14" i="10"/>
  <c r="L14" i="10"/>
  <c r="F7" i="10"/>
  <c r="F9" i="10"/>
  <c r="G12" i="10"/>
  <c r="Q12" i="10"/>
  <c r="R12" i="10" s="1"/>
  <c r="F12" i="10"/>
  <c r="G10" i="10"/>
  <c r="Q10" i="10"/>
  <c r="R10" i="10" s="1"/>
  <c r="F10" i="10"/>
  <c r="F11" i="10"/>
  <c r="F13" i="10"/>
  <c r="O11" i="10" l="1"/>
  <c r="I13" i="10"/>
  <c r="G13" i="9"/>
  <c r="I13" i="9" s="1"/>
  <c r="O17" i="9"/>
  <c r="G20" i="9" s="1"/>
  <c r="G15" i="9"/>
  <c r="I15" i="9" s="1"/>
  <c r="P15" i="9"/>
  <c r="R15" i="9" s="1"/>
  <c r="I10" i="10"/>
  <c r="O10" i="10"/>
  <c r="R14" i="10"/>
  <c r="P16" i="9"/>
  <c r="R16" i="9" s="1"/>
  <c r="G16" i="9"/>
  <c r="I16" i="9" s="1"/>
  <c r="Q14" i="10"/>
  <c r="I12" i="10"/>
  <c r="O12" i="10"/>
  <c r="P14" i="9"/>
  <c r="R14" i="9" s="1"/>
  <c r="G14" i="9"/>
  <c r="I14" i="9" s="1"/>
  <c r="I17" i="9" l="1"/>
  <c r="G18" i="9" s="1"/>
  <c r="R17" i="9"/>
  <c r="G21" i="9" s="1"/>
  <c r="L17" i="9"/>
  <c r="G19" i="9" s="1"/>
</calcChain>
</file>

<file path=xl/sharedStrings.xml><?xml version="1.0" encoding="utf-8"?>
<sst xmlns="http://schemas.openxmlformats.org/spreadsheetml/2006/main" count="288" uniqueCount="97">
  <si>
    <t>차열재</t>
  </si>
  <si>
    <t>No</t>
  </si>
  <si>
    <t>비고</t>
  </si>
  <si>
    <t>합계</t>
  </si>
  <si>
    <t>규격</t>
  </si>
  <si>
    <t>TTL</t>
  </si>
  <si>
    <t>EZ F.B POSMAC Duct-VT-01</t>
  </si>
  <si>
    <t>라벨소요량(행복산업_KEC 구미공장_251128)</t>
  </si>
  <si>
    <t>25*
1400</t>
  </si>
  <si>
    <t>FS-MP25-0310-3</t>
  </si>
  <si>
    <t>*VM 200(1000*1000)기준</t>
  </si>
  <si>
    <t>수량                확인</t>
  </si>
  <si>
    <t>EZ F.B POSMAC Duct-VT-049</t>
  </si>
  <si>
    <t>차열재 50T*400*3.6M</t>
  </si>
  <si>
    <t>글라스울 25T*1400*20M</t>
  </si>
  <si>
    <t>차열재 50T*600*3.6M</t>
  </si>
  <si>
    <t>절 곡 생 산 일 지(VT_보강대)</t>
  </si>
  <si>
    <t>VT-049</t>
  </si>
  <si>
    <t>특이사항 및
   조치사항</t>
  </si>
  <si>
    <t>설비번호</t>
  </si>
  <si>
    <t>설치위치</t>
  </si>
  <si>
    <t>세로(보강대)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</si>
  <si>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</si>
  <si>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</si>
  <si>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</si>
  <si>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</si>
  <si>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</si>
  <si>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</si>
  <si>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</si>
  <si>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</si>
  <si>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</si>
  <si>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</si>
  <si>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</si>
  <si>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</si>
  <si>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</si>
  <si>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</si>
  <si>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</si>
  <si>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</si>
  <si>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</si>
  <si>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</si>
  <si>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</si>
  <si>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</si>
  <si>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</si>
  <si>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</si>
  <si>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E256</t>
  </si>
  <si>
    <t>E255</t>
  </si>
  <si>
    <t>분할구조</t>
  </si>
  <si>
    <t>FS-MP25-0310-1</t>
  </si>
  <si>
    <t>차열재생산일지(출하용)</t>
  </si>
  <si>
    <t>특이사항 및
 조치사항</t>
  </si>
  <si>
    <t>특이사항 및   조치사항</t>
  </si>
  <si>
    <t>VT-01</t>
  </si>
  <si>
    <t>60mm</t>
  </si>
  <si>
    <t>1.6
이상</t>
  </si>
  <si>
    <t>가로(받침대)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</si>
  <si>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</si>
  <si>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</si>
  <si>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</si>
  <si>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</si>
  <si>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</si>
  <si>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</si>
  <si>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</si>
  <si>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</si>
  <si>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</si>
  <si>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</si>
  <si>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</si>
  <si>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</si>
  <si>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</si>
  <si>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</si>
  <si>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</si>
  <si>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</si>
  <si>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</si>
  <si>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7" type="noConversion"/>
  </si>
  <si>
    <t>재단작업지시서
(VT)</t>
    <phoneticPr fontId="27" type="noConversion"/>
  </si>
  <si>
    <t>재단작업지시서(VM)</t>
    <phoneticPr fontId="27" type="noConversion"/>
  </si>
  <si>
    <t>절 곡 생 산 일 지(VM)</t>
    <phoneticPr fontId="27" type="noConversion"/>
  </si>
  <si>
    <t>절 곡 생 산 일 지(VT_브라켓)</t>
    <phoneticPr fontId="27" type="noConversion"/>
  </si>
  <si>
    <t>라벨소요량</t>
    <phoneticPr fontId="27" type="noConversion"/>
  </si>
  <si>
    <t>25*
200</t>
    <phoneticPr fontId="27" type="noConversion"/>
  </si>
  <si>
    <t>구조체작업지시서</t>
    <phoneticPr fontId="27" type="noConversion"/>
  </si>
  <si>
    <t>차열재 25T*200*7.4M</t>
    <phoneticPr fontId="27" type="noConversion"/>
  </si>
  <si>
    <t>01</t>
    <phoneticPr fontId="27" type="noConversion"/>
  </si>
  <si>
    <t>02</t>
  </si>
  <si>
    <t>03</t>
  </si>
  <si>
    <t>04</t>
  </si>
  <si>
    <t>05</t>
  </si>
  <si>
    <t>06</t>
  </si>
  <si>
    <t>07</t>
  </si>
  <si>
    <t>재단작업지시서차열재</t>
    <phoneticPr fontId="27" type="noConversion"/>
  </si>
  <si>
    <r>
      <t xml:space="preserve">26.06.25 </t>
    </r>
    <r>
      <rPr>
        <sz val="10"/>
        <color rgb="FF000000"/>
        <rFont val="맑은 고딕"/>
        <family val="3"/>
        <charset val="129"/>
      </rPr>
      <t>하나로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충남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서산시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해미면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지에이치내츄럴</t>
    </r>
    <phoneticPr fontId="27" type="noConversion"/>
  </si>
  <si>
    <t>CS001</t>
    <phoneticPr fontId="27" type="noConversion"/>
  </si>
  <si>
    <t>CS002</t>
  </si>
  <si>
    <t>CS003</t>
  </si>
  <si>
    <t>CS004</t>
  </si>
  <si>
    <t>CS005</t>
  </si>
  <si>
    <t>CS006</t>
  </si>
  <si>
    <t>CS007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</si>
</sst>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5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7C7C7C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b/>
      <sz val="11"/>
      <color rgb="FFC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3" fillId="0" borderId="24" xfId="0" applyFont="1" applyBorder="1" applyAlignment="1">
      <alignment horizontal="left" vertical="center"/>
    </xf>
    <xf numFmtId="0" fontId="26" fillId="0" borderId="0">
      <alignment vertical="center"/>
    </xf>
    <xf numFmtId="176" fontId="26" fillId="0" borderId="0">
      <alignment vertical="center"/>
    </xf>
    <xf numFmtId="0" fontId="1" fillId="0" borderId="0">
      <alignment vertical="center"/>
    </xf>
  </cellStyleXfs>
  <cellXfs count="32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0" xfId="2">
      <alignment vertical="center"/>
    </xf>
    <xf numFmtId="0" fontId="26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6" fontId="26" fillId="0" borderId="5" xfId="3" applyBorder="1" applyAlignment="1">
      <alignment horizontal="center" vertical="center"/>
    </xf>
    <xf numFmtId="176" fontId="26" fillId="0" borderId="6" xfId="3" applyBorder="1" applyAlignment="1">
      <alignment horizontal="center" vertical="center"/>
    </xf>
    <xf numFmtId="176" fontId="26" fillId="0" borderId="7" xfId="3" applyBorder="1" applyAlignment="1">
      <alignment horizontal="center" vertical="center"/>
    </xf>
    <xf numFmtId="176" fontId="26" fillId="0" borderId="8" xfId="3" applyBorder="1" applyAlignment="1">
      <alignment horizontal="center" vertical="center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176" fontId="26" fillId="0" borderId="10" xfId="3" applyBorder="1" applyAlignment="1">
      <alignment horizontal="center" vertical="center"/>
    </xf>
    <xf numFmtId="176" fontId="26" fillId="0" borderId="12" xfId="3" applyBorder="1" applyAlignment="1">
      <alignment horizontal="center" vertical="center"/>
    </xf>
    <xf numFmtId="0" fontId="6" fillId="0" borderId="13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26" fillId="0" borderId="15" xfId="2" applyBorder="1" applyAlignment="1">
      <alignment horizontal="center" vertical="center"/>
    </xf>
    <xf numFmtId="0" fontId="6" fillId="0" borderId="16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6" fillId="0" borderId="16" xfId="2" applyBorder="1" applyAlignment="1">
      <alignment horizontal="center" vertical="center" wrapText="1"/>
    </xf>
    <xf numFmtId="0" fontId="7" fillId="0" borderId="16" xfId="4" applyFont="1" applyBorder="1" applyAlignment="1">
      <alignment horizontal="center" vertical="center" wrapText="1"/>
    </xf>
    <xf numFmtId="0" fontId="1" fillId="0" borderId="17" xfId="4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6" fillId="0" borderId="17" xfId="2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8" fillId="0" borderId="16" xfId="4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77" fontId="6" fillId="0" borderId="16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shrinkToFit="1"/>
    </xf>
    <xf numFmtId="0" fontId="11" fillId="0" borderId="16" xfId="0" applyFont="1" applyBorder="1" applyAlignment="1">
      <alignment horizontal="center" vertical="center" shrinkToFit="1"/>
    </xf>
    <xf numFmtId="0" fontId="12" fillId="0" borderId="17" xfId="0" applyFont="1" applyBorder="1" applyAlignment="1">
      <alignment horizontal="center" vertical="center" shrinkToFit="1"/>
    </xf>
    <xf numFmtId="0" fontId="9" fillId="5" borderId="16" xfId="0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shrinkToFit="1"/>
    </xf>
    <xf numFmtId="0" fontId="15" fillId="0" borderId="16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8" fillId="0" borderId="13" xfId="4" applyFont="1" applyBorder="1" applyAlignment="1">
      <alignment horizontal="center" vertical="center" wrapText="1"/>
    </xf>
    <xf numFmtId="0" fontId="26" fillId="0" borderId="13" xfId="2" applyBorder="1" applyAlignment="1">
      <alignment horizontal="center" vertical="center" wrapText="1"/>
    </xf>
    <xf numFmtId="0" fontId="2" fillId="2" borderId="14" xfId="4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6" fillId="4" borderId="16" xfId="4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6" fillId="6" borderId="16" xfId="4" applyFont="1" applyFill="1" applyBorder="1" applyAlignment="1">
      <alignment horizontal="center" vertical="center" wrapText="1"/>
    </xf>
    <xf numFmtId="0" fontId="19" fillId="0" borderId="16" xfId="2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/>
    </xf>
    <xf numFmtId="0" fontId="5" fillId="0" borderId="21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 wrapText="1"/>
    </xf>
    <xf numFmtId="0" fontId="26" fillId="0" borderId="14" xfId="2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 wrapText="1"/>
    </xf>
    <xf numFmtId="0" fontId="26" fillId="0" borderId="13" xfId="2" applyBorder="1" applyAlignment="1">
      <alignment vertical="center" wrapText="1"/>
    </xf>
    <xf numFmtId="0" fontId="26" fillId="0" borderId="16" xfId="2" applyBorder="1" applyAlignment="1">
      <alignment vertical="center" wrapText="1"/>
    </xf>
    <xf numFmtId="0" fontId="20" fillId="0" borderId="13" xfId="4" applyFont="1" applyBorder="1" applyAlignment="1">
      <alignment horizontal="center" vertical="center" wrapText="1"/>
    </xf>
    <xf numFmtId="0" fontId="20" fillId="0" borderId="16" xfId="4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0" fillId="5" borderId="18" xfId="0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0" borderId="0" xfId="1" applyFill="1" applyBorder="1" applyAlignment="1">
      <alignment vertical="center"/>
    </xf>
    <xf numFmtId="0" fontId="1" fillId="10" borderId="0" xfId="4" applyFill="1">
      <alignment vertical="center"/>
    </xf>
    <xf numFmtId="0" fontId="1" fillId="0" borderId="33" xfId="4" applyBorder="1" applyAlignment="1">
      <alignment vertical="top" wrapText="1"/>
    </xf>
    <xf numFmtId="0" fontId="2" fillId="0" borderId="16" xfId="4" applyFont="1" applyBorder="1" applyAlignment="1">
      <alignment horizontal="center" vertical="center" wrapText="1"/>
    </xf>
    <xf numFmtId="0" fontId="2" fillId="0" borderId="17" xfId="4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4" borderId="16" xfId="2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30" fillId="6" borderId="16" xfId="4" applyFont="1" applyFill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5" fillId="0" borderId="18" xfId="2" applyFont="1" applyBorder="1">
      <alignment vertical="center"/>
    </xf>
    <xf numFmtId="0" fontId="3" fillId="0" borderId="28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1" fillId="0" borderId="15" xfId="4" quotePrefix="1" applyBorder="1" applyAlignment="1">
      <alignment horizontal="center" vertical="center" wrapText="1"/>
    </xf>
    <xf numFmtId="178" fontId="19" fillId="0" borderId="16" xfId="2" applyNumberFormat="1" applyFont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3" xfId="2" applyFont="1" applyFill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/>
    </xf>
    <xf numFmtId="0" fontId="30" fillId="4" borderId="13" xfId="4" applyFont="1" applyFill="1" applyBorder="1" applyAlignment="1">
      <alignment horizontal="center" vertical="center" wrapText="1"/>
    </xf>
    <xf numFmtId="0" fontId="17" fillId="0" borderId="13" xfId="2" applyFont="1" applyBorder="1" applyAlignment="1">
      <alignment horizontal="center" vertical="center" wrapText="1"/>
    </xf>
    <xf numFmtId="178" fontId="17" fillId="0" borderId="13" xfId="2" applyNumberFormat="1" applyFont="1" applyBorder="1" applyAlignment="1">
      <alignment horizontal="center" vertical="center" wrapText="1"/>
    </xf>
    <xf numFmtId="0" fontId="18" fillId="0" borderId="13" xfId="2" applyFont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/>
    </xf>
    <xf numFmtId="0" fontId="30" fillId="4" borderId="16" xfId="4" applyFont="1" applyFill="1" applyBorder="1" applyAlignment="1">
      <alignment horizontal="center" vertical="center" wrapText="1"/>
    </xf>
    <xf numFmtId="0" fontId="17" fillId="0" borderId="16" xfId="2" applyFont="1" applyBorder="1" applyAlignment="1">
      <alignment horizontal="center" vertical="center" wrapText="1"/>
    </xf>
    <xf numFmtId="178" fontId="17" fillId="0" borderId="16" xfId="2" applyNumberFormat="1" applyFont="1" applyBorder="1" applyAlignment="1">
      <alignment horizontal="center" vertical="center" wrapText="1"/>
    </xf>
    <xf numFmtId="0" fontId="18" fillId="0" borderId="16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 wrapText="1"/>
    </xf>
    <xf numFmtId="177" fontId="6" fillId="5" borderId="16" xfId="0" applyNumberFormat="1" applyFont="1" applyFill="1" applyBorder="1" applyAlignment="1">
      <alignment horizontal="center" vertical="center" wrapText="1"/>
    </xf>
    <xf numFmtId="0" fontId="16" fillId="6" borderId="18" xfId="4" applyFont="1" applyFill="1" applyBorder="1" applyAlignment="1">
      <alignment horizontal="center" vertical="center" wrapText="1"/>
    </xf>
    <xf numFmtId="0" fontId="2" fillId="8" borderId="16" xfId="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5" xfId="4" applyFont="1" applyBorder="1" applyAlignment="1">
      <alignment horizontal="center" vertical="center"/>
    </xf>
    <xf numFmtId="0" fontId="0" fillId="0" borderId="26" xfId="4" applyFont="1" applyBorder="1" applyAlignment="1">
      <alignment horizontal="center" vertical="center"/>
    </xf>
    <xf numFmtId="0" fontId="28" fillId="0" borderId="33" xfId="4" applyFont="1" applyBorder="1" applyAlignment="1">
      <alignment horizontal="center" vertical="center" wrapText="1"/>
    </xf>
    <xf numFmtId="0" fontId="28" fillId="0" borderId="35" xfId="4" applyFont="1" applyBorder="1" applyAlignment="1">
      <alignment horizontal="center" vertical="center" wrapText="1"/>
    </xf>
    <xf numFmtId="0" fontId="28" fillId="0" borderId="0" xfId="4" applyFont="1" applyAlignment="1">
      <alignment horizontal="center" vertical="center" wrapText="1"/>
    </xf>
    <xf numFmtId="0" fontId="28" fillId="0" borderId="37" xfId="4" applyFont="1" applyBorder="1" applyAlignment="1">
      <alignment horizontal="center" vertical="center" wrapText="1"/>
    </xf>
    <xf numFmtId="0" fontId="28" fillId="0" borderId="32" xfId="4" applyFont="1" applyBorder="1" applyAlignment="1">
      <alignment horizontal="center" vertical="center" wrapText="1"/>
    </xf>
    <xf numFmtId="0" fontId="29" fillId="0" borderId="33" xfId="4" applyFont="1" applyBorder="1" applyAlignment="1">
      <alignment horizontal="center" vertical="center" shrinkToFit="1"/>
    </xf>
    <xf numFmtId="0" fontId="29" fillId="0" borderId="34" xfId="4" applyFont="1" applyBorder="1" applyAlignment="1">
      <alignment horizontal="center" vertical="center" shrinkToFit="1"/>
    </xf>
    <xf numFmtId="0" fontId="29" fillId="0" borderId="0" xfId="4" applyFont="1" applyAlignment="1">
      <alignment horizontal="center" vertical="center" shrinkToFit="1"/>
    </xf>
    <xf numFmtId="0" fontId="29" fillId="0" borderId="36" xfId="4" applyFont="1" applyBorder="1" applyAlignment="1">
      <alignment horizontal="center" vertical="center" shrinkToFit="1"/>
    </xf>
    <xf numFmtId="0" fontId="29" fillId="0" borderId="32" xfId="4" applyFont="1" applyBorder="1" applyAlignment="1">
      <alignment horizontal="center" vertical="center" shrinkToFit="1"/>
    </xf>
    <xf numFmtId="0" fontId="29" fillId="0" borderId="38" xfId="4" applyFont="1" applyBorder="1" applyAlignment="1">
      <alignment horizontal="center" vertical="center" shrinkToFit="1"/>
    </xf>
    <xf numFmtId="0" fontId="0" fillId="0" borderId="19" xfId="0" applyBorder="1" applyAlignment="1">
      <alignment horizontal="center" vertical="center"/>
    </xf>
    <xf numFmtId="0" fontId="1" fillId="8" borderId="15" xfId="4" applyFill="1" applyBorder="1" applyAlignment="1">
      <alignment horizontal="center" vertical="center" wrapText="1"/>
    </xf>
    <xf numFmtId="0" fontId="2" fillId="8" borderId="13" xfId="4" applyFont="1" applyFill="1" applyBorder="1" applyAlignment="1">
      <alignment horizontal="center" vertical="center" wrapText="1"/>
    </xf>
    <xf numFmtId="0" fontId="2" fillId="8" borderId="14" xfId="4" applyFont="1" applyFill="1" applyBorder="1" applyAlignment="1">
      <alignment horizontal="center" vertical="center" wrapText="1"/>
    </xf>
    <xf numFmtId="0" fontId="2" fillId="8" borderId="17" xfId="4" applyFont="1" applyFill="1" applyBorder="1" applyAlignment="1">
      <alignment horizontal="center" vertical="center" wrapText="1"/>
    </xf>
    <xf numFmtId="0" fontId="3" fillId="0" borderId="22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28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3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3" fillId="0" borderId="27" xfId="2" applyFont="1" applyBorder="1" applyAlignment="1">
      <alignment horizontal="center" vertical="center" shrinkToFit="1"/>
    </xf>
    <xf numFmtId="0" fontId="26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4" fillId="3" borderId="26" xfId="2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 shrinkToFit="1"/>
    </xf>
    <xf numFmtId="0" fontId="23" fillId="0" borderId="3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shrinkToFit="1"/>
    </xf>
    <xf numFmtId="0" fontId="23" fillId="0" borderId="2" xfId="0" applyFont="1" applyBorder="1" applyAlignment="1">
      <alignment horizontal="center" vertical="center" shrinkToFit="1"/>
    </xf>
    <xf numFmtId="0" fontId="23" fillId="0" borderId="27" xfId="0" applyFont="1" applyBorder="1" applyAlignment="1">
      <alignment horizontal="center" vertical="center" shrinkToFit="1"/>
    </xf>
    <xf numFmtId="0" fontId="5" fillId="4" borderId="19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6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 shrinkToFit="1"/>
    </xf>
    <xf numFmtId="0" fontId="33" fillId="0" borderId="28" xfId="0" applyFont="1" applyBorder="1" applyAlignment="1">
      <alignment horizontal="center" vertical="center" wrapText="1" shrinkToFit="1"/>
    </xf>
    <xf numFmtId="0" fontId="33" fillId="0" borderId="0" xfId="0" applyFont="1" applyAlignment="1">
      <alignment horizontal="center" vertical="center" wrapText="1" shrinkToFit="1"/>
    </xf>
    <xf numFmtId="0" fontId="33" fillId="0" borderId="23" xfId="0" applyFont="1" applyBorder="1" applyAlignment="1">
      <alignment horizontal="center" vertical="center" wrapText="1" shrinkToFit="1"/>
    </xf>
    <xf numFmtId="0" fontId="33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78" fontId="26" fillId="0" borderId="16" xfId="2" applyNumberFormat="1" applyBorder="1" applyAlignment="1">
      <alignment horizontal="center" vertical="center" wrapText="1"/>
    </xf>
    <xf numFmtId="0" fontId="26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26" fillId="0" borderId="19" xfId="2" applyBorder="1" applyAlignment="1">
      <alignment horizontal="center" vertical="center"/>
    </xf>
    <xf numFmtId="0" fontId="26" fillId="0" borderId="15" xfId="2" applyBorder="1" applyAlignment="1">
      <alignment horizontal="center" vertical="center"/>
    </xf>
    <xf numFmtId="0" fontId="6" fillId="0" borderId="13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24" fillId="0" borderId="22" xfId="2" applyFont="1" applyBorder="1" applyAlignment="1">
      <alignment horizontal="center" vertical="center" shrinkToFit="1"/>
    </xf>
    <xf numFmtId="0" fontId="24" fillId="0" borderId="11" xfId="2" applyFont="1" applyBorder="1" applyAlignment="1">
      <alignment horizontal="center" vertical="center" shrinkToFit="1"/>
    </xf>
    <xf numFmtId="0" fontId="24" fillId="0" borderId="3" xfId="2" applyFont="1" applyBorder="1" applyAlignment="1">
      <alignment horizontal="center" vertical="center" shrinkToFit="1"/>
    </xf>
    <xf numFmtId="0" fontId="24" fillId="0" borderId="28" xfId="2" applyFont="1" applyBorder="1" applyAlignment="1">
      <alignment horizontal="center" vertical="center" shrinkToFit="1"/>
    </xf>
    <xf numFmtId="0" fontId="24" fillId="0" borderId="0" xfId="2" applyFont="1" applyAlignment="1">
      <alignment horizontal="center" vertical="center" shrinkToFit="1"/>
    </xf>
    <xf numFmtId="0" fontId="24" fillId="0" borderId="29" xfId="2" applyFont="1" applyBorder="1" applyAlignment="1">
      <alignment horizontal="center" vertical="center" shrinkToFit="1"/>
    </xf>
    <xf numFmtId="0" fontId="24" fillId="0" borderId="23" xfId="2" applyFont="1" applyBorder="1" applyAlignment="1">
      <alignment horizontal="center" vertical="center" shrinkToFit="1"/>
    </xf>
    <xf numFmtId="0" fontId="24" fillId="0" borderId="2" xfId="2" applyFont="1" applyBorder="1" applyAlignment="1">
      <alignment horizontal="center" vertical="center" shrinkToFit="1"/>
    </xf>
    <xf numFmtId="0" fontId="24" fillId="0" borderId="27" xfId="2" applyFont="1" applyBorder="1" applyAlignment="1">
      <alignment horizontal="center" vertical="center" shrinkToFit="1"/>
    </xf>
    <xf numFmtId="0" fontId="26" fillId="0" borderId="4" xfId="2" applyBorder="1" applyAlignment="1">
      <alignment horizontal="center" vertical="center"/>
    </xf>
    <xf numFmtId="0" fontId="26" fillId="0" borderId="26" xfId="2" applyBorder="1" applyAlignment="1">
      <alignment horizontal="center" vertical="center"/>
    </xf>
    <xf numFmtId="0" fontId="32" fillId="0" borderId="1" xfId="2" applyFont="1" applyBorder="1" applyAlignment="1">
      <alignment horizontal="center" vertical="center" wrapText="1"/>
    </xf>
    <xf numFmtId="0" fontId="26" fillId="0" borderId="22" xfId="2" applyBorder="1" applyAlignment="1">
      <alignment horizontal="center" vertical="center"/>
    </xf>
    <xf numFmtId="0" fontId="26" fillId="0" borderId="3" xfId="2" applyBorder="1" applyAlignment="1">
      <alignment horizontal="center" vertical="center"/>
    </xf>
    <xf numFmtId="178" fontId="5" fillId="0" borderId="13" xfId="2" applyNumberFormat="1" applyFont="1" applyBorder="1" applyAlignment="1">
      <alignment horizontal="center" vertical="center" wrapText="1"/>
    </xf>
    <xf numFmtId="178" fontId="5" fillId="0" borderId="16" xfId="2" applyNumberFormat="1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29" xfId="2" applyFont="1" applyBorder="1" applyAlignment="1">
      <alignment horizontal="center" vertical="center" wrapText="1"/>
    </xf>
    <xf numFmtId="0" fontId="32" fillId="0" borderId="1" xfId="2" applyFont="1" applyBorder="1" applyAlignment="1">
      <alignment horizontal="center" vertical="center" wrapText="1" shrinkToFit="1"/>
    </xf>
    <xf numFmtId="0" fontId="24" fillId="0" borderId="22" xfId="2" applyFont="1" applyBorder="1" applyAlignment="1">
      <alignment horizontal="center" vertical="center"/>
    </xf>
    <xf numFmtId="0" fontId="24" fillId="0" borderId="11" xfId="2" applyFont="1" applyBorder="1" applyAlignment="1">
      <alignment horizontal="center" vertical="center"/>
    </xf>
    <xf numFmtId="0" fontId="24" fillId="0" borderId="3" xfId="2" applyFont="1" applyBorder="1" applyAlignment="1">
      <alignment horizontal="center" vertical="center"/>
    </xf>
    <xf numFmtId="0" fontId="24" fillId="0" borderId="28" xfId="2" applyFont="1" applyBorder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24" fillId="0" borderId="29" xfId="2" applyFont="1" applyBorder="1" applyAlignment="1">
      <alignment horizontal="center" vertical="center"/>
    </xf>
    <xf numFmtId="0" fontId="24" fillId="0" borderId="23" xfId="2" applyFont="1" applyBorder="1" applyAlignment="1">
      <alignment horizontal="center" vertical="center"/>
    </xf>
    <xf numFmtId="0" fontId="24" fillId="0" borderId="2" xfId="2" applyFont="1" applyBorder="1" applyAlignment="1">
      <alignment horizontal="center" vertical="center"/>
    </xf>
    <xf numFmtId="0" fontId="24" fillId="0" borderId="27" xfId="2" applyFont="1" applyBorder="1" applyAlignment="1">
      <alignment horizontal="center" vertical="center"/>
    </xf>
    <xf numFmtId="0" fontId="26" fillId="0" borderId="23" xfId="2" applyBorder="1" applyAlignment="1">
      <alignment horizontal="center" vertical="center"/>
    </xf>
    <xf numFmtId="0" fontId="26" fillId="0" borderId="27" xfId="2" applyBorder="1" applyAlignment="1">
      <alignment horizontal="center" vertical="center"/>
    </xf>
    <xf numFmtId="0" fontId="26" fillId="0" borderId="9" xfId="2" applyBorder="1" applyAlignment="1">
      <alignment horizontal="center" vertical="center"/>
    </xf>
    <xf numFmtId="0" fontId="6" fillId="0" borderId="4" xfId="2" applyFont="1" applyBorder="1" applyAlignment="1">
      <alignment horizontal="center" vertical="center" wrapText="1"/>
    </xf>
    <xf numFmtId="0" fontId="6" fillId="0" borderId="25" xfId="2" applyFont="1" applyBorder="1" applyAlignment="1">
      <alignment horizontal="center" vertical="center" wrapText="1"/>
    </xf>
    <xf numFmtId="0" fontId="6" fillId="0" borderId="26" xfId="2" applyFont="1" applyBorder="1" applyAlignment="1">
      <alignment horizontal="center" vertical="center" wrapText="1"/>
    </xf>
    <xf numFmtId="0" fontId="6" fillId="0" borderId="22" xfId="2" applyFont="1" applyBorder="1" applyAlignment="1">
      <alignment horizontal="center" vertical="center" wrapText="1"/>
    </xf>
    <xf numFmtId="41" fontId="26" fillId="0" borderId="13" xfId="2" applyNumberFormat="1" applyBorder="1" applyAlignment="1">
      <alignment horizontal="left" vertical="center" wrapText="1"/>
    </xf>
    <xf numFmtId="0" fontId="26" fillId="0" borderId="13" xfId="2" applyBorder="1" applyAlignment="1">
      <alignment horizontal="left" vertical="center" wrapText="1"/>
    </xf>
    <xf numFmtId="41" fontId="26" fillId="0" borderId="16" xfId="2" applyNumberFormat="1" applyBorder="1" applyAlignment="1">
      <alignment horizontal="left" vertical="center" wrapText="1"/>
    </xf>
    <xf numFmtId="0" fontId="26" fillId="0" borderId="16" xfId="2" applyBorder="1" applyAlignment="1">
      <alignment horizontal="left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177" fontId="0" fillId="2" borderId="31" xfId="0" applyNumberFormat="1" applyFill="1" applyBorder="1" applyAlignment="1">
      <alignment horizontal="center" vertical="center" wrapText="1"/>
    </xf>
    <xf numFmtId="177" fontId="0" fillId="2" borderId="25" xfId="0" applyNumberFormat="1" applyFill="1" applyBorder="1" applyAlignment="1">
      <alignment horizontal="center" vertical="center" wrapText="1"/>
    </xf>
    <xf numFmtId="177" fontId="0" fillId="2" borderId="26" xfId="0" applyNumberForma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2" fillId="0" borderId="22" xfId="0" applyFont="1" applyBorder="1" applyAlignment="1">
      <alignment horizontal="center" vertical="center" wrapText="1" shrinkToFit="1"/>
    </xf>
    <xf numFmtId="0" fontId="32" fillId="0" borderId="11" xfId="0" applyFont="1" applyBorder="1" applyAlignment="1">
      <alignment horizontal="center" vertical="center" wrapText="1" shrinkToFit="1"/>
    </xf>
    <xf numFmtId="0" fontId="32" fillId="0" borderId="3" xfId="0" applyFont="1" applyBorder="1" applyAlignment="1">
      <alignment horizontal="center" vertical="center" wrapText="1" shrinkToFit="1"/>
    </xf>
    <xf numFmtId="0" fontId="32" fillId="0" borderId="23" xfId="0" applyFont="1" applyBorder="1" applyAlignment="1">
      <alignment horizontal="center" vertical="center" wrapText="1" shrinkToFit="1"/>
    </xf>
    <xf numFmtId="0" fontId="32" fillId="0" borderId="2" xfId="0" applyFont="1" applyBorder="1" applyAlignment="1">
      <alignment horizontal="center" vertical="center" wrapText="1" shrinkToFit="1"/>
    </xf>
    <xf numFmtId="0" fontId="32" fillId="0" borderId="27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590549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200025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514350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12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15"/>
  <sheetViews>
    <sheetView tabSelected="1" view="pageBreakPreview" zoomScale="120" zoomScaleNormal="120" zoomScaleSheetLayoutView="120" workbookViewId="0">
      <pane ySplit="8" topLeftCell="A9" activePane="bottomLeft" state="frozen"/>
      <selection pane="bottomLeft" activeCell="Q9" sqref="Q9:Q15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28" t="s">
        <v>79</v>
      </c>
      <c r="B1" s="131"/>
      <c r="C1" s="131"/>
      <c r="D1" s="136" t="str">
        <f>R2</f>
        <v>26.06.25 하나로_충남 서산시 해미면 지에이치내츄럴</v>
      </c>
      <c r="E1" s="136"/>
      <c r="F1" s="136"/>
      <c r="G1" s="137"/>
      <c r="R1" s="8" t="s">
        <v>72</v>
      </c>
    </row>
    <row r="2" spans="1:18" ht="16.5" customHeight="1">
      <c r="A2" s="132"/>
      <c r="B2" s="133"/>
      <c r="C2" s="133"/>
      <c r="D2" s="138"/>
      <c r="E2" s="138"/>
      <c r="F2" s="138"/>
      <c r="G2" s="139"/>
      <c r="R2" s="88" t="s">
        <v>89</v>
      </c>
    </row>
    <row r="3" spans="1:18" ht="16.5" customHeight="1">
      <c r="A3" s="132"/>
      <c r="B3" s="133"/>
      <c r="C3" s="133"/>
      <c r="D3" s="138"/>
      <c r="E3" s="138"/>
      <c r="F3" s="138"/>
      <c r="G3" s="139"/>
    </row>
    <row r="4" spans="1:18" ht="17.25" customHeight="1" thickBot="1">
      <c r="A4" s="134"/>
      <c r="B4" s="135"/>
      <c r="C4" s="135"/>
      <c r="D4" s="140"/>
      <c r="E4" s="140"/>
      <c r="F4" s="140"/>
      <c r="G4" s="141"/>
    </row>
    <row r="5" spans="1:18" ht="6.75" customHeight="1" thickTop="1">
      <c r="A5" s="89"/>
      <c r="B5" s="89"/>
      <c r="C5" s="89"/>
      <c r="D5" s="89"/>
      <c r="E5" s="89"/>
      <c r="F5" s="89"/>
      <c r="G5" s="89"/>
    </row>
    <row r="6" spans="1:18" s="10" customFormat="1" ht="18" customHeight="1" thickBot="1">
      <c r="A6" s="142" t="s">
        <v>1</v>
      </c>
      <c r="B6" s="144" t="s">
        <v>71</v>
      </c>
      <c r="C6" s="144" t="s">
        <v>4</v>
      </c>
      <c r="D6" s="144"/>
      <c r="E6" s="144" t="s">
        <v>46</v>
      </c>
      <c r="F6" s="144" t="s">
        <v>41</v>
      </c>
      <c r="G6" s="145" t="s">
        <v>20</v>
      </c>
      <c r="H6" s="9"/>
      <c r="I6" s="1" t="s">
        <v>10</v>
      </c>
      <c r="J6" s="1"/>
      <c r="K6" s="1"/>
      <c r="L6" s="1"/>
      <c r="M6" s="1"/>
      <c r="N6" s="1"/>
      <c r="O6" s="8"/>
    </row>
    <row r="7" spans="1:18" s="10" customFormat="1" ht="18" customHeight="1">
      <c r="A7" s="143"/>
      <c r="B7" s="127"/>
      <c r="C7" s="127" t="s">
        <v>68</v>
      </c>
      <c r="D7" s="127" t="s">
        <v>66</v>
      </c>
      <c r="E7" s="127"/>
      <c r="F7" s="127"/>
      <c r="G7" s="146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43"/>
      <c r="B8" s="127"/>
      <c r="C8" s="127"/>
      <c r="D8" s="127"/>
      <c r="E8" s="127"/>
      <c r="F8" s="127"/>
      <c r="G8" s="146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108" t="s">
        <v>81</v>
      </c>
      <c r="B9" s="61" t="s">
        <v>17</v>
      </c>
      <c r="C9" s="32">
        <v>500</v>
      </c>
      <c r="D9" s="32">
        <v>400</v>
      </c>
      <c r="E9" s="90"/>
      <c r="F9" s="90"/>
      <c r="G9" s="91"/>
      <c r="H9" s="13"/>
      <c r="I9" s="26"/>
      <c r="J9" s="25"/>
      <c r="K9" s="20"/>
      <c r="L9" s="21"/>
      <c r="M9" s="22"/>
      <c r="N9" s="25"/>
      <c r="O9" s="8"/>
      <c r="Q9" s="10" t="s">
        <v>90</v>
      </c>
    </row>
    <row r="10" spans="1:18" s="10" customFormat="1" ht="18" customHeight="1" thickBot="1">
      <c r="A10" s="108" t="s">
        <v>82</v>
      </c>
      <c r="B10" s="61" t="s">
        <v>17</v>
      </c>
      <c r="C10" s="32">
        <v>700</v>
      </c>
      <c r="D10" s="32">
        <v>400</v>
      </c>
      <c r="E10" s="75"/>
      <c r="F10" s="90"/>
      <c r="G10" s="91"/>
      <c r="H10" s="13"/>
      <c r="I10" s="26"/>
      <c r="J10" s="25"/>
      <c r="K10" s="20"/>
      <c r="L10" s="21"/>
      <c r="M10" s="22"/>
      <c r="N10" s="25"/>
      <c r="O10" s="8"/>
      <c r="Q10" s="10" t="s">
        <v>91</v>
      </c>
    </row>
    <row r="11" spans="1:18" s="10" customFormat="1" ht="18" customHeight="1" thickBot="1">
      <c r="A11" s="108" t="s">
        <v>83</v>
      </c>
      <c r="B11" s="61" t="s">
        <v>17</v>
      </c>
      <c r="C11" s="32">
        <v>800</v>
      </c>
      <c r="D11" s="32">
        <v>450</v>
      </c>
      <c r="E11" s="75"/>
      <c r="F11" s="90"/>
      <c r="G11" s="91"/>
      <c r="H11" s="13"/>
      <c r="I11" s="26"/>
      <c r="J11" s="25"/>
      <c r="K11" s="20"/>
      <c r="L11" s="21"/>
      <c r="M11" s="22"/>
      <c r="N11" s="25"/>
      <c r="O11" s="8"/>
      <c r="Q11" s="10" t="s">
        <v>92</v>
      </c>
    </row>
    <row r="12" spans="1:18" s="10" customFormat="1" ht="16.5">
      <c r="A12" s="108" t="s">
        <v>84</v>
      </c>
      <c r="B12" s="64" t="s">
        <v>51</v>
      </c>
      <c r="C12" s="32">
        <v>1200</v>
      </c>
      <c r="D12" s="32">
        <v>800</v>
      </c>
      <c r="E12" s="75"/>
      <c r="F12" s="90"/>
      <c r="G12" s="91"/>
      <c r="H12" s="13"/>
      <c r="I12" s="7"/>
      <c r="J12" s="7"/>
      <c r="K12" s="20"/>
      <c r="L12" s="21"/>
      <c r="M12" s="22"/>
      <c r="N12" s="7"/>
      <c r="O12" s="8"/>
      <c r="Q12" s="10" t="s">
        <v>93</v>
      </c>
    </row>
    <row r="13" spans="1:18" s="10" customFormat="1" ht="16.5">
      <c r="A13" s="108" t="s">
        <v>85</v>
      </c>
      <c r="B13" s="64" t="s">
        <v>51</v>
      </c>
      <c r="C13" s="32">
        <v>1200</v>
      </c>
      <c r="D13" s="32">
        <v>800</v>
      </c>
      <c r="E13" s="75"/>
      <c r="F13" s="90"/>
      <c r="G13" s="91"/>
      <c r="H13" s="13"/>
      <c r="I13" s="7"/>
      <c r="J13" s="7"/>
      <c r="K13" s="19"/>
      <c r="L13" s="19"/>
      <c r="M13" s="19"/>
      <c r="N13" s="7"/>
      <c r="O13" s="8"/>
      <c r="Q13" s="10" t="s">
        <v>94</v>
      </c>
    </row>
    <row r="14" spans="1:18" s="10" customFormat="1" ht="17.25" thickBot="1">
      <c r="A14" s="108" t="s">
        <v>86</v>
      </c>
      <c r="B14" s="64" t="s">
        <v>51</v>
      </c>
      <c r="C14" s="32">
        <v>1200</v>
      </c>
      <c r="D14" s="32">
        <v>800</v>
      </c>
      <c r="E14" s="90"/>
      <c r="F14" s="90"/>
      <c r="G14" s="91"/>
      <c r="H14" s="13"/>
      <c r="I14" s="128"/>
      <c r="J14" s="129"/>
      <c r="K14" s="130"/>
      <c r="L14" s="8"/>
      <c r="M14" s="128"/>
      <c r="N14" s="129"/>
      <c r="O14" s="130"/>
      <c r="Q14" s="10" t="s">
        <v>95</v>
      </c>
    </row>
    <row r="15" spans="1:18" s="10" customFormat="1" ht="16.5">
      <c r="A15" s="108" t="s">
        <v>87</v>
      </c>
      <c r="B15" s="64" t="s">
        <v>51</v>
      </c>
      <c r="C15" s="32">
        <v>1200</v>
      </c>
      <c r="D15" s="32">
        <v>800</v>
      </c>
      <c r="E15" s="75"/>
      <c r="F15" s="90"/>
      <c r="G15" s="91"/>
      <c r="H15" s="13"/>
      <c r="I15" s="7"/>
      <c r="J15" s="7"/>
      <c r="K15" s="20"/>
      <c r="L15" s="21"/>
      <c r="M15" s="22"/>
      <c r="N15" s="7"/>
      <c r="O15" s="8"/>
      <c r="Q15" s="10" t="s">
        <v>96</v>
      </c>
    </row>
  </sheetData>
  <mergeCells count="13">
    <mergeCell ref="A1:C4"/>
    <mergeCell ref="D1:G4"/>
    <mergeCell ref="A6:A8"/>
    <mergeCell ref="B6:B8"/>
    <mergeCell ref="C6:D6"/>
    <mergeCell ref="E6:E8"/>
    <mergeCell ref="F6:F8"/>
    <mergeCell ref="G6:G8"/>
    <mergeCell ref="I6:N6"/>
    <mergeCell ref="C7:C8"/>
    <mergeCell ref="D7:D8"/>
    <mergeCell ref="I14:K14"/>
    <mergeCell ref="M14:O14"/>
  </mergeCells>
  <phoneticPr fontId="27" type="noConversion"/>
  <pageMargins left="0.23597222566604614" right="0.23597222566604614" top="0.74750000238418579" bottom="0.74750000238418579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14"/>
  <sheetViews>
    <sheetView zoomScaleNormal="100" zoomScaleSheetLayoutView="100" workbookViewId="0">
      <selection activeCell="H21" sqref="H21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128"/>
      <c r="B1" s="128"/>
      <c r="C1" s="128"/>
      <c r="D1" s="128"/>
      <c r="E1" s="147" t="s">
        <v>74</v>
      </c>
      <c r="F1" s="148"/>
      <c r="G1" s="148"/>
      <c r="H1" s="148" t="str">
        <f>'1. 소켓인수검사'!R2</f>
        <v>26.06.25 하나로_충남 서산시 해미면 지에이치내츄럴</v>
      </c>
      <c r="I1" s="148"/>
      <c r="J1" s="148"/>
      <c r="K1" s="148"/>
      <c r="L1" s="148"/>
      <c r="M1" s="148"/>
      <c r="N1" s="148"/>
      <c r="O1" s="153"/>
    </row>
    <row r="2" spans="1:15" ht="16.5" customHeight="1">
      <c r="A2" s="128"/>
      <c r="B2" s="128"/>
      <c r="C2" s="128"/>
      <c r="D2" s="128"/>
      <c r="E2" s="149"/>
      <c r="F2" s="150"/>
      <c r="G2" s="150"/>
      <c r="H2" s="150"/>
      <c r="I2" s="150"/>
      <c r="J2" s="150"/>
      <c r="K2" s="150"/>
      <c r="L2" s="150"/>
      <c r="M2" s="150"/>
      <c r="N2" s="150"/>
      <c r="O2" s="154"/>
    </row>
    <row r="3" spans="1:15" ht="16.5" customHeight="1">
      <c r="A3" s="128"/>
      <c r="B3" s="128"/>
      <c r="C3" s="128"/>
      <c r="D3" s="128"/>
      <c r="E3" s="151"/>
      <c r="F3" s="152"/>
      <c r="G3" s="152"/>
      <c r="H3" s="152"/>
      <c r="I3" s="152"/>
      <c r="J3" s="152"/>
      <c r="K3" s="152"/>
      <c r="L3" s="152"/>
      <c r="M3" s="152"/>
      <c r="N3" s="152"/>
      <c r="O3" s="155"/>
    </row>
    <row r="4" spans="1:15" ht="8.1" customHeight="1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</row>
    <row r="5" spans="1:15" ht="26.45" customHeight="1">
      <c r="A5" s="157" t="s">
        <v>61</v>
      </c>
      <c r="B5" s="158" t="s">
        <v>71</v>
      </c>
      <c r="C5" s="161" t="s">
        <v>4</v>
      </c>
      <c r="D5" s="161"/>
      <c r="E5" s="161" t="s">
        <v>27</v>
      </c>
      <c r="F5" s="162" t="s">
        <v>59</v>
      </c>
      <c r="G5" s="165" t="s">
        <v>23</v>
      </c>
      <c r="H5" s="166"/>
      <c r="I5" s="166"/>
      <c r="J5" s="167"/>
      <c r="K5" s="165" t="s">
        <v>37</v>
      </c>
      <c r="L5" s="166"/>
      <c r="M5" s="166"/>
      <c r="N5" s="166"/>
      <c r="O5" s="162" t="s">
        <v>2</v>
      </c>
    </row>
    <row r="6" spans="1:15" ht="16.5" customHeight="1">
      <c r="A6" s="157"/>
      <c r="B6" s="159"/>
      <c r="C6" s="161" t="s">
        <v>68</v>
      </c>
      <c r="D6" s="161" t="s">
        <v>66</v>
      </c>
      <c r="E6" s="161"/>
      <c r="F6" s="163"/>
      <c r="G6" s="161" t="s">
        <v>68</v>
      </c>
      <c r="H6" s="161"/>
      <c r="I6" s="161" t="s">
        <v>66</v>
      </c>
      <c r="J6" s="161"/>
      <c r="K6" s="161" t="s">
        <v>70</v>
      </c>
      <c r="L6" s="161"/>
      <c r="M6" s="165" t="s">
        <v>67</v>
      </c>
      <c r="N6" s="166"/>
      <c r="O6" s="163"/>
    </row>
    <row r="7" spans="1:15">
      <c r="A7" s="157"/>
      <c r="B7" s="160"/>
      <c r="C7" s="161"/>
      <c r="D7" s="161"/>
      <c r="E7" s="161"/>
      <c r="F7" s="164"/>
      <c r="G7" s="110" t="s">
        <v>4</v>
      </c>
      <c r="H7" s="110" t="s">
        <v>34</v>
      </c>
      <c r="I7" s="113" t="s">
        <v>4</v>
      </c>
      <c r="J7" s="112" t="s">
        <v>34</v>
      </c>
      <c r="K7" s="110" t="s">
        <v>4</v>
      </c>
      <c r="L7" s="110" t="s">
        <v>59</v>
      </c>
      <c r="M7" s="110" t="s">
        <v>4</v>
      </c>
      <c r="N7" s="111" t="s">
        <v>59</v>
      </c>
      <c r="O7" s="164"/>
    </row>
    <row r="8" spans="1:15">
      <c r="A8" s="114" t="str">
        <f>'1. 소켓인수검사'!A9</f>
        <v>01</v>
      </c>
      <c r="B8" s="115" t="s">
        <v>17</v>
      </c>
      <c r="C8" s="69">
        <f>'1. 소켓인수검사'!C9</f>
        <v>500</v>
      </c>
      <c r="D8" s="69">
        <f>'1. 소켓인수검사'!D9</f>
        <v>400</v>
      </c>
      <c r="E8" s="57"/>
      <c r="F8" s="69">
        <v>1</v>
      </c>
      <c r="G8" s="116">
        <f>C8-5</f>
        <v>495</v>
      </c>
      <c r="H8" s="69">
        <f t="shared" ref="H8:H10" si="0">F8*4</f>
        <v>4</v>
      </c>
      <c r="I8" s="117">
        <f t="shared" ref="I8:I10" si="1">D8-30</f>
        <v>370</v>
      </c>
      <c r="J8" s="69">
        <f t="shared" ref="J8:J10" si="2">F8*4</f>
        <v>4</v>
      </c>
      <c r="K8" s="118">
        <f t="shared" ref="K8:K10" si="3">C8+60</f>
        <v>560</v>
      </c>
      <c r="L8" s="69">
        <v>2</v>
      </c>
      <c r="M8" s="118">
        <f>D8</f>
        <v>400</v>
      </c>
      <c r="N8" s="69">
        <v>2</v>
      </c>
      <c r="O8" s="59"/>
    </row>
    <row r="9" spans="1:15">
      <c r="A9" s="119" t="str">
        <f>'1. 소켓인수검사'!A10</f>
        <v>02</v>
      </c>
      <c r="B9" s="120" t="s">
        <v>17</v>
      </c>
      <c r="C9" s="71">
        <f>'1. 소켓인수검사'!C10</f>
        <v>700</v>
      </c>
      <c r="D9" s="71">
        <f>'1. 소켓인수검사'!D10</f>
        <v>400</v>
      </c>
      <c r="E9" s="41"/>
      <c r="F9" s="71">
        <v>1</v>
      </c>
      <c r="G9" s="121">
        <f t="shared" ref="G9:G10" si="4">C9-5</f>
        <v>695</v>
      </c>
      <c r="H9" s="71">
        <f t="shared" si="0"/>
        <v>4</v>
      </c>
      <c r="I9" s="122">
        <f t="shared" si="1"/>
        <v>370</v>
      </c>
      <c r="J9" s="71">
        <f t="shared" si="2"/>
        <v>4</v>
      </c>
      <c r="K9" s="123">
        <f t="shared" si="3"/>
        <v>760</v>
      </c>
      <c r="L9" s="71">
        <v>2</v>
      </c>
      <c r="M9" s="123">
        <f t="shared" ref="M9:M10" si="5">D9</f>
        <v>400</v>
      </c>
      <c r="N9" s="71">
        <v>2</v>
      </c>
      <c r="O9" s="124"/>
    </row>
    <row r="10" spans="1:15">
      <c r="A10" s="119" t="str">
        <f>'1. 소켓인수검사'!A11</f>
        <v>03</v>
      </c>
      <c r="B10" s="120" t="s">
        <v>17</v>
      </c>
      <c r="C10" s="71">
        <f>'1. 소켓인수검사'!C11</f>
        <v>800</v>
      </c>
      <c r="D10" s="71">
        <f>'1. 소켓인수검사'!D11</f>
        <v>450</v>
      </c>
      <c r="E10" s="41"/>
      <c r="F10" s="71">
        <v>1</v>
      </c>
      <c r="G10" s="121">
        <f t="shared" si="4"/>
        <v>795</v>
      </c>
      <c r="H10" s="71">
        <f t="shared" si="0"/>
        <v>4</v>
      </c>
      <c r="I10" s="122">
        <f t="shared" si="1"/>
        <v>420</v>
      </c>
      <c r="J10" s="71">
        <f t="shared" si="2"/>
        <v>4</v>
      </c>
      <c r="K10" s="123">
        <f t="shared" si="3"/>
        <v>860</v>
      </c>
      <c r="L10" s="71">
        <v>2</v>
      </c>
      <c r="M10" s="123">
        <f t="shared" si="5"/>
        <v>450</v>
      </c>
      <c r="N10" s="71">
        <v>2</v>
      </c>
      <c r="O10" s="124"/>
    </row>
    <row r="11" spans="1:15" ht="8.1" customHeight="1">
      <c r="A11" s="128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</row>
    <row r="12" spans="1:15">
      <c r="A12" s="128" t="s">
        <v>49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</row>
    <row r="13" spans="1:15">
      <c r="A13" s="128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</row>
    <row r="14" spans="1:15">
      <c r="A14" s="128"/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</row>
  </sheetData>
  <mergeCells count="21">
    <mergeCell ref="A11:O11"/>
    <mergeCell ref="A12:C14"/>
    <mergeCell ref="D12:O14"/>
    <mergeCell ref="K5:N5"/>
    <mergeCell ref="O5:O7"/>
    <mergeCell ref="C6:C7"/>
    <mergeCell ref="D6:D7"/>
    <mergeCell ref="G6:H6"/>
    <mergeCell ref="I6:J6"/>
    <mergeCell ref="K6:L6"/>
    <mergeCell ref="M6:N6"/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</mergeCells>
  <phoneticPr fontId="27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19"/>
  <sheetViews>
    <sheetView zoomScaleNormal="100" zoomScaleSheetLayoutView="100" workbookViewId="0">
      <selection activeCell="F24" sqref="F24"/>
    </sheetView>
  </sheetViews>
  <sheetFormatPr defaultColWidth="9" defaultRowHeight="16.5"/>
  <cols>
    <col min="1" max="1" width="5.125" bestFit="1" customWidth="1"/>
    <col min="2" max="2" width="6" customWidth="1"/>
    <col min="3" max="4" width="8.125" customWidth="1"/>
    <col min="5" max="5" width="13.875" customWidth="1"/>
    <col min="6" max="6" width="5.125" customWidth="1"/>
    <col min="7" max="7" width="7" style="5" customWidth="1"/>
    <col min="8" max="8" width="7.75" style="5" customWidth="1"/>
    <col min="9" max="9" width="5.25" style="5" bestFit="1" customWidth="1"/>
    <col min="10" max="10" width="8" style="5" customWidth="1"/>
    <col min="11" max="11" width="7.375" customWidth="1"/>
    <col min="12" max="12" width="5.875" customWidth="1"/>
    <col min="13" max="13" width="7.125" customWidth="1"/>
    <col min="14" max="14" width="6.25" customWidth="1"/>
    <col min="15" max="15" width="25.5" customWidth="1"/>
  </cols>
  <sheetData>
    <row r="1" spans="1:15" ht="16.5" customHeight="1">
      <c r="A1" s="128"/>
      <c r="B1" s="128"/>
      <c r="C1" s="128"/>
      <c r="D1" s="128"/>
      <c r="E1" s="180" t="s">
        <v>73</v>
      </c>
      <c r="F1" s="181"/>
      <c r="G1" s="181"/>
      <c r="H1" s="186" t="str">
        <f>'1. 소켓인수검사'!R2</f>
        <v>26.06.25 하나로_충남 서산시 해미면 지에이치내츄럴</v>
      </c>
      <c r="I1" s="186"/>
      <c r="J1" s="186"/>
      <c r="K1" s="186"/>
      <c r="L1" s="186"/>
      <c r="M1" s="186"/>
      <c r="N1" s="186"/>
      <c r="O1" s="187"/>
    </row>
    <row r="2" spans="1:15" ht="38.25" customHeight="1">
      <c r="A2" s="128"/>
      <c r="B2" s="128"/>
      <c r="C2" s="128"/>
      <c r="D2" s="128"/>
      <c r="E2" s="182"/>
      <c r="F2" s="183"/>
      <c r="G2" s="183"/>
      <c r="H2" s="188"/>
      <c r="I2" s="188"/>
      <c r="J2" s="188"/>
      <c r="K2" s="188"/>
      <c r="L2" s="188"/>
      <c r="M2" s="188"/>
      <c r="N2" s="188"/>
      <c r="O2" s="189"/>
    </row>
    <row r="3" spans="1:15" ht="38.25" customHeight="1">
      <c r="A3" s="128"/>
      <c r="B3" s="128"/>
      <c r="C3" s="128"/>
      <c r="D3" s="128"/>
      <c r="E3" s="184"/>
      <c r="F3" s="185"/>
      <c r="G3" s="185"/>
      <c r="H3" s="190"/>
      <c r="I3" s="190"/>
      <c r="J3" s="190"/>
      <c r="K3" s="190"/>
      <c r="L3" s="190"/>
      <c r="M3" s="190"/>
      <c r="N3" s="190"/>
      <c r="O3" s="191"/>
    </row>
    <row r="4" spans="1:15" ht="8.1" customHeight="1">
      <c r="A4" s="172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4"/>
      <c r="O4" s="15"/>
    </row>
    <row r="5" spans="1:15" s="18" customFormat="1" ht="26.45" customHeight="1">
      <c r="A5" s="192" t="s">
        <v>61</v>
      </c>
      <c r="B5" s="194" t="s">
        <v>71</v>
      </c>
      <c r="C5" s="196" t="s">
        <v>4</v>
      </c>
      <c r="D5" s="196"/>
      <c r="E5" s="196" t="s">
        <v>27</v>
      </c>
      <c r="F5" s="196" t="s">
        <v>59</v>
      </c>
      <c r="G5" s="196" t="s">
        <v>23</v>
      </c>
      <c r="H5" s="196"/>
      <c r="I5" s="196"/>
      <c r="J5" s="196"/>
      <c r="K5" s="196" t="s">
        <v>37</v>
      </c>
      <c r="L5" s="196"/>
      <c r="M5" s="196"/>
      <c r="N5" s="196"/>
      <c r="O5" s="197" t="s">
        <v>2</v>
      </c>
    </row>
    <row r="6" spans="1:15" s="18" customFormat="1" ht="16.5" customHeight="1">
      <c r="A6" s="193"/>
      <c r="B6" s="195"/>
      <c r="C6" s="168" t="s">
        <v>68</v>
      </c>
      <c r="D6" s="168" t="s">
        <v>66</v>
      </c>
      <c r="E6" s="168"/>
      <c r="F6" s="168"/>
      <c r="G6" s="199" t="s">
        <v>68</v>
      </c>
      <c r="H6" s="199"/>
      <c r="I6" s="199" t="s">
        <v>66</v>
      </c>
      <c r="J6" s="199"/>
      <c r="K6" s="168" t="s">
        <v>70</v>
      </c>
      <c r="L6" s="168"/>
      <c r="M6" s="168" t="s">
        <v>67</v>
      </c>
      <c r="N6" s="168"/>
      <c r="O6" s="198"/>
    </row>
    <row r="7" spans="1:15" s="18" customFormat="1" ht="16.5" customHeight="1">
      <c r="A7" s="193"/>
      <c r="B7" s="195"/>
      <c r="C7" s="168"/>
      <c r="D7" s="168"/>
      <c r="E7" s="168"/>
      <c r="F7" s="168"/>
      <c r="G7" s="98" t="s">
        <v>4</v>
      </c>
      <c r="H7" s="98" t="s">
        <v>34</v>
      </c>
      <c r="I7" s="98" t="s">
        <v>4</v>
      </c>
      <c r="J7" s="98" t="s">
        <v>34</v>
      </c>
      <c r="K7" s="99" t="s">
        <v>4</v>
      </c>
      <c r="L7" s="99" t="s">
        <v>59</v>
      </c>
      <c r="M7" s="99" t="s">
        <v>4</v>
      </c>
      <c r="N7" s="99" t="s">
        <v>59</v>
      </c>
      <c r="O7" s="198"/>
    </row>
    <row r="8" spans="1:15">
      <c r="A8" s="94" t="str">
        <f>'1. 소켓인수검사'!A12</f>
        <v>04</v>
      </c>
      <c r="B8" s="100" t="s">
        <v>51</v>
      </c>
      <c r="C8" s="40">
        <f>'1. 소켓인수검사'!C12</f>
        <v>1200</v>
      </c>
      <c r="D8" s="40">
        <f>'1. 소켓인수검사'!D12</f>
        <v>800</v>
      </c>
      <c r="E8" s="41"/>
      <c r="F8" s="40">
        <v>1</v>
      </c>
      <c r="G8" s="65">
        <f>(C8-30)/2-5</f>
        <v>580</v>
      </c>
      <c r="H8" s="71">
        <f>F8*8*2</f>
        <v>16</v>
      </c>
      <c r="I8" s="109">
        <f>(D8-20)/2-10</f>
        <v>380</v>
      </c>
      <c r="J8" s="71">
        <f>F8*16</f>
        <v>16</v>
      </c>
      <c r="K8" s="66">
        <f t="shared" ref="K8:K11" si="0">C8+60</f>
        <v>1260</v>
      </c>
      <c r="L8" s="101">
        <v>4</v>
      </c>
      <c r="M8" s="66">
        <f>D8</f>
        <v>800</v>
      </c>
      <c r="N8" s="101">
        <v>4</v>
      </c>
      <c r="O8" s="62"/>
    </row>
    <row r="9" spans="1:15">
      <c r="A9" s="94" t="str">
        <f>'1. 소켓인수검사'!A13</f>
        <v>05</v>
      </c>
      <c r="B9" s="100" t="s">
        <v>51</v>
      </c>
      <c r="C9" s="40">
        <f>'1. 소켓인수검사'!C13</f>
        <v>1200</v>
      </c>
      <c r="D9" s="40">
        <f>'1. 소켓인수검사'!D13</f>
        <v>800</v>
      </c>
      <c r="E9" s="41"/>
      <c r="F9" s="40">
        <v>1</v>
      </c>
      <c r="G9" s="65">
        <f t="shared" ref="G9:G11" si="1">(C9-30)/2-5</f>
        <v>580</v>
      </c>
      <c r="H9" s="71">
        <f>F9*8*2</f>
        <v>16</v>
      </c>
      <c r="I9" s="109">
        <f>(D9-20)/2-10</f>
        <v>380</v>
      </c>
      <c r="J9" s="71">
        <f>F9*16</f>
        <v>16</v>
      </c>
      <c r="K9" s="66">
        <f t="shared" si="0"/>
        <v>1260</v>
      </c>
      <c r="L9" s="101">
        <v>4</v>
      </c>
      <c r="M9" s="66">
        <f t="shared" ref="M9:M11" si="2">D9</f>
        <v>800</v>
      </c>
      <c r="N9" s="101">
        <v>4</v>
      </c>
      <c r="O9" s="62"/>
    </row>
    <row r="10" spans="1:15">
      <c r="A10" s="94" t="str">
        <f>'1. 소켓인수검사'!A14</f>
        <v>06</v>
      </c>
      <c r="B10" s="100" t="s">
        <v>51</v>
      </c>
      <c r="C10" s="40">
        <f>'1. 소켓인수검사'!C14</f>
        <v>1200</v>
      </c>
      <c r="D10" s="40">
        <f>'1. 소켓인수검사'!D14</f>
        <v>800</v>
      </c>
      <c r="E10" s="41"/>
      <c r="F10" s="40">
        <v>1</v>
      </c>
      <c r="G10" s="65">
        <f t="shared" si="1"/>
        <v>580</v>
      </c>
      <c r="H10" s="71">
        <f t="shared" ref="H10:H11" si="3">F10*8*2</f>
        <v>16</v>
      </c>
      <c r="I10" s="109">
        <f>(D10-20)/2-10</f>
        <v>380</v>
      </c>
      <c r="J10" s="71">
        <f t="shared" ref="J10:J11" si="4">F10*16</f>
        <v>16</v>
      </c>
      <c r="K10" s="66">
        <f t="shared" si="0"/>
        <v>1260</v>
      </c>
      <c r="L10" s="101">
        <v>4</v>
      </c>
      <c r="M10" s="66">
        <f t="shared" si="2"/>
        <v>800</v>
      </c>
      <c r="N10" s="101">
        <v>4</v>
      </c>
      <c r="O10" s="62"/>
    </row>
    <row r="11" spans="1:15">
      <c r="A11" s="94" t="str">
        <f>'1. 소켓인수검사'!A15</f>
        <v>07</v>
      </c>
      <c r="B11" s="100" t="s">
        <v>51</v>
      </c>
      <c r="C11" s="40">
        <f>'1. 소켓인수검사'!C15</f>
        <v>1200</v>
      </c>
      <c r="D11" s="40">
        <f>'1. 소켓인수검사'!D15</f>
        <v>800</v>
      </c>
      <c r="E11" s="41"/>
      <c r="F11" s="40">
        <v>1</v>
      </c>
      <c r="G11" s="65">
        <f t="shared" si="1"/>
        <v>580</v>
      </c>
      <c r="H11" s="71">
        <f t="shared" si="3"/>
        <v>16</v>
      </c>
      <c r="I11" s="109">
        <f t="shared" ref="I11" si="5">(D11-20)/2-10</f>
        <v>380</v>
      </c>
      <c r="J11" s="71">
        <f t="shared" si="4"/>
        <v>16</v>
      </c>
      <c r="K11" s="66">
        <f t="shared" si="0"/>
        <v>1260</v>
      </c>
      <c r="L11" s="101">
        <v>4</v>
      </c>
      <c r="M11" s="66">
        <f t="shared" si="2"/>
        <v>800</v>
      </c>
      <c r="N11" s="101">
        <v>4</v>
      </c>
      <c r="O11" s="62"/>
    </row>
    <row r="12" spans="1:15">
      <c r="A12" s="178"/>
      <c r="B12" s="179"/>
      <c r="C12" s="179"/>
      <c r="D12" s="102"/>
      <c r="E12" s="103"/>
      <c r="F12" s="103"/>
      <c r="G12" s="104"/>
      <c r="H12" s="67">
        <f>SUM(H8:H11)</f>
        <v>64</v>
      </c>
      <c r="I12" s="104"/>
      <c r="J12" s="67">
        <f>SUM(J8:J11)</f>
        <v>64</v>
      </c>
      <c r="K12" s="102"/>
      <c r="L12" s="67">
        <f>SUM(L8:L11)</f>
        <v>16</v>
      </c>
      <c r="M12" s="102"/>
      <c r="N12" s="67">
        <f>SUM(N8:N11)</f>
        <v>16</v>
      </c>
      <c r="O12" s="68"/>
    </row>
    <row r="13" spans="1:15" ht="8.1" customHeight="1">
      <c r="A13" s="169"/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1"/>
      <c r="O13" s="4"/>
    </row>
    <row r="14" spans="1:15">
      <c r="A14" s="128" t="s">
        <v>18</v>
      </c>
      <c r="B14" s="128"/>
      <c r="C14" s="128"/>
      <c r="D14" s="169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1"/>
    </row>
    <row r="15" spans="1:15">
      <c r="A15" s="128"/>
      <c r="B15" s="128"/>
      <c r="C15" s="128"/>
      <c r="D15" s="172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4"/>
    </row>
    <row r="16" spans="1:15">
      <c r="A16" s="128"/>
      <c r="B16" s="128"/>
      <c r="C16" s="128"/>
      <c r="D16" s="172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4"/>
    </row>
    <row r="17" spans="1:15">
      <c r="A17" s="128"/>
      <c r="B17" s="128"/>
      <c r="C17" s="128"/>
      <c r="D17" s="172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4"/>
    </row>
    <row r="18" spans="1:15">
      <c r="A18" s="128"/>
      <c r="B18" s="128"/>
      <c r="C18" s="128"/>
      <c r="D18" s="172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4"/>
    </row>
    <row r="19" spans="1:15">
      <c r="A19" s="128"/>
      <c r="B19" s="128"/>
      <c r="C19" s="128"/>
      <c r="D19" s="175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7"/>
    </row>
  </sheetData>
  <mergeCells count="22">
    <mergeCell ref="E1:G3"/>
    <mergeCell ref="H1:O3"/>
    <mergeCell ref="A1:D3"/>
    <mergeCell ref="A4:N4"/>
    <mergeCell ref="A5:A7"/>
    <mergeCell ref="B5:B7"/>
    <mergeCell ref="C5:D5"/>
    <mergeCell ref="E5:E7"/>
    <mergeCell ref="F5:F7"/>
    <mergeCell ref="G5:J5"/>
    <mergeCell ref="K5:N5"/>
    <mergeCell ref="O5:O7"/>
    <mergeCell ref="C6:C7"/>
    <mergeCell ref="D6:D7"/>
    <mergeCell ref="G6:H6"/>
    <mergeCell ref="I6:J6"/>
    <mergeCell ref="K6:L6"/>
    <mergeCell ref="M6:N6"/>
    <mergeCell ref="A14:C19"/>
    <mergeCell ref="D14:O19"/>
    <mergeCell ref="A12:C12"/>
    <mergeCell ref="A13:N13"/>
  </mergeCells>
  <phoneticPr fontId="27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17"/>
  <sheetViews>
    <sheetView zoomScaleNormal="100" zoomScaleSheetLayoutView="100" workbookViewId="0">
      <selection activeCell="N23" sqref="N23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28"/>
      <c r="B1" s="128"/>
      <c r="C1" s="128"/>
      <c r="D1" s="128"/>
      <c r="E1" s="128" t="s">
        <v>88</v>
      </c>
      <c r="F1" s="203"/>
      <c r="G1" s="208" t="str">
        <f>'1. 소켓인수검사'!R2</f>
        <v>26.06.25 하나로_충남 서산시 해미면 지에이치내츄럴</v>
      </c>
      <c r="H1" s="208"/>
      <c r="I1" s="208"/>
      <c r="J1" s="208"/>
      <c r="K1" s="209"/>
    </row>
    <row r="2" spans="1:11" ht="16.5" customHeight="1">
      <c r="A2" s="128"/>
      <c r="B2" s="128"/>
      <c r="C2" s="128"/>
      <c r="D2" s="128"/>
      <c r="E2" s="204"/>
      <c r="F2" s="205"/>
      <c r="G2" s="210"/>
      <c r="H2" s="210"/>
      <c r="I2" s="210"/>
      <c r="J2" s="210"/>
      <c r="K2" s="211"/>
    </row>
    <row r="3" spans="1:11" ht="16.5" customHeight="1">
      <c r="A3" s="128"/>
      <c r="B3" s="128"/>
      <c r="C3" s="128"/>
      <c r="D3" s="128"/>
      <c r="E3" s="206"/>
      <c r="F3" s="207"/>
      <c r="G3" s="212"/>
      <c r="H3" s="212"/>
      <c r="I3" s="212"/>
      <c r="J3" s="212"/>
      <c r="K3" s="213"/>
    </row>
    <row r="4" spans="1:11" ht="8.1" customHeight="1">
      <c r="A4" s="176"/>
      <c r="B4" s="176"/>
      <c r="C4" s="176"/>
      <c r="D4" s="176"/>
      <c r="E4" s="176"/>
      <c r="F4" s="176"/>
      <c r="G4" s="176"/>
      <c r="H4" s="176"/>
      <c r="I4" s="176"/>
      <c r="J4" s="176"/>
      <c r="K4" s="176"/>
    </row>
    <row r="5" spans="1:11" ht="26.45" customHeight="1">
      <c r="A5" s="214" t="s">
        <v>61</v>
      </c>
      <c r="B5" s="215" t="s">
        <v>71</v>
      </c>
      <c r="C5" s="200" t="s">
        <v>4</v>
      </c>
      <c r="D5" s="200"/>
      <c r="E5" s="200" t="s">
        <v>27</v>
      </c>
      <c r="F5" s="218" t="s">
        <v>59</v>
      </c>
      <c r="G5" s="201" t="s">
        <v>37</v>
      </c>
      <c r="H5" s="202"/>
      <c r="I5" s="202"/>
      <c r="J5" s="202"/>
      <c r="K5" s="218" t="s">
        <v>2</v>
      </c>
    </row>
    <row r="6" spans="1:11" ht="16.5" customHeight="1">
      <c r="A6" s="214"/>
      <c r="B6" s="216"/>
      <c r="C6" s="200" t="s">
        <v>68</v>
      </c>
      <c r="D6" s="200" t="s">
        <v>66</v>
      </c>
      <c r="E6" s="200"/>
      <c r="F6" s="219"/>
      <c r="G6" s="200" t="s">
        <v>70</v>
      </c>
      <c r="H6" s="200"/>
      <c r="I6" s="201" t="s">
        <v>67</v>
      </c>
      <c r="J6" s="202"/>
      <c r="K6" s="219"/>
    </row>
    <row r="7" spans="1:11">
      <c r="A7" s="214"/>
      <c r="B7" s="217"/>
      <c r="C7" s="200"/>
      <c r="D7" s="200"/>
      <c r="E7" s="200"/>
      <c r="F7" s="220"/>
      <c r="G7" s="16" t="s">
        <v>4</v>
      </c>
      <c r="H7" s="16" t="s">
        <v>59</v>
      </c>
      <c r="I7" s="16" t="s">
        <v>4</v>
      </c>
      <c r="J7" s="17" t="s">
        <v>59</v>
      </c>
      <c r="K7" s="220"/>
    </row>
    <row r="8" spans="1:11">
      <c r="A8" s="92" t="str">
        <f>'1. 소켓인수검사'!A9</f>
        <v>01</v>
      </c>
      <c r="B8" s="61" t="s">
        <v>17</v>
      </c>
      <c r="C8" s="56">
        <f>'1. 소켓인수검사'!C9</f>
        <v>500</v>
      </c>
      <c r="D8" s="56">
        <f>'1. 소켓인수검사'!D9</f>
        <v>400</v>
      </c>
      <c r="E8" s="57"/>
      <c r="F8" s="56">
        <v>1</v>
      </c>
      <c r="G8" s="93">
        <f t="shared" ref="G8:G10" si="0">C8+60</f>
        <v>560</v>
      </c>
      <c r="H8" s="56">
        <v>2</v>
      </c>
      <c r="I8" s="93">
        <f>D8</f>
        <v>400</v>
      </c>
      <c r="J8" s="56">
        <v>2</v>
      </c>
      <c r="K8" s="59"/>
    </row>
    <row r="9" spans="1:11">
      <c r="A9" s="94" t="str">
        <f>'1. 소켓인수검사'!A10</f>
        <v>02</v>
      </c>
      <c r="B9" s="61" t="s">
        <v>17</v>
      </c>
      <c r="C9" s="40">
        <f>'1. 소켓인수검사'!C10</f>
        <v>700</v>
      </c>
      <c r="D9" s="40">
        <f>'1. 소켓인수검사'!D10</f>
        <v>400</v>
      </c>
      <c r="E9" s="41"/>
      <c r="F9" s="40">
        <v>1</v>
      </c>
      <c r="G9" s="63">
        <f t="shared" si="0"/>
        <v>760</v>
      </c>
      <c r="H9" s="40">
        <v>2</v>
      </c>
      <c r="I9" s="63">
        <f t="shared" ref="I9:I10" si="1">D9</f>
        <v>400</v>
      </c>
      <c r="J9" s="40">
        <v>2</v>
      </c>
      <c r="K9" s="62"/>
    </row>
    <row r="10" spans="1:11">
      <c r="A10" s="94" t="str">
        <f>'1. 소켓인수검사'!A11</f>
        <v>03</v>
      </c>
      <c r="B10" s="61" t="s">
        <v>17</v>
      </c>
      <c r="C10" s="40">
        <f>'1. 소켓인수검사'!C11</f>
        <v>800</v>
      </c>
      <c r="D10" s="40">
        <f>'1. 소켓인수검사'!D11</f>
        <v>450</v>
      </c>
      <c r="E10" s="41"/>
      <c r="F10" s="40">
        <v>1</v>
      </c>
      <c r="G10" s="63">
        <f t="shared" si="0"/>
        <v>860</v>
      </c>
      <c r="H10" s="40">
        <v>2</v>
      </c>
      <c r="I10" s="63">
        <f t="shared" si="1"/>
        <v>450</v>
      </c>
      <c r="J10" s="40">
        <v>2</v>
      </c>
      <c r="K10" s="62"/>
    </row>
    <row r="11" spans="1:11">
      <c r="A11" s="94" t="str">
        <f>'1. 소켓인수검사'!A12</f>
        <v>04</v>
      </c>
      <c r="B11" s="64" t="s">
        <v>51</v>
      </c>
      <c r="C11" s="40">
        <f>'1. 소켓인수검사'!C12</f>
        <v>1200</v>
      </c>
      <c r="D11" s="40">
        <f>'1. 소켓인수검사'!D12</f>
        <v>800</v>
      </c>
      <c r="E11" s="41"/>
      <c r="F11" s="40">
        <v>1</v>
      </c>
      <c r="G11" s="63">
        <f t="shared" ref="G11:G14" si="2">C11+60</f>
        <v>1260</v>
      </c>
      <c r="H11" s="40">
        <v>2</v>
      </c>
      <c r="I11" s="63">
        <f t="shared" ref="I11:I14" si="3">D11</f>
        <v>800</v>
      </c>
      <c r="J11" s="40">
        <v>2</v>
      </c>
      <c r="K11" s="62"/>
    </row>
    <row r="12" spans="1:11">
      <c r="A12" s="94" t="str">
        <f>'1. 소켓인수검사'!A13</f>
        <v>05</v>
      </c>
      <c r="B12" s="64" t="s">
        <v>51</v>
      </c>
      <c r="C12" s="40">
        <f>'1. 소켓인수검사'!C13</f>
        <v>1200</v>
      </c>
      <c r="D12" s="40">
        <f>'1. 소켓인수검사'!D13</f>
        <v>800</v>
      </c>
      <c r="E12" s="41"/>
      <c r="F12" s="40">
        <v>1</v>
      </c>
      <c r="G12" s="63">
        <f t="shared" si="2"/>
        <v>1260</v>
      </c>
      <c r="H12" s="40">
        <v>2</v>
      </c>
      <c r="I12" s="63">
        <f t="shared" si="3"/>
        <v>800</v>
      </c>
      <c r="J12" s="40">
        <v>2</v>
      </c>
      <c r="K12" s="62"/>
    </row>
    <row r="13" spans="1:11">
      <c r="A13" s="94" t="str">
        <f>'1. 소켓인수검사'!A14</f>
        <v>06</v>
      </c>
      <c r="B13" s="64" t="s">
        <v>51</v>
      </c>
      <c r="C13" s="40">
        <f>'1. 소켓인수검사'!C14</f>
        <v>1200</v>
      </c>
      <c r="D13" s="40">
        <f>'1. 소켓인수검사'!D14</f>
        <v>800</v>
      </c>
      <c r="E13" s="41"/>
      <c r="F13" s="40">
        <v>1</v>
      </c>
      <c r="G13" s="63">
        <f t="shared" si="2"/>
        <v>1260</v>
      </c>
      <c r="H13" s="40">
        <v>2</v>
      </c>
      <c r="I13" s="63">
        <f t="shared" si="3"/>
        <v>800</v>
      </c>
      <c r="J13" s="40">
        <v>2</v>
      </c>
      <c r="K13" s="62"/>
    </row>
    <row r="14" spans="1:11">
      <c r="A14" s="95" t="str">
        <f>'1. 소켓인수검사'!A15</f>
        <v>07</v>
      </c>
      <c r="B14" s="126" t="s">
        <v>51</v>
      </c>
      <c r="C14" s="51">
        <f>'1. 소켓인수검사'!C15</f>
        <v>1200</v>
      </c>
      <c r="D14" s="51">
        <f>'1. 소켓인수검사'!D15</f>
        <v>800</v>
      </c>
      <c r="E14" s="52"/>
      <c r="F14" s="51">
        <v>1</v>
      </c>
      <c r="G14" s="96">
        <f t="shared" si="2"/>
        <v>1260</v>
      </c>
      <c r="H14" s="51">
        <v>2</v>
      </c>
      <c r="I14" s="96">
        <f t="shared" si="3"/>
        <v>800</v>
      </c>
      <c r="J14" s="51">
        <v>2</v>
      </c>
      <c r="K14" s="97"/>
    </row>
    <row r="15" spans="1:11">
      <c r="A15" s="128" t="s">
        <v>49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</row>
    <row r="16" spans="1:11">
      <c r="A16" s="128"/>
      <c r="B16" s="128"/>
      <c r="C16" s="128"/>
      <c r="D16" s="128"/>
      <c r="E16" s="128"/>
      <c r="F16" s="128"/>
      <c r="G16" s="128"/>
      <c r="H16" s="128"/>
      <c r="I16" s="128"/>
      <c r="J16" s="128"/>
      <c r="K16" s="128"/>
    </row>
    <row r="17" spans="1:11">
      <c r="A17" s="128"/>
      <c r="B17" s="128"/>
      <c r="C17" s="128"/>
      <c r="D17" s="128"/>
      <c r="E17" s="128"/>
      <c r="F17" s="128"/>
      <c r="G17" s="128"/>
      <c r="H17" s="128"/>
      <c r="I17" s="128"/>
      <c r="J17" s="128"/>
      <c r="K17" s="128"/>
    </row>
  </sheetData>
  <mergeCells count="17">
    <mergeCell ref="D6:D7"/>
    <mergeCell ref="G6:H6"/>
    <mergeCell ref="I6:J6"/>
    <mergeCell ref="E1:F3"/>
    <mergeCell ref="G1:K3"/>
    <mergeCell ref="A15:C17"/>
    <mergeCell ref="D15:K17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</mergeCells>
  <phoneticPr fontId="27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18"/>
  <sheetViews>
    <sheetView zoomScaleNormal="100" zoomScaleSheetLayoutView="100" workbookViewId="0">
      <selection activeCell="O23" sqref="O23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28"/>
      <c r="B1" s="128"/>
      <c r="C1" s="128"/>
      <c r="D1" s="128"/>
      <c r="E1" s="230" t="s">
        <v>75</v>
      </c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2"/>
    </row>
    <row r="2" spans="1:16" ht="16.5" customHeight="1">
      <c r="A2" s="128"/>
      <c r="B2" s="128"/>
      <c r="C2" s="128"/>
      <c r="D2" s="128"/>
      <c r="E2" s="233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5"/>
    </row>
    <row r="3" spans="1:16" ht="16.5" customHeight="1">
      <c r="A3" s="128"/>
      <c r="B3" s="128"/>
      <c r="C3" s="128"/>
      <c r="D3" s="128"/>
      <c r="E3" s="233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5"/>
    </row>
    <row r="4" spans="1:16" ht="16.5" customHeight="1">
      <c r="A4" s="128" t="s">
        <v>19</v>
      </c>
      <c r="B4" s="128"/>
      <c r="C4" s="239"/>
      <c r="D4" s="240"/>
      <c r="E4" s="236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8"/>
    </row>
    <row r="5" spans="1:16">
      <c r="A5" s="128" t="s">
        <v>29</v>
      </c>
      <c r="B5" s="128"/>
      <c r="C5" s="128"/>
      <c r="D5" s="128"/>
      <c r="E5" s="6" t="s">
        <v>35</v>
      </c>
      <c r="F5" s="128"/>
      <c r="G5" s="128"/>
      <c r="H5" s="128" t="s">
        <v>64</v>
      </c>
      <c r="I5" s="128"/>
      <c r="J5" s="128"/>
      <c r="K5" s="128" t="s">
        <v>60</v>
      </c>
      <c r="L5" s="128"/>
      <c r="M5" s="128"/>
      <c r="N5" s="241" t="str">
        <f>'1. 소켓인수검사'!R2</f>
        <v>26.06.25 하나로_충남 서산시 해미면 지에이치내츄럴</v>
      </c>
      <c r="O5" s="241"/>
      <c r="P5" s="241"/>
    </row>
    <row r="6" spans="1:16">
      <c r="A6" s="128"/>
      <c r="B6" s="128"/>
      <c r="C6" s="128"/>
      <c r="D6" s="128"/>
      <c r="E6" s="6" t="s">
        <v>32</v>
      </c>
      <c r="F6" s="128"/>
      <c r="G6" s="128"/>
      <c r="H6" s="128"/>
      <c r="I6" s="128"/>
      <c r="J6" s="128"/>
      <c r="K6" s="128"/>
      <c r="L6" s="128"/>
      <c r="M6" s="128"/>
      <c r="N6" s="241"/>
      <c r="O6" s="241"/>
      <c r="P6" s="241"/>
    </row>
    <row r="7" spans="1:16" ht="8.1" customHeight="1">
      <c r="A7" s="156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</row>
    <row r="8" spans="1:16">
      <c r="A8" s="224" t="s">
        <v>61</v>
      </c>
      <c r="B8" s="226" t="s">
        <v>4</v>
      </c>
      <c r="C8" s="226"/>
      <c r="D8" s="226" t="s">
        <v>31</v>
      </c>
      <c r="E8" s="226" t="s">
        <v>27</v>
      </c>
      <c r="F8" s="226" t="s">
        <v>65</v>
      </c>
      <c r="G8" s="226" t="s">
        <v>30</v>
      </c>
      <c r="H8" s="226"/>
      <c r="I8" s="226"/>
      <c r="J8" s="226"/>
      <c r="K8" s="226"/>
      <c r="L8" s="226"/>
      <c r="M8" s="226"/>
      <c r="N8" s="226"/>
      <c r="O8" s="226"/>
      <c r="P8" s="228" t="s">
        <v>2</v>
      </c>
    </row>
    <row r="9" spans="1:16" ht="16.5" customHeight="1">
      <c r="A9" s="225"/>
      <c r="B9" s="227" t="s">
        <v>68</v>
      </c>
      <c r="C9" s="227" t="s">
        <v>66</v>
      </c>
      <c r="D9" s="227"/>
      <c r="E9" s="227"/>
      <c r="F9" s="227"/>
      <c r="G9" s="227" t="s">
        <v>62</v>
      </c>
      <c r="H9" s="227" t="s">
        <v>68</v>
      </c>
      <c r="I9" s="227"/>
      <c r="J9" s="227" t="s">
        <v>11</v>
      </c>
      <c r="K9" s="227" t="s">
        <v>66</v>
      </c>
      <c r="L9" s="227"/>
      <c r="M9" s="227"/>
      <c r="N9" s="227"/>
      <c r="O9" s="227" t="s">
        <v>11</v>
      </c>
      <c r="P9" s="229"/>
    </row>
    <row r="10" spans="1:16">
      <c r="A10" s="225"/>
      <c r="B10" s="227"/>
      <c r="C10" s="227"/>
      <c r="D10" s="227"/>
      <c r="E10" s="227"/>
      <c r="F10" s="227"/>
      <c r="G10" s="227"/>
      <c r="H10" s="30" t="s">
        <v>4</v>
      </c>
      <c r="I10" s="30" t="s">
        <v>34</v>
      </c>
      <c r="J10" s="227"/>
      <c r="K10" s="227" t="s">
        <v>4</v>
      </c>
      <c r="L10" s="227"/>
      <c r="M10" s="227"/>
      <c r="N10" s="30" t="s">
        <v>34</v>
      </c>
      <c r="O10" s="227"/>
      <c r="P10" s="229"/>
    </row>
    <row r="11" spans="1:16">
      <c r="A11" s="29" t="str">
        <f>'1. 소켓인수검사'!A9</f>
        <v>01</v>
      </c>
      <c r="B11" s="32">
        <f>'1. 소켓인수검사'!C9</f>
        <v>500</v>
      </c>
      <c r="C11" s="32">
        <f>'1. 소켓인수검사'!D9</f>
        <v>400</v>
      </c>
      <c r="D11" s="33">
        <v>1</v>
      </c>
      <c r="E11" s="34"/>
      <c r="F11" s="33">
        <v>1.6</v>
      </c>
      <c r="G11" s="33"/>
      <c r="H11" s="33">
        <f>B11-1</f>
        <v>499</v>
      </c>
      <c r="I11" s="33">
        <f t="shared" ref="I11:I12" si="0">D11*4</f>
        <v>4</v>
      </c>
      <c r="J11" s="33"/>
      <c r="K11" s="221">
        <f t="shared" ref="K11:K12" si="1">C11-30</f>
        <v>370</v>
      </c>
      <c r="L11" s="221"/>
      <c r="M11" s="221"/>
      <c r="N11" s="33">
        <f t="shared" ref="N11:N12" si="2">D11*4</f>
        <v>4</v>
      </c>
      <c r="O11" s="33"/>
      <c r="P11" s="35"/>
    </row>
    <row r="12" spans="1:16">
      <c r="A12" s="29" t="str">
        <f>'1. 소켓인수검사'!A10</f>
        <v>02</v>
      </c>
      <c r="B12" s="32">
        <f>'1. 소켓인수검사'!C10</f>
        <v>700</v>
      </c>
      <c r="C12" s="32">
        <f>'1. 소켓인수검사'!D10</f>
        <v>400</v>
      </c>
      <c r="D12" s="33">
        <v>1</v>
      </c>
      <c r="E12" s="34"/>
      <c r="F12" s="33">
        <v>1.6</v>
      </c>
      <c r="G12" s="33"/>
      <c r="H12" s="33">
        <f t="shared" ref="H12" si="3">B12-1</f>
        <v>699</v>
      </c>
      <c r="I12" s="33">
        <f t="shared" si="0"/>
        <v>4</v>
      </c>
      <c r="J12" s="33"/>
      <c r="K12" s="221">
        <f t="shared" si="1"/>
        <v>370</v>
      </c>
      <c r="L12" s="221"/>
      <c r="M12" s="221"/>
      <c r="N12" s="33">
        <f t="shared" si="2"/>
        <v>4</v>
      </c>
      <c r="O12" s="33"/>
      <c r="P12" s="36"/>
    </row>
    <row r="13" spans="1:16">
      <c r="A13" s="29" t="str">
        <f>'1. 소켓인수검사'!A11</f>
        <v>03</v>
      </c>
      <c r="B13" s="32">
        <f>'1. 소켓인수검사'!C11</f>
        <v>800</v>
      </c>
      <c r="C13" s="32">
        <f>'1. 소켓인수검사'!D11</f>
        <v>450</v>
      </c>
      <c r="D13" s="33">
        <v>1</v>
      </c>
      <c r="E13" s="34"/>
      <c r="F13" s="33">
        <v>1.6</v>
      </c>
      <c r="G13" s="33"/>
      <c r="H13" s="33">
        <f t="shared" ref="H13" si="4">B13-1</f>
        <v>799</v>
      </c>
      <c r="I13" s="33">
        <f t="shared" ref="I13" si="5">D13*4</f>
        <v>4</v>
      </c>
      <c r="J13" s="33"/>
      <c r="K13" s="221">
        <f t="shared" ref="K13" si="6">C13-30</f>
        <v>420</v>
      </c>
      <c r="L13" s="221"/>
      <c r="M13" s="221"/>
      <c r="N13" s="33">
        <f t="shared" ref="N13" si="7">D13*4</f>
        <v>4</v>
      </c>
      <c r="O13" s="33"/>
      <c r="P13" s="36"/>
    </row>
    <row r="14" spans="1:16" ht="8.1" customHeight="1">
      <c r="A14" s="128"/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</row>
    <row r="15" spans="1:16">
      <c r="A15" s="222" t="s">
        <v>50</v>
      </c>
      <c r="B15" s="222"/>
      <c r="C15" s="223"/>
      <c r="D15" s="223"/>
      <c r="E15" s="223"/>
      <c r="F15" s="223"/>
      <c r="G15" s="223"/>
      <c r="H15" s="223"/>
      <c r="I15" s="223"/>
      <c r="J15" s="223"/>
      <c r="K15" s="223"/>
      <c r="L15" s="223"/>
      <c r="M15" s="223"/>
      <c r="N15" s="223"/>
      <c r="O15" s="223"/>
      <c r="P15" s="223"/>
    </row>
    <row r="16" spans="1:16">
      <c r="A16" s="222"/>
      <c r="B16" s="222"/>
      <c r="C16" s="223"/>
      <c r="D16" s="223"/>
      <c r="E16" s="223"/>
      <c r="F16" s="223"/>
      <c r="G16" s="223"/>
      <c r="H16" s="223"/>
      <c r="I16" s="223"/>
      <c r="J16" s="223"/>
      <c r="K16" s="223"/>
      <c r="L16" s="223"/>
      <c r="M16" s="223"/>
      <c r="N16" s="223"/>
      <c r="O16" s="223"/>
      <c r="P16" s="223"/>
    </row>
    <row r="17" spans="1:16">
      <c r="A17" s="222"/>
      <c r="B17" s="222"/>
      <c r="C17" s="223"/>
      <c r="D17" s="223"/>
      <c r="E17" s="223"/>
      <c r="F17" s="223"/>
      <c r="G17" s="223"/>
      <c r="H17" s="223"/>
      <c r="I17" s="223"/>
      <c r="J17" s="223"/>
      <c r="K17" s="223"/>
      <c r="L17" s="223"/>
      <c r="M17" s="223"/>
      <c r="N17" s="223"/>
      <c r="O17" s="223"/>
      <c r="P17" s="223"/>
    </row>
    <row r="18" spans="1:16">
      <c r="A18" s="222"/>
      <c r="B18" s="222"/>
      <c r="C18" s="223"/>
      <c r="D18" s="223"/>
      <c r="E18" s="223"/>
      <c r="F18" s="223"/>
      <c r="G18" s="223"/>
      <c r="H18" s="223"/>
      <c r="I18" s="223"/>
      <c r="J18" s="223"/>
      <c r="K18" s="223"/>
      <c r="L18" s="223"/>
      <c r="M18" s="223"/>
      <c r="N18" s="223"/>
      <c r="O18" s="223"/>
      <c r="P18" s="223"/>
    </row>
  </sheetData>
  <mergeCells count="34"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K11:M11"/>
    <mergeCell ref="K12:M12"/>
    <mergeCell ref="K13:M13"/>
    <mergeCell ref="A14:P14"/>
    <mergeCell ref="A15:B18"/>
    <mergeCell ref="C15:P18"/>
  </mergeCells>
  <phoneticPr fontId="27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P21"/>
  <sheetViews>
    <sheetView showGridLines="0" zoomScaleNormal="100" zoomScaleSheetLayoutView="100" workbookViewId="0">
      <selection activeCell="H26" sqref="H26"/>
    </sheetView>
  </sheetViews>
  <sheetFormatPr defaultColWidth="9" defaultRowHeight="16.5"/>
  <cols>
    <col min="1" max="1" width="3.625" style="5" customWidth="1"/>
    <col min="2" max="3" width="9.625" style="5" customWidth="1"/>
    <col min="4" max="4" width="6.875" style="5" customWidth="1"/>
    <col min="5" max="5" width="19" style="5" bestFit="1" customWidth="1"/>
    <col min="6" max="6" width="6.375" style="5" customWidth="1"/>
    <col min="7" max="7" width="6.125" style="5" customWidth="1"/>
    <col min="8" max="9" width="9.625" style="5" customWidth="1"/>
    <col min="10" max="10" width="7.1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28"/>
      <c r="B1" s="128"/>
      <c r="C1" s="128"/>
      <c r="D1" s="128"/>
      <c r="E1" s="253" t="s">
        <v>76</v>
      </c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5"/>
    </row>
    <row r="2" spans="1:16" ht="16.5" customHeight="1">
      <c r="A2" s="128"/>
      <c r="B2" s="128"/>
      <c r="C2" s="128"/>
      <c r="D2" s="128"/>
      <c r="E2" s="256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8"/>
    </row>
    <row r="3" spans="1:16" ht="16.5" customHeight="1">
      <c r="A3" s="128"/>
      <c r="B3" s="128"/>
      <c r="C3" s="128"/>
      <c r="D3" s="128"/>
      <c r="E3" s="256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8"/>
    </row>
    <row r="4" spans="1:16" ht="16.5" customHeight="1">
      <c r="A4" s="128" t="s">
        <v>19</v>
      </c>
      <c r="B4" s="128"/>
      <c r="C4" s="128"/>
      <c r="D4" s="128"/>
      <c r="E4" s="259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1"/>
    </row>
    <row r="5" spans="1:16" ht="16.5" customHeight="1">
      <c r="A5" s="128" t="s">
        <v>29</v>
      </c>
      <c r="B5" s="128"/>
      <c r="C5" s="128"/>
      <c r="D5" s="128"/>
      <c r="E5" s="6" t="s">
        <v>35</v>
      </c>
      <c r="F5" s="128"/>
      <c r="G5" s="128"/>
      <c r="H5" s="128" t="s">
        <v>64</v>
      </c>
      <c r="I5" s="128"/>
      <c r="J5" s="128"/>
      <c r="K5" s="128" t="s">
        <v>60</v>
      </c>
      <c r="L5" s="128"/>
      <c r="M5" s="128"/>
      <c r="N5" s="252" t="str">
        <f>'1. 소켓인수검사'!R2</f>
        <v>26.06.25 하나로_충남 서산시 해미면 지에이치내츄럴</v>
      </c>
      <c r="O5" s="252"/>
      <c r="P5" s="252"/>
    </row>
    <row r="6" spans="1:16">
      <c r="A6" s="128"/>
      <c r="B6" s="128"/>
      <c r="C6" s="128"/>
      <c r="D6" s="128"/>
      <c r="E6" s="6" t="s">
        <v>32</v>
      </c>
      <c r="F6" s="128"/>
      <c r="G6" s="128"/>
      <c r="H6" s="128"/>
      <c r="I6" s="128"/>
      <c r="J6" s="128"/>
      <c r="K6" s="128"/>
      <c r="L6" s="128"/>
      <c r="M6" s="128"/>
      <c r="N6" s="252"/>
      <c r="O6" s="252"/>
      <c r="P6" s="252"/>
    </row>
    <row r="7" spans="1:16" ht="8.1" customHeight="1">
      <c r="A7" s="262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263"/>
    </row>
    <row r="8" spans="1:16" ht="21" customHeight="1">
      <c r="A8" s="128" t="s">
        <v>61</v>
      </c>
      <c r="B8" s="246" t="s">
        <v>4</v>
      </c>
      <c r="C8" s="246"/>
      <c r="D8" s="246" t="s">
        <v>31</v>
      </c>
      <c r="E8" s="246" t="s">
        <v>27</v>
      </c>
      <c r="F8" s="246" t="s">
        <v>65</v>
      </c>
      <c r="G8" s="265" t="s">
        <v>30</v>
      </c>
      <c r="H8" s="266"/>
      <c r="I8" s="266"/>
      <c r="J8" s="266"/>
      <c r="K8" s="266"/>
      <c r="L8" s="266"/>
      <c r="M8" s="266"/>
      <c r="N8" s="266"/>
      <c r="O8" s="267"/>
      <c r="P8" s="246" t="s">
        <v>2</v>
      </c>
    </row>
    <row r="9" spans="1:16" ht="21" customHeight="1">
      <c r="A9" s="128"/>
      <c r="B9" s="265" t="s">
        <v>68</v>
      </c>
      <c r="C9" s="246" t="s">
        <v>66</v>
      </c>
      <c r="D9" s="246"/>
      <c r="E9" s="246"/>
      <c r="F9" s="246"/>
      <c r="G9" s="246" t="s">
        <v>62</v>
      </c>
      <c r="H9" s="246" t="s">
        <v>68</v>
      </c>
      <c r="I9" s="246"/>
      <c r="J9" s="247" t="s">
        <v>11</v>
      </c>
      <c r="K9" s="246" t="s">
        <v>66</v>
      </c>
      <c r="L9" s="246"/>
      <c r="M9" s="246"/>
      <c r="N9" s="246"/>
      <c r="O9" s="247" t="s">
        <v>11</v>
      </c>
      <c r="P9" s="246"/>
    </row>
    <row r="10" spans="1:16" ht="21" customHeight="1">
      <c r="A10" s="264"/>
      <c r="B10" s="268"/>
      <c r="C10" s="247"/>
      <c r="D10" s="247"/>
      <c r="E10" s="247"/>
      <c r="F10" s="247"/>
      <c r="G10" s="247"/>
      <c r="H10" s="23" t="s">
        <v>4</v>
      </c>
      <c r="I10" s="23" t="s">
        <v>34</v>
      </c>
      <c r="J10" s="248"/>
      <c r="K10" s="249" t="s">
        <v>4</v>
      </c>
      <c r="L10" s="250"/>
      <c r="M10" s="251"/>
      <c r="N10" s="24" t="s">
        <v>34</v>
      </c>
      <c r="O10" s="248"/>
      <c r="P10" s="247"/>
    </row>
    <row r="11" spans="1:16" ht="16.5" customHeight="1">
      <c r="A11" s="55" t="str">
        <f>'1. 소켓인수검사'!A12</f>
        <v>04</v>
      </c>
      <c r="B11" s="56">
        <f>'1. 소켓인수검사'!C12</f>
        <v>1200</v>
      </c>
      <c r="C11" s="56">
        <f>'1. 소켓인수검사'!D12</f>
        <v>800</v>
      </c>
      <c r="D11" s="58">
        <v>1</v>
      </c>
      <c r="E11" s="57"/>
      <c r="F11" s="72" t="s">
        <v>53</v>
      </c>
      <c r="G11" s="58" t="s">
        <v>52</v>
      </c>
      <c r="H11" s="69">
        <f>(B11-30)/2-1</f>
        <v>584</v>
      </c>
      <c r="I11" s="58">
        <f>D11*8*2</f>
        <v>16</v>
      </c>
      <c r="J11" s="58"/>
      <c r="K11" s="244">
        <f>(C11-20)/2-10-1</f>
        <v>379</v>
      </c>
      <c r="L11" s="244"/>
      <c r="M11" s="244"/>
      <c r="N11" s="58">
        <f>D11*16*2</f>
        <v>32</v>
      </c>
      <c r="O11" s="58"/>
      <c r="P11" s="70"/>
    </row>
    <row r="12" spans="1:16">
      <c r="A12" s="60" t="str">
        <f>'1. 소켓인수검사'!A13</f>
        <v>05</v>
      </c>
      <c r="B12" s="40">
        <f>'1. 소켓인수검사'!C13</f>
        <v>1200</v>
      </c>
      <c r="C12" s="40">
        <f>'1. 소켓인수검사'!D13</f>
        <v>800</v>
      </c>
      <c r="D12" s="33">
        <v>1</v>
      </c>
      <c r="E12" s="41"/>
      <c r="F12" s="73"/>
      <c r="G12" s="33"/>
      <c r="H12" s="71">
        <f t="shared" ref="H12" si="0">(B12-30)/2-1</f>
        <v>584</v>
      </c>
      <c r="I12" s="33">
        <f>D12*8*2</f>
        <v>16</v>
      </c>
      <c r="J12" s="33"/>
      <c r="K12" s="245">
        <f>(C12-20)/2-10-1</f>
        <v>379</v>
      </c>
      <c r="L12" s="245"/>
      <c r="M12" s="245"/>
      <c r="N12" s="33">
        <f>D12*16*2</f>
        <v>32</v>
      </c>
      <c r="O12" s="33"/>
      <c r="P12" s="37"/>
    </row>
    <row r="13" spans="1:16">
      <c r="A13" s="60" t="str">
        <f>'1. 소켓인수검사'!A14</f>
        <v>06</v>
      </c>
      <c r="B13" s="40">
        <f>'1. 소켓인수검사'!C14</f>
        <v>1200</v>
      </c>
      <c r="C13" s="40">
        <f>'1. 소켓인수검사'!D14</f>
        <v>800</v>
      </c>
      <c r="D13" s="33">
        <v>1</v>
      </c>
      <c r="E13" s="41"/>
      <c r="F13" s="73"/>
      <c r="G13" s="33"/>
      <c r="H13" s="71">
        <f t="shared" ref="H13:H14" si="1">(B13-30)/2-1</f>
        <v>584</v>
      </c>
      <c r="I13" s="33">
        <f>D13*8*2</f>
        <v>16</v>
      </c>
      <c r="J13" s="33"/>
      <c r="K13" s="245">
        <f t="shared" ref="K13:K14" si="2">(C13-20)/2-10-1</f>
        <v>379</v>
      </c>
      <c r="L13" s="245"/>
      <c r="M13" s="245"/>
      <c r="N13" s="33">
        <f>D13*16*2</f>
        <v>32</v>
      </c>
      <c r="O13" s="33"/>
      <c r="P13" s="37"/>
    </row>
    <row r="14" spans="1:16">
      <c r="A14" s="60" t="str">
        <f>'1. 소켓인수검사'!A15</f>
        <v>07</v>
      </c>
      <c r="B14" s="40">
        <f>'1. 소켓인수검사'!C15</f>
        <v>1200</v>
      </c>
      <c r="C14" s="40">
        <f>'1. 소켓인수검사'!D15</f>
        <v>800</v>
      </c>
      <c r="D14" s="33">
        <v>1</v>
      </c>
      <c r="E14" s="41"/>
      <c r="F14" s="73"/>
      <c r="G14" s="33"/>
      <c r="H14" s="71">
        <f t="shared" si="1"/>
        <v>584</v>
      </c>
      <c r="I14" s="33">
        <f t="shared" ref="I14" si="3">D14*8*2</f>
        <v>16</v>
      </c>
      <c r="J14" s="33"/>
      <c r="K14" s="245">
        <f t="shared" si="2"/>
        <v>379</v>
      </c>
      <c r="L14" s="245"/>
      <c r="M14" s="245"/>
      <c r="N14" s="33">
        <f t="shared" ref="N14" si="4">D14*16*2</f>
        <v>32</v>
      </c>
      <c r="O14" s="33"/>
      <c r="P14" s="37"/>
    </row>
    <row r="15" spans="1:16" ht="8.1" customHeight="1">
      <c r="A15" s="242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243"/>
    </row>
    <row r="16" spans="1:16">
      <c r="A16" s="222" t="s">
        <v>50</v>
      </c>
      <c r="B16" s="222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</row>
    <row r="17" spans="1:16">
      <c r="A17" s="222"/>
      <c r="B17" s="222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</row>
    <row r="18" spans="1:16">
      <c r="A18" s="222"/>
      <c r="B18" s="222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</row>
    <row r="19" spans="1:16">
      <c r="A19" s="222"/>
      <c r="B19" s="222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</row>
    <row r="20" spans="1:16">
      <c r="A20" s="222"/>
      <c r="B20" s="222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</row>
    <row r="21" spans="1:16">
      <c r="A21" s="222"/>
      <c r="B21" s="222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</row>
  </sheetData>
  <mergeCells count="35">
    <mergeCell ref="P8:P10"/>
    <mergeCell ref="B9:B10"/>
    <mergeCell ref="C9:C10"/>
    <mergeCell ref="G9:G10"/>
    <mergeCell ref="H9:I9"/>
    <mergeCell ref="J9:J10"/>
    <mergeCell ref="O9:O10"/>
    <mergeCell ref="K10:M10"/>
    <mergeCell ref="A1:D3"/>
    <mergeCell ref="A4:B4"/>
    <mergeCell ref="C4:D4"/>
    <mergeCell ref="A5:B6"/>
    <mergeCell ref="C5:D6"/>
    <mergeCell ref="N5:P6"/>
    <mergeCell ref="F6:G6"/>
    <mergeCell ref="E1:P4"/>
    <mergeCell ref="A7:P7"/>
    <mergeCell ref="A8:A10"/>
    <mergeCell ref="B8:C8"/>
    <mergeCell ref="D8:D10"/>
    <mergeCell ref="E8:E10"/>
    <mergeCell ref="F8:F10"/>
    <mergeCell ref="F5:G5"/>
    <mergeCell ref="H5:H6"/>
    <mergeCell ref="I5:J6"/>
    <mergeCell ref="K5:M6"/>
    <mergeCell ref="K9:N9"/>
    <mergeCell ref="G8:O8"/>
    <mergeCell ref="A15:P15"/>
    <mergeCell ref="A16:B21"/>
    <mergeCell ref="C16:P21"/>
    <mergeCell ref="K11:M11"/>
    <mergeCell ref="K12:M12"/>
    <mergeCell ref="K13:M13"/>
    <mergeCell ref="K14:M14"/>
  </mergeCells>
  <phoneticPr fontId="27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Q21"/>
  <sheetViews>
    <sheetView showGridLines="0" zoomScaleNormal="100" zoomScaleSheetLayoutView="100" workbookViewId="0">
      <selection activeCell="A15" sqref="A15:XFD80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6.625" style="5" customWidth="1"/>
    <col min="6" max="6" width="6.75" style="5" customWidth="1"/>
    <col min="7" max="7" width="6.625" style="5" customWidth="1"/>
    <col min="8" max="9" width="9.625" style="5" customWidth="1"/>
    <col min="10" max="10" width="7.125" style="5" customWidth="1"/>
    <col min="11" max="11" width="6.625" style="5" customWidth="1"/>
    <col min="12" max="14" width="3" style="5" customWidth="1"/>
    <col min="15" max="17" width="9.75" style="5" customWidth="1"/>
    <col min="18" max="16384" width="9" style="5"/>
  </cols>
  <sheetData>
    <row r="1" spans="1:17" ht="16.5" customHeight="1">
      <c r="A1" s="128"/>
      <c r="B1" s="128"/>
      <c r="C1" s="128"/>
      <c r="D1" s="128"/>
      <c r="E1" s="253" t="s">
        <v>16</v>
      </c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5"/>
    </row>
    <row r="2" spans="1:17" ht="16.5" customHeight="1">
      <c r="A2" s="128"/>
      <c r="B2" s="128"/>
      <c r="C2" s="128"/>
      <c r="D2" s="128"/>
      <c r="E2" s="256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8"/>
    </row>
    <row r="3" spans="1:17" ht="16.5" customHeight="1">
      <c r="A3" s="128"/>
      <c r="B3" s="128"/>
      <c r="C3" s="128"/>
      <c r="D3" s="128"/>
      <c r="E3" s="256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8"/>
    </row>
    <row r="4" spans="1:17" ht="16.5" customHeight="1">
      <c r="A4" s="128" t="s">
        <v>19</v>
      </c>
      <c r="B4" s="128"/>
      <c r="C4" s="128"/>
      <c r="D4" s="128"/>
      <c r="E4" s="259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1"/>
    </row>
    <row r="5" spans="1:17" ht="16.5" customHeight="1">
      <c r="A5" s="128" t="s">
        <v>29</v>
      </c>
      <c r="B5" s="128"/>
      <c r="C5" s="128"/>
      <c r="D5" s="128"/>
      <c r="E5" s="6" t="s">
        <v>35</v>
      </c>
      <c r="F5" s="128"/>
      <c r="G5" s="128"/>
      <c r="H5" s="128" t="s">
        <v>64</v>
      </c>
      <c r="I5" s="128"/>
      <c r="J5" s="128"/>
      <c r="K5" s="242" t="s">
        <v>60</v>
      </c>
      <c r="L5" s="128"/>
      <c r="M5" s="128"/>
      <c r="N5" s="243"/>
      <c r="O5" s="252" t="str">
        <f>'1. 소켓인수검사'!R2</f>
        <v>26.06.25 하나로_충남 서산시 해미면 지에이치내츄럴</v>
      </c>
      <c r="P5" s="252"/>
      <c r="Q5" s="252"/>
    </row>
    <row r="6" spans="1:17">
      <c r="A6" s="128"/>
      <c r="B6" s="128"/>
      <c r="C6" s="128"/>
      <c r="D6" s="128"/>
      <c r="E6" s="6" t="s">
        <v>32</v>
      </c>
      <c r="F6" s="128"/>
      <c r="G6" s="128"/>
      <c r="H6" s="128"/>
      <c r="I6" s="128"/>
      <c r="J6" s="128"/>
      <c r="K6" s="262"/>
      <c r="L6" s="156"/>
      <c r="M6" s="156"/>
      <c r="N6" s="263"/>
      <c r="O6" s="252"/>
      <c r="P6" s="252"/>
      <c r="Q6" s="252"/>
    </row>
    <row r="7" spans="1:17" ht="8.1" customHeight="1">
      <c r="A7" s="262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263"/>
    </row>
    <row r="8" spans="1:17">
      <c r="A8" s="128" t="s">
        <v>61</v>
      </c>
      <c r="B8" s="246" t="s">
        <v>4</v>
      </c>
      <c r="C8" s="246"/>
      <c r="D8" s="246" t="s">
        <v>31</v>
      </c>
      <c r="E8" s="246" t="s">
        <v>27</v>
      </c>
      <c r="F8" s="246" t="s">
        <v>65</v>
      </c>
      <c r="G8" s="265" t="s">
        <v>30</v>
      </c>
      <c r="H8" s="266"/>
      <c r="I8" s="266"/>
      <c r="J8" s="266"/>
      <c r="K8" s="265"/>
      <c r="L8" s="266"/>
      <c r="M8" s="266"/>
      <c r="N8" s="266"/>
      <c r="O8" s="266"/>
      <c r="P8" s="267"/>
      <c r="Q8" s="246" t="s">
        <v>2</v>
      </c>
    </row>
    <row r="9" spans="1:17" ht="16.5" customHeight="1">
      <c r="A9" s="128"/>
      <c r="B9" s="265" t="s">
        <v>68</v>
      </c>
      <c r="C9" s="246" t="s">
        <v>66</v>
      </c>
      <c r="D9" s="246"/>
      <c r="E9" s="246"/>
      <c r="F9" s="246"/>
      <c r="G9" s="246" t="s">
        <v>62</v>
      </c>
      <c r="H9" s="246" t="s">
        <v>54</v>
      </c>
      <c r="I9" s="246"/>
      <c r="J9" s="247" t="s">
        <v>11</v>
      </c>
      <c r="K9" s="247" t="s">
        <v>62</v>
      </c>
      <c r="L9" s="246" t="s">
        <v>21</v>
      </c>
      <c r="M9" s="246"/>
      <c r="N9" s="246"/>
      <c r="O9" s="246"/>
      <c r="P9" s="247" t="s">
        <v>11</v>
      </c>
      <c r="Q9" s="246"/>
    </row>
    <row r="10" spans="1:17">
      <c r="A10" s="264"/>
      <c r="B10" s="268"/>
      <c r="C10" s="247"/>
      <c r="D10" s="247"/>
      <c r="E10" s="247"/>
      <c r="F10" s="247"/>
      <c r="G10" s="247"/>
      <c r="H10" s="23" t="s">
        <v>4</v>
      </c>
      <c r="I10" s="23" t="s">
        <v>34</v>
      </c>
      <c r="J10" s="248"/>
      <c r="K10" s="248"/>
      <c r="L10" s="249" t="s">
        <v>4</v>
      </c>
      <c r="M10" s="250"/>
      <c r="N10" s="251"/>
      <c r="O10" s="24" t="s">
        <v>34</v>
      </c>
      <c r="P10" s="248"/>
      <c r="Q10" s="247"/>
    </row>
    <row r="11" spans="1:17" ht="20.100000000000001" customHeight="1">
      <c r="A11" s="55" t="str">
        <f>'1. 소켓인수검사'!A12</f>
        <v>04</v>
      </c>
      <c r="B11" s="56">
        <f>'1. 소켓인수검사'!C12</f>
        <v>1200</v>
      </c>
      <c r="C11" s="56">
        <f>'1. 소켓인수검사'!D12</f>
        <v>800</v>
      </c>
      <c r="D11" s="58">
        <v>1</v>
      </c>
      <c r="E11" s="74"/>
      <c r="F11" s="226" t="s">
        <v>53</v>
      </c>
      <c r="G11" s="69">
        <f>228-3</f>
        <v>225</v>
      </c>
      <c r="H11" s="58">
        <f>((B11-30)/2)-1</f>
        <v>584</v>
      </c>
      <c r="I11" s="58">
        <f t="shared" ref="I11:I14" si="0">D11*4*2</f>
        <v>8</v>
      </c>
      <c r="J11" s="58"/>
      <c r="K11" s="69">
        <f>240-3</f>
        <v>237</v>
      </c>
      <c r="L11" s="269">
        <f t="shared" ref="L11:L14" si="1">C11</f>
        <v>800</v>
      </c>
      <c r="M11" s="270"/>
      <c r="N11" s="270"/>
      <c r="O11" s="58">
        <f t="shared" ref="O11:O14" si="2">D11*2*2</f>
        <v>4</v>
      </c>
      <c r="P11" s="27"/>
      <c r="Q11" s="28"/>
    </row>
    <row r="12" spans="1:17" ht="19.5" customHeight="1">
      <c r="A12" s="60" t="str">
        <f>'1. 소켓인수검사'!A13</f>
        <v>05</v>
      </c>
      <c r="B12" s="40">
        <f>'1. 소켓인수검사'!C13</f>
        <v>1200</v>
      </c>
      <c r="C12" s="40">
        <f>'1. 소켓인수검사'!D13</f>
        <v>800</v>
      </c>
      <c r="D12" s="33">
        <v>1</v>
      </c>
      <c r="E12" s="75"/>
      <c r="F12" s="227"/>
      <c r="G12" s="71">
        <f t="shared" ref="G12:G14" si="3">228-3</f>
        <v>225</v>
      </c>
      <c r="H12" s="33">
        <f>((B12-30)/2)-1</f>
        <v>584</v>
      </c>
      <c r="I12" s="33">
        <f t="shared" si="0"/>
        <v>8</v>
      </c>
      <c r="J12" s="33"/>
      <c r="K12" s="71">
        <f t="shared" ref="K12:K14" si="4">240-3</f>
        <v>237</v>
      </c>
      <c r="L12" s="271">
        <f t="shared" si="1"/>
        <v>800</v>
      </c>
      <c r="M12" s="272"/>
      <c r="N12" s="272"/>
      <c r="O12" s="33">
        <f t="shared" si="2"/>
        <v>4</v>
      </c>
      <c r="P12" s="30"/>
      <c r="Q12" s="31"/>
    </row>
    <row r="13" spans="1:17" ht="20.100000000000001" customHeight="1">
      <c r="A13" s="60" t="str">
        <f>'1. 소켓인수검사'!A14</f>
        <v>06</v>
      </c>
      <c r="B13" s="40">
        <f>'1. 소켓인수검사'!C14</f>
        <v>1200</v>
      </c>
      <c r="C13" s="40">
        <f>'1. 소켓인수검사'!D14</f>
        <v>800</v>
      </c>
      <c r="D13" s="33">
        <v>1</v>
      </c>
      <c r="E13" s="75"/>
      <c r="F13" s="227"/>
      <c r="G13" s="71">
        <f t="shared" si="3"/>
        <v>225</v>
      </c>
      <c r="H13" s="33">
        <f t="shared" ref="H13:H14" si="5">((B13-30)/2)-1</f>
        <v>584</v>
      </c>
      <c r="I13" s="33">
        <f t="shared" si="0"/>
        <v>8</v>
      </c>
      <c r="J13" s="33"/>
      <c r="K13" s="71">
        <f t="shared" si="4"/>
        <v>237</v>
      </c>
      <c r="L13" s="271">
        <f t="shared" si="1"/>
        <v>800</v>
      </c>
      <c r="M13" s="272"/>
      <c r="N13" s="272"/>
      <c r="O13" s="33">
        <f t="shared" si="2"/>
        <v>4</v>
      </c>
      <c r="P13" s="30"/>
      <c r="Q13" s="31"/>
    </row>
    <row r="14" spans="1:17" ht="20.100000000000001" customHeight="1">
      <c r="A14" s="60" t="str">
        <f>'1. 소켓인수검사'!A15</f>
        <v>07</v>
      </c>
      <c r="B14" s="40">
        <f>'1. 소켓인수검사'!C15</f>
        <v>1200</v>
      </c>
      <c r="C14" s="40">
        <f>'1. 소켓인수검사'!D15</f>
        <v>800</v>
      </c>
      <c r="D14" s="33">
        <v>1</v>
      </c>
      <c r="E14" s="75"/>
      <c r="F14" s="227"/>
      <c r="G14" s="71">
        <f t="shared" si="3"/>
        <v>225</v>
      </c>
      <c r="H14" s="33">
        <f t="shared" si="5"/>
        <v>584</v>
      </c>
      <c r="I14" s="33">
        <f t="shared" si="0"/>
        <v>8</v>
      </c>
      <c r="J14" s="33"/>
      <c r="K14" s="71">
        <f t="shared" si="4"/>
        <v>237</v>
      </c>
      <c r="L14" s="271">
        <f t="shared" si="1"/>
        <v>800</v>
      </c>
      <c r="M14" s="272"/>
      <c r="N14" s="272"/>
      <c r="O14" s="33">
        <f t="shared" si="2"/>
        <v>4</v>
      </c>
      <c r="P14" s="30"/>
      <c r="Q14" s="31"/>
    </row>
    <row r="15" spans="1:17" ht="8.1" customHeight="1">
      <c r="A15" s="242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243"/>
    </row>
    <row r="16" spans="1:17">
      <c r="A16" s="222" t="s">
        <v>50</v>
      </c>
      <c r="B16" s="222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</row>
    <row r="17" spans="1:17">
      <c r="A17" s="222"/>
      <c r="B17" s="222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</row>
    <row r="18" spans="1:17">
      <c r="A18" s="222"/>
      <c r="B18" s="222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</row>
    <row r="19" spans="1:17">
      <c r="A19" s="222"/>
      <c r="B19" s="222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</row>
    <row r="20" spans="1:17">
      <c r="A20" s="222"/>
      <c r="B20" s="222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</row>
    <row r="21" spans="1:17">
      <c r="A21" s="222"/>
      <c r="B21" s="222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</row>
  </sheetData>
  <mergeCells count="37">
    <mergeCell ref="A1:D3"/>
    <mergeCell ref="A4:B4"/>
    <mergeCell ref="C4:D4"/>
    <mergeCell ref="A5:B6"/>
    <mergeCell ref="C5:D6"/>
    <mergeCell ref="F5:G5"/>
    <mergeCell ref="H5:H6"/>
    <mergeCell ref="I5:J6"/>
    <mergeCell ref="K5:N6"/>
    <mergeCell ref="O5:Q6"/>
    <mergeCell ref="F6:G6"/>
    <mergeCell ref="E1:Q4"/>
    <mergeCell ref="A7:Q7"/>
    <mergeCell ref="A8:A10"/>
    <mergeCell ref="B8:C8"/>
    <mergeCell ref="D8:D10"/>
    <mergeCell ref="E8:E10"/>
    <mergeCell ref="F8:F10"/>
    <mergeCell ref="G8:P8"/>
    <mergeCell ref="Q8:Q10"/>
    <mergeCell ref="B9:B10"/>
    <mergeCell ref="C9:C10"/>
    <mergeCell ref="G9:G10"/>
    <mergeCell ref="H9:I9"/>
    <mergeCell ref="J9:J10"/>
    <mergeCell ref="K9:K10"/>
    <mergeCell ref="L9:O9"/>
    <mergeCell ref="P9:P10"/>
    <mergeCell ref="L10:N10"/>
    <mergeCell ref="A15:Q15"/>
    <mergeCell ref="A16:B21"/>
    <mergeCell ref="C16:Q21"/>
    <mergeCell ref="F11:F14"/>
    <mergeCell ref="L11:N11"/>
    <mergeCell ref="L12:N12"/>
    <mergeCell ref="L13:N13"/>
    <mergeCell ref="L14:N14"/>
  </mergeCells>
  <phoneticPr fontId="27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26"/>
  <sheetViews>
    <sheetView zoomScaleNormal="100" zoomScaleSheetLayoutView="100" workbookViewId="0">
      <pane ySplit="9" topLeftCell="A10" activePane="bottomLeft" state="frozen"/>
      <selection pane="bottomLeft" activeCell="W14" sqref="W14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28"/>
      <c r="B1" s="128"/>
      <c r="C1" s="128"/>
      <c r="D1" s="304" t="s">
        <v>48</v>
      </c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5"/>
      <c r="R1" s="306"/>
      <c r="S1" s="14"/>
    </row>
    <row r="2" spans="1:19">
      <c r="A2" s="128"/>
      <c r="B2" s="128"/>
      <c r="C2" s="128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5"/>
      <c r="R2" s="307"/>
      <c r="S2" s="308"/>
    </row>
    <row r="3" spans="1:19" ht="24" customHeight="1">
      <c r="A3" s="128"/>
      <c r="B3" s="128"/>
      <c r="C3" s="128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5"/>
      <c r="R3" s="307"/>
      <c r="S3" s="308"/>
    </row>
    <row r="4" spans="1:19">
      <c r="A4" s="128" t="s">
        <v>19</v>
      </c>
      <c r="B4" s="128"/>
      <c r="C4" s="1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5"/>
      <c r="R4" s="307"/>
      <c r="S4" s="308"/>
    </row>
    <row r="5" spans="1:19">
      <c r="A5" s="128" t="s">
        <v>29</v>
      </c>
      <c r="B5" s="128"/>
      <c r="C5" s="128"/>
      <c r="D5" s="2" t="s">
        <v>35</v>
      </c>
      <c r="E5" s="302"/>
      <c r="F5" s="303"/>
      <c r="G5" s="294" t="s">
        <v>64</v>
      </c>
      <c r="H5" s="169"/>
      <c r="I5" s="170"/>
      <c r="J5" s="170"/>
      <c r="K5" s="171"/>
      <c r="L5" s="294" t="s">
        <v>24</v>
      </c>
      <c r="M5" s="78"/>
      <c r="N5" s="78"/>
      <c r="O5" s="294" t="s">
        <v>24</v>
      </c>
      <c r="P5" s="296" t="str">
        <f>'1. 소켓인수검사'!R2</f>
        <v>26.06.25 하나로_충남 서산시 해미면 지에이치내츄럴</v>
      </c>
      <c r="Q5" s="297"/>
      <c r="R5" s="297"/>
      <c r="S5" s="298"/>
    </row>
    <row r="6" spans="1:19">
      <c r="A6" s="128"/>
      <c r="B6" s="128"/>
      <c r="C6" s="128"/>
      <c r="D6" s="2" t="s">
        <v>32</v>
      </c>
      <c r="E6" s="302"/>
      <c r="F6" s="303"/>
      <c r="G6" s="295"/>
      <c r="H6" s="175"/>
      <c r="I6" s="176"/>
      <c r="J6" s="176"/>
      <c r="K6" s="177"/>
      <c r="L6" s="295"/>
      <c r="M6" s="79"/>
      <c r="N6" s="79"/>
      <c r="O6" s="295"/>
      <c r="P6" s="299"/>
      <c r="Q6" s="300"/>
      <c r="R6" s="300"/>
      <c r="S6" s="301"/>
    </row>
    <row r="7" spans="1:19" ht="8.1" customHeight="1">
      <c r="A7" s="175"/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7"/>
    </row>
    <row r="8" spans="1:19" ht="16.5" customHeight="1">
      <c r="A8" s="142" t="s">
        <v>61</v>
      </c>
      <c r="B8" s="289" t="s">
        <v>68</v>
      </c>
      <c r="C8" s="289" t="s">
        <v>66</v>
      </c>
      <c r="D8" s="289" t="s">
        <v>71</v>
      </c>
      <c r="E8" s="289" t="s">
        <v>56</v>
      </c>
      <c r="F8" s="289" t="s">
        <v>63</v>
      </c>
      <c r="G8" s="289" t="s">
        <v>26</v>
      </c>
      <c r="H8" s="289"/>
      <c r="I8" s="289"/>
      <c r="J8" s="289" t="s">
        <v>0</v>
      </c>
      <c r="K8" s="289"/>
      <c r="L8" s="289"/>
      <c r="M8" s="289" t="s">
        <v>0</v>
      </c>
      <c r="N8" s="289"/>
      <c r="O8" s="289"/>
      <c r="P8" s="289" t="s">
        <v>0</v>
      </c>
      <c r="Q8" s="289"/>
      <c r="R8" s="289"/>
      <c r="S8" s="291"/>
    </row>
    <row r="9" spans="1:19" ht="33" customHeight="1">
      <c r="A9" s="293"/>
      <c r="B9" s="290"/>
      <c r="C9" s="290"/>
      <c r="D9" s="290"/>
      <c r="E9" s="290"/>
      <c r="F9" s="290"/>
      <c r="G9" s="81" t="s">
        <v>36</v>
      </c>
      <c r="H9" s="81" t="s">
        <v>59</v>
      </c>
      <c r="I9" s="81" t="s">
        <v>58</v>
      </c>
      <c r="J9" s="81" t="s">
        <v>22</v>
      </c>
      <c r="K9" s="81" t="s">
        <v>59</v>
      </c>
      <c r="L9" s="81" t="s">
        <v>58</v>
      </c>
      <c r="M9" s="81" t="s">
        <v>28</v>
      </c>
      <c r="N9" s="81" t="s">
        <v>59</v>
      </c>
      <c r="O9" s="81" t="s">
        <v>58</v>
      </c>
      <c r="P9" s="81" t="s">
        <v>25</v>
      </c>
      <c r="Q9" s="81" t="s">
        <v>59</v>
      </c>
      <c r="R9" s="290" t="s">
        <v>58</v>
      </c>
      <c r="S9" s="292"/>
    </row>
    <row r="10" spans="1:19">
      <c r="A10" s="60" t="str">
        <f>'1. 소켓인수검사'!A9</f>
        <v>01</v>
      </c>
      <c r="B10" s="40">
        <f>'1. 소켓인수검사'!C9</f>
        <v>500</v>
      </c>
      <c r="C10" s="40">
        <f>'1. 소켓인수검사'!D9</f>
        <v>400</v>
      </c>
      <c r="D10" s="61" t="s">
        <v>17</v>
      </c>
      <c r="E10" s="76">
        <f>B10*C10/1000000</f>
        <v>0.2</v>
      </c>
      <c r="F10" s="76">
        <f>(B10+C10)*2/1000</f>
        <v>1.8</v>
      </c>
      <c r="G10" s="32">
        <f>(F10+0.4)</f>
        <v>2.2000000000000002</v>
      </c>
      <c r="H10" s="32">
        <v>4</v>
      </c>
      <c r="I10" s="77">
        <f>G10*H10</f>
        <v>8.8000000000000007</v>
      </c>
      <c r="J10" s="32"/>
      <c r="K10" s="32"/>
      <c r="L10" s="32"/>
      <c r="M10" s="32"/>
      <c r="N10" s="32"/>
      <c r="O10" s="32"/>
      <c r="P10" s="32"/>
      <c r="Q10" s="32"/>
      <c r="R10" s="273"/>
      <c r="S10" s="274"/>
    </row>
    <row r="11" spans="1:19">
      <c r="A11" s="60" t="str">
        <f>'1. 소켓인수검사'!A10</f>
        <v>02</v>
      </c>
      <c r="B11" s="40">
        <f>'1. 소켓인수검사'!C10</f>
        <v>700</v>
      </c>
      <c r="C11" s="40">
        <f>'1. 소켓인수검사'!D10</f>
        <v>400</v>
      </c>
      <c r="D11" s="61" t="s">
        <v>17</v>
      </c>
      <c r="E11" s="76">
        <f t="shared" ref="E11:E12" si="0">B11*C11/1000000</f>
        <v>0.28000000000000003</v>
      </c>
      <c r="F11" s="76">
        <f t="shared" ref="F11:F12" si="1">(B11+C11)*2/1000</f>
        <v>2.2000000000000002</v>
      </c>
      <c r="G11" s="32">
        <f>(F11+0.4)</f>
        <v>2.6</v>
      </c>
      <c r="H11" s="32">
        <v>4</v>
      </c>
      <c r="I11" s="77">
        <f>G11*H11</f>
        <v>10.4</v>
      </c>
      <c r="J11" s="32"/>
      <c r="K11" s="32"/>
      <c r="L11" s="32"/>
      <c r="M11" s="32"/>
      <c r="N11" s="32"/>
      <c r="O11" s="32"/>
      <c r="P11" s="32"/>
      <c r="Q11" s="32"/>
      <c r="R11" s="273"/>
      <c r="S11" s="274"/>
    </row>
    <row r="12" spans="1:19">
      <c r="A12" s="60" t="str">
        <f>'1. 소켓인수검사'!A11</f>
        <v>03</v>
      </c>
      <c r="B12" s="40">
        <f>'1. 소켓인수검사'!C11</f>
        <v>800</v>
      </c>
      <c r="C12" s="40">
        <f>'1. 소켓인수검사'!D11</f>
        <v>450</v>
      </c>
      <c r="D12" s="61" t="s">
        <v>17</v>
      </c>
      <c r="E12" s="76">
        <f t="shared" si="0"/>
        <v>0.36</v>
      </c>
      <c r="F12" s="76">
        <f t="shared" si="1"/>
        <v>2.5</v>
      </c>
      <c r="G12" s="32">
        <f t="shared" ref="G12" si="2">(F12+0.4)</f>
        <v>2.9</v>
      </c>
      <c r="H12" s="32">
        <v>4</v>
      </c>
      <c r="I12" s="77">
        <f t="shared" ref="I12" si="3">G12*H12</f>
        <v>11.6</v>
      </c>
      <c r="J12" s="32"/>
      <c r="K12" s="32"/>
      <c r="L12" s="32"/>
      <c r="M12" s="32"/>
      <c r="N12" s="32"/>
      <c r="O12" s="32"/>
      <c r="P12" s="32"/>
      <c r="Q12" s="32"/>
      <c r="R12" s="273"/>
      <c r="S12" s="274"/>
    </row>
    <row r="13" spans="1:19">
      <c r="A13" s="60" t="str">
        <f>'1. 소켓인수검사'!A12</f>
        <v>04</v>
      </c>
      <c r="B13" s="40">
        <f>'1. 소켓인수검사'!C12</f>
        <v>1200</v>
      </c>
      <c r="C13" s="40">
        <f>'1. 소켓인수검사'!D12</f>
        <v>800</v>
      </c>
      <c r="D13" s="64" t="s">
        <v>51</v>
      </c>
      <c r="E13" s="76">
        <f t="shared" ref="E13:E16" si="4">B13*C13/1000000</f>
        <v>0.96</v>
      </c>
      <c r="F13" s="76">
        <f t="shared" ref="F13:F16" si="5">(B13+C13)*2/1000</f>
        <v>4</v>
      </c>
      <c r="G13" s="32">
        <f t="shared" ref="G13:G16" si="6">(F13+0.4)</f>
        <v>4.4000000000000004</v>
      </c>
      <c r="H13" s="40">
        <v>2</v>
      </c>
      <c r="I13" s="32">
        <f>G13*H13</f>
        <v>8.8000000000000007</v>
      </c>
      <c r="J13" s="32"/>
      <c r="K13" s="32"/>
      <c r="L13" s="32"/>
      <c r="M13" s="32"/>
      <c r="N13" s="32"/>
      <c r="O13" s="32"/>
      <c r="P13" s="32">
        <f t="shared" ref="P13:P16" si="7">F13+0.5</f>
        <v>4.5</v>
      </c>
      <c r="Q13" s="32">
        <v>2</v>
      </c>
      <c r="R13" s="273">
        <f>P13*Q13</f>
        <v>9</v>
      </c>
      <c r="S13" s="274"/>
    </row>
    <row r="14" spans="1:19">
      <c r="A14" s="60" t="str">
        <f>'1. 소켓인수검사'!A13</f>
        <v>05</v>
      </c>
      <c r="B14" s="40">
        <f>'1. 소켓인수검사'!C13</f>
        <v>1200</v>
      </c>
      <c r="C14" s="40">
        <f>'1. 소켓인수검사'!D13</f>
        <v>800</v>
      </c>
      <c r="D14" s="64" t="s">
        <v>51</v>
      </c>
      <c r="E14" s="76">
        <f t="shared" si="4"/>
        <v>0.96</v>
      </c>
      <c r="F14" s="76">
        <f t="shared" si="5"/>
        <v>4</v>
      </c>
      <c r="G14" s="32">
        <f t="shared" si="6"/>
        <v>4.4000000000000004</v>
      </c>
      <c r="H14" s="40">
        <v>2</v>
      </c>
      <c r="I14" s="32">
        <f>G14*H14</f>
        <v>8.8000000000000007</v>
      </c>
      <c r="J14" s="32"/>
      <c r="K14" s="32"/>
      <c r="L14" s="32"/>
      <c r="M14" s="32"/>
      <c r="N14" s="32"/>
      <c r="O14" s="32"/>
      <c r="P14" s="32">
        <f t="shared" si="7"/>
        <v>4.5</v>
      </c>
      <c r="Q14" s="32">
        <v>2</v>
      </c>
      <c r="R14" s="273">
        <f t="shared" ref="R14:R16" si="8">P14*Q14</f>
        <v>9</v>
      </c>
      <c r="S14" s="274"/>
    </row>
    <row r="15" spans="1:19">
      <c r="A15" s="60" t="str">
        <f>'1. 소켓인수검사'!A14</f>
        <v>06</v>
      </c>
      <c r="B15" s="40">
        <f>'1. 소켓인수검사'!C14</f>
        <v>1200</v>
      </c>
      <c r="C15" s="40">
        <f>'1. 소켓인수검사'!D14</f>
        <v>800</v>
      </c>
      <c r="D15" s="64" t="s">
        <v>51</v>
      </c>
      <c r="E15" s="76">
        <f t="shared" si="4"/>
        <v>0.96</v>
      </c>
      <c r="F15" s="76">
        <f t="shared" si="5"/>
        <v>4</v>
      </c>
      <c r="G15" s="32">
        <f t="shared" si="6"/>
        <v>4.4000000000000004</v>
      </c>
      <c r="H15" s="40">
        <v>2</v>
      </c>
      <c r="I15" s="32">
        <f t="shared" ref="I15:I16" si="9">G15*H15</f>
        <v>8.8000000000000007</v>
      </c>
      <c r="J15" s="32"/>
      <c r="K15" s="32"/>
      <c r="L15" s="32"/>
      <c r="M15" s="32"/>
      <c r="N15" s="32"/>
      <c r="O15" s="32"/>
      <c r="P15" s="32">
        <f t="shared" si="7"/>
        <v>4.5</v>
      </c>
      <c r="Q15" s="32">
        <v>2</v>
      </c>
      <c r="R15" s="273">
        <f t="shared" si="8"/>
        <v>9</v>
      </c>
      <c r="S15" s="274"/>
    </row>
    <row r="16" spans="1:19">
      <c r="A16" s="60" t="str">
        <f>'1. 소켓인수검사'!A15</f>
        <v>07</v>
      </c>
      <c r="B16" s="40">
        <f>'1. 소켓인수검사'!C15</f>
        <v>1200</v>
      </c>
      <c r="C16" s="40">
        <f>'1. 소켓인수검사'!D15</f>
        <v>800</v>
      </c>
      <c r="D16" s="64" t="s">
        <v>51</v>
      </c>
      <c r="E16" s="76">
        <f t="shared" si="4"/>
        <v>0.96</v>
      </c>
      <c r="F16" s="76">
        <f t="shared" si="5"/>
        <v>4</v>
      </c>
      <c r="G16" s="32">
        <f t="shared" si="6"/>
        <v>4.4000000000000004</v>
      </c>
      <c r="H16" s="40">
        <v>2</v>
      </c>
      <c r="I16" s="32">
        <f t="shared" si="9"/>
        <v>8.8000000000000007</v>
      </c>
      <c r="J16" s="32"/>
      <c r="K16" s="32"/>
      <c r="L16" s="32"/>
      <c r="M16" s="32"/>
      <c r="N16" s="32"/>
      <c r="O16" s="32"/>
      <c r="P16" s="32">
        <f t="shared" si="7"/>
        <v>4.5</v>
      </c>
      <c r="Q16" s="32">
        <v>2</v>
      </c>
      <c r="R16" s="273">
        <f t="shared" si="8"/>
        <v>9</v>
      </c>
      <c r="S16" s="274"/>
    </row>
    <row r="17" spans="1:19">
      <c r="A17" s="275" t="s">
        <v>3</v>
      </c>
      <c r="B17" s="276"/>
      <c r="C17" s="276"/>
      <c r="D17" s="276"/>
      <c r="E17" s="276"/>
      <c r="F17" s="277"/>
      <c r="G17" s="38"/>
      <c r="H17" s="51"/>
      <c r="I17" s="85">
        <f>SUM(I10:I16)</f>
        <v>66</v>
      </c>
      <c r="J17" s="38"/>
      <c r="K17" s="38"/>
      <c r="L17" s="85">
        <f>SUM(L10:L16)</f>
        <v>0</v>
      </c>
      <c r="M17" s="38"/>
      <c r="N17" s="38"/>
      <c r="O17" s="85">
        <f>SUM(O10:O16)</f>
        <v>0</v>
      </c>
      <c r="P17" s="38"/>
      <c r="Q17" s="38"/>
      <c r="R17" s="278">
        <f>SUM(R10:S16)</f>
        <v>36</v>
      </c>
      <c r="S17" s="279"/>
    </row>
    <row r="18" spans="1:19" ht="17.25" customHeight="1">
      <c r="A18" s="282" t="s">
        <v>14</v>
      </c>
      <c r="B18" s="283"/>
      <c r="C18" s="283"/>
      <c r="D18" s="283"/>
      <c r="E18" s="283"/>
      <c r="F18" s="284"/>
      <c r="G18" s="285">
        <f>I17/20</f>
        <v>3.3</v>
      </c>
      <c r="H18" s="286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7"/>
    </row>
    <row r="19" spans="1:19">
      <c r="A19" s="282" t="s">
        <v>13</v>
      </c>
      <c r="B19" s="283"/>
      <c r="C19" s="283"/>
      <c r="D19" s="283"/>
      <c r="E19" s="283"/>
      <c r="F19" s="284"/>
      <c r="G19" s="285">
        <f>L17/3.6</f>
        <v>0</v>
      </c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7"/>
    </row>
    <row r="20" spans="1:19">
      <c r="A20" s="288" t="s">
        <v>80</v>
      </c>
      <c r="B20" s="283"/>
      <c r="C20" s="283"/>
      <c r="D20" s="283"/>
      <c r="E20" s="283"/>
      <c r="F20" s="284"/>
      <c r="G20" s="285">
        <f>O17/7.4</f>
        <v>0</v>
      </c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7"/>
    </row>
    <row r="21" spans="1:19">
      <c r="A21" s="282" t="s">
        <v>15</v>
      </c>
      <c r="B21" s="283"/>
      <c r="C21" s="283"/>
      <c r="D21" s="283"/>
      <c r="E21" s="283"/>
      <c r="F21" s="284"/>
      <c r="G21" s="285">
        <f>R17/3.6</f>
        <v>10</v>
      </c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7"/>
    </row>
    <row r="22" spans="1:19" ht="8.1" customHeight="1">
      <c r="A22" s="170"/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</row>
    <row r="23" spans="1:19">
      <c r="A23" s="128" t="s">
        <v>50</v>
      </c>
      <c r="B23" s="128"/>
      <c r="C23" s="280"/>
      <c r="D23" s="281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1"/>
      <c r="R23" s="281"/>
      <c r="S23" s="281"/>
    </row>
    <row r="24" spans="1:19">
      <c r="A24" s="128"/>
      <c r="B24" s="128"/>
      <c r="C24" s="281"/>
      <c r="D24" s="281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1"/>
      <c r="R24" s="281"/>
      <c r="S24" s="281"/>
    </row>
    <row r="25" spans="1:19">
      <c r="A25" s="128"/>
      <c r="B25" s="128"/>
      <c r="C25" s="281"/>
      <c r="D25" s="281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1"/>
      <c r="R25" s="281"/>
      <c r="S25" s="281"/>
    </row>
    <row r="26" spans="1:19">
      <c r="A26" s="128"/>
      <c r="B26" s="128"/>
      <c r="C26" s="281"/>
      <c r="D26" s="281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1"/>
      <c r="R26" s="281"/>
      <c r="S26" s="281"/>
    </row>
  </sheetData>
  <mergeCells count="46">
    <mergeCell ref="A1:C3"/>
    <mergeCell ref="D1:Q4"/>
    <mergeCell ref="R1:R4"/>
    <mergeCell ref="S2:S4"/>
    <mergeCell ref="A4:B4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R10:S10"/>
    <mergeCell ref="R11:S11"/>
    <mergeCell ref="R12:S12"/>
    <mergeCell ref="R13:S13"/>
    <mergeCell ref="R14:S14"/>
    <mergeCell ref="R15:S15"/>
    <mergeCell ref="R16:S16"/>
    <mergeCell ref="A17:F17"/>
    <mergeCell ref="R17:S17"/>
    <mergeCell ref="A23:B26"/>
    <mergeCell ref="C23:S26"/>
    <mergeCell ref="A18:F18"/>
    <mergeCell ref="G18:S18"/>
    <mergeCell ref="A19:F19"/>
    <mergeCell ref="G19:S19"/>
    <mergeCell ref="A20:F20"/>
    <mergeCell ref="G20:S20"/>
    <mergeCell ref="A21:F21"/>
    <mergeCell ref="G21:S21"/>
    <mergeCell ref="A22:S22"/>
  </mergeCells>
  <phoneticPr fontId="27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21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R13" sqref="R13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28"/>
      <c r="B1" s="128"/>
      <c r="C1" s="128"/>
      <c r="D1" s="128"/>
      <c r="E1" s="106" t="s">
        <v>7</v>
      </c>
      <c r="F1" s="315" t="s">
        <v>77</v>
      </c>
      <c r="G1" s="315"/>
      <c r="H1" s="315"/>
      <c r="I1" s="315"/>
      <c r="J1" s="315"/>
      <c r="K1" s="208" t="str">
        <f>'1. 소켓인수검사'!R2</f>
        <v>26.06.25 하나로_충남 서산시 해미면 지에이치내츄럴</v>
      </c>
      <c r="L1" s="208"/>
      <c r="M1" s="208"/>
      <c r="N1" s="208"/>
      <c r="O1" s="208"/>
      <c r="P1" s="208"/>
      <c r="Q1" s="208"/>
      <c r="R1" s="208"/>
      <c r="S1" s="208"/>
      <c r="T1" s="208"/>
      <c r="U1" s="209"/>
    </row>
    <row r="2" spans="1:21" ht="16.5" customHeight="1">
      <c r="A2" s="128"/>
      <c r="B2" s="128"/>
      <c r="C2" s="128"/>
      <c r="D2" s="128"/>
      <c r="E2" s="105"/>
      <c r="F2" s="316"/>
      <c r="G2" s="316"/>
      <c r="H2" s="316"/>
      <c r="I2" s="316"/>
      <c r="J2" s="316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1"/>
    </row>
    <row r="3" spans="1:21" ht="24" customHeight="1">
      <c r="A3" s="128"/>
      <c r="B3" s="128"/>
      <c r="C3" s="128"/>
      <c r="D3" s="128"/>
      <c r="E3" s="107"/>
      <c r="F3" s="317"/>
      <c r="G3" s="317"/>
      <c r="H3" s="317"/>
      <c r="I3" s="317"/>
      <c r="J3" s="317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3"/>
    </row>
    <row r="4" spans="1:21" ht="8.1" customHeight="1">
      <c r="A4" s="175"/>
      <c r="B4" s="176"/>
      <c r="C4" s="176"/>
      <c r="D4" s="176"/>
      <c r="E4" s="176"/>
      <c r="F4" s="176"/>
      <c r="G4" s="176"/>
      <c r="H4" s="175"/>
      <c r="I4" s="176"/>
      <c r="J4" s="176"/>
      <c r="K4" s="176"/>
      <c r="L4" s="176"/>
      <c r="M4" s="176"/>
      <c r="N4" s="176"/>
      <c r="O4" s="176"/>
      <c r="P4" s="176"/>
      <c r="Q4" s="3"/>
      <c r="S4" s="3"/>
      <c r="T4" s="3"/>
      <c r="U4" s="3"/>
    </row>
    <row r="5" spans="1:21" ht="16.5" customHeight="1">
      <c r="A5" s="142" t="s">
        <v>61</v>
      </c>
      <c r="B5" s="318" t="s">
        <v>39</v>
      </c>
      <c r="C5" s="289" t="s">
        <v>68</v>
      </c>
      <c r="D5" s="289" t="s">
        <v>66</v>
      </c>
      <c r="E5" s="289" t="s">
        <v>27</v>
      </c>
      <c r="F5" s="289" t="s">
        <v>56</v>
      </c>
      <c r="G5" s="289" t="s">
        <v>63</v>
      </c>
      <c r="H5" s="289" t="s">
        <v>43</v>
      </c>
      <c r="I5" s="289" t="s">
        <v>26</v>
      </c>
      <c r="J5" s="289"/>
      <c r="K5" s="289" t="s">
        <v>0</v>
      </c>
      <c r="L5" s="289"/>
      <c r="M5" s="289" t="s">
        <v>0</v>
      </c>
      <c r="N5" s="289"/>
      <c r="O5" s="289" t="s">
        <v>0</v>
      </c>
      <c r="P5" s="289"/>
      <c r="Q5" s="309" t="s">
        <v>55</v>
      </c>
      <c r="R5" s="309"/>
      <c r="S5" s="310" t="s">
        <v>33</v>
      </c>
      <c r="T5" s="310" t="s">
        <v>60</v>
      </c>
      <c r="U5" s="128" t="s">
        <v>20</v>
      </c>
    </row>
    <row r="6" spans="1:21" ht="26.45" customHeight="1">
      <c r="A6" s="293"/>
      <c r="B6" s="319"/>
      <c r="C6" s="290"/>
      <c r="D6" s="290"/>
      <c r="E6" s="290"/>
      <c r="F6" s="290"/>
      <c r="G6" s="290"/>
      <c r="H6" s="290"/>
      <c r="I6" s="81" t="s">
        <v>8</v>
      </c>
      <c r="J6" s="39" t="s">
        <v>59</v>
      </c>
      <c r="K6" s="81" t="s">
        <v>78</v>
      </c>
      <c r="L6" s="39" t="s">
        <v>59</v>
      </c>
      <c r="M6" s="81" t="s">
        <v>38</v>
      </c>
      <c r="N6" s="39" t="s">
        <v>59</v>
      </c>
      <c r="O6" s="81" t="s">
        <v>40</v>
      </c>
      <c r="P6" s="39" t="s">
        <v>59</v>
      </c>
      <c r="Q6" s="81" t="s">
        <v>57</v>
      </c>
      <c r="R6" s="39" t="s">
        <v>69</v>
      </c>
      <c r="S6" s="311"/>
      <c r="T6" s="311"/>
      <c r="U6" s="312"/>
    </row>
    <row r="7" spans="1:21">
      <c r="A7" s="60" t="str">
        <f>'1. 소켓인수검사'!A9</f>
        <v>01</v>
      </c>
      <c r="B7" s="82" t="s">
        <v>45</v>
      </c>
      <c r="C7" s="40">
        <f>'1. 소켓인수검사'!C9</f>
        <v>500</v>
      </c>
      <c r="D7" s="40">
        <f>'1. 소켓인수검사'!D9</f>
        <v>400</v>
      </c>
      <c r="E7" s="41"/>
      <c r="F7" s="42">
        <f>C7*D7/1000000</f>
        <v>0.2</v>
      </c>
      <c r="G7" s="42">
        <f>(C7+D7)*2/1000</f>
        <v>1.8</v>
      </c>
      <c r="H7" s="47">
        <v>1</v>
      </c>
      <c r="I7" s="81">
        <f>(G7+0.4)</f>
        <v>2.2000000000000002</v>
      </c>
      <c r="J7" s="39">
        <v>4</v>
      </c>
      <c r="K7" s="32"/>
      <c r="L7" s="39"/>
      <c r="M7" s="32"/>
      <c r="N7" s="39"/>
      <c r="O7" s="32"/>
      <c r="P7" s="39"/>
      <c r="Q7" s="43">
        <f>(((C7+60)+250+(D7+60))*2/1000)*2</f>
        <v>5.08</v>
      </c>
      <c r="R7" s="125">
        <f>Q7</f>
        <v>5.08</v>
      </c>
      <c r="S7" s="44" t="s">
        <v>9</v>
      </c>
      <c r="T7" s="45" t="s">
        <v>12</v>
      </c>
      <c r="U7" s="46">
        <f>'1. 소켓인수검사'!G9</f>
        <v>0</v>
      </c>
    </row>
    <row r="8" spans="1:21">
      <c r="A8" s="60" t="str">
        <f>'1. 소켓인수검사'!A10</f>
        <v>02</v>
      </c>
      <c r="B8" s="82" t="s">
        <v>44</v>
      </c>
      <c r="C8" s="40">
        <f>'1. 소켓인수검사'!C10</f>
        <v>700</v>
      </c>
      <c r="D8" s="40">
        <f>'1. 소켓인수검사'!D10</f>
        <v>400</v>
      </c>
      <c r="E8" s="41"/>
      <c r="F8" s="42">
        <f t="shared" ref="F8:F9" si="0">C8*D8/1000000</f>
        <v>0.28000000000000003</v>
      </c>
      <c r="G8" s="42">
        <f t="shared" ref="G8:G9" si="1">(C8+D8)*2/1000</f>
        <v>2.2000000000000002</v>
      </c>
      <c r="H8" s="47">
        <v>1</v>
      </c>
      <c r="I8" s="81">
        <f>(G8+0.4)</f>
        <v>2.6</v>
      </c>
      <c r="J8" s="39">
        <v>4</v>
      </c>
      <c r="K8" s="32"/>
      <c r="L8" s="39"/>
      <c r="M8" s="32"/>
      <c r="N8" s="39"/>
      <c r="O8" s="32"/>
      <c r="P8" s="39"/>
      <c r="Q8" s="43">
        <f t="shared" ref="Q8:Q9" si="2">(((C8+60)+250+(D8+60))*2/1000)*2</f>
        <v>5.88</v>
      </c>
      <c r="R8" s="125">
        <f>Q8</f>
        <v>5.88</v>
      </c>
      <c r="S8" s="44" t="s">
        <v>9</v>
      </c>
      <c r="T8" s="45" t="s">
        <v>12</v>
      </c>
      <c r="U8" s="46">
        <f>'1. 소켓인수검사'!G10</f>
        <v>0</v>
      </c>
    </row>
    <row r="9" spans="1:21">
      <c r="A9" s="60" t="str">
        <f>'1. 소켓인수검사'!A11</f>
        <v>03</v>
      </c>
      <c r="B9" s="82" t="s">
        <v>42</v>
      </c>
      <c r="C9" s="40">
        <f>'1. 소켓인수검사'!C11</f>
        <v>800</v>
      </c>
      <c r="D9" s="40">
        <f>'1. 소켓인수검사'!D11</f>
        <v>450</v>
      </c>
      <c r="E9" s="41"/>
      <c r="F9" s="42">
        <f t="shared" si="0"/>
        <v>0.36</v>
      </c>
      <c r="G9" s="42">
        <f t="shared" si="1"/>
        <v>2.5</v>
      </c>
      <c r="H9" s="47">
        <v>1</v>
      </c>
      <c r="I9" s="81">
        <f>(G9+0.4)</f>
        <v>2.9</v>
      </c>
      <c r="J9" s="39">
        <v>4</v>
      </c>
      <c r="K9" s="32"/>
      <c r="L9" s="39"/>
      <c r="M9" s="32"/>
      <c r="N9" s="39"/>
      <c r="O9" s="32"/>
      <c r="P9" s="39"/>
      <c r="Q9" s="43">
        <f t="shared" si="2"/>
        <v>6.48</v>
      </c>
      <c r="R9" s="125">
        <f>Q9</f>
        <v>6.48</v>
      </c>
      <c r="S9" s="44" t="s">
        <v>9</v>
      </c>
      <c r="T9" s="45" t="s">
        <v>12</v>
      </c>
      <c r="U9" s="46">
        <f>'1. 소켓인수검사'!G11</f>
        <v>0</v>
      </c>
    </row>
    <row r="10" spans="1:21">
      <c r="A10" s="60" t="str">
        <f>'1. 소켓인수검사'!A12</f>
        <v>04</v>
      </c>
      <c r="B10" s="82" t="s">
        <v>42</v>
      </c>
      <c r="C10" s="40">
        <f>'1. 소켓인수검사'!C12</f>
        <v>1200</v>
      </c>
      <c r="D10" s="40">
        <f>'1. 소켓인수검사'!D12</f>
        <v>800</v>
      </c>
      <c r="E10" s="41"/>
      <c r="F10" s="42">
        <f t="shared" ref="F10:F13" si="3">C10*D10/1000000</f>
        <v>0.96</v>
      </c>
      <c r="G10" s="42">
        <f t="shared" ref="G10:G13" si="4">(C10+D10)*2/1000</f>
        <v>4</v>
      </c>
      <c r="H10" s="47">
        <v>2</v>
      </c>
      <c r="I10" s="81">
        <f t="shared" ref="I10:I13" si="5">(G10+0.4)</f>
        <v>4.4000000000000004</v>
      </c>
      <c r="J10" s="48">
        <v>2</v>
      </c>
      <c r="K10" s="32"/>
      <c r="L10" s="39"/>
      <c r="M10" s="32"/>
      <c r="N10" s="39"/>
      <c r="O10" s="81">
        <f t="shared" ref="O10:O13" si="6">(G10+0.5)</f>
        <v>4.5</v>
      </c>
      <c r="P10" s="48">
        <v>2</v>
      </c>
      <c r="Q10" s="43">
        <f t="shared" ref="Q10:Q13" si="7">(((C10+60)+250+(D10+60))*2/1000)*2</f>
        <v>9.48</v>
      </c>
      <c r="R10" s="125">
        <f t="shared" ref="R10:R13" si="8">Q10</f>
        <v>9.48</v>
      </c>
      <c r="S10" s="49" t="s">
        <v>47</v>
      </c>
      <c r="T10" s="50" t="s">
        <v>6</v>
      </c>
      <c r="U10" s="46">
        <f>'1. 소켓인수검사'!G12</f>
        <v>0</v>
      </c>
    </row>
    <row r="11" spans="1:21">
      <c r="A11" s="60" t="str">
        <f>'1. 소켓인수검사'!A13</f>
        <v>05</v>
      </c>
      <c r="B11" s="82" t="s">
        <v>42</v>
      </c>
      <c r="C11" s="40">
        <f>'1. 소켓인수검사'!C13</f>
        <v>1200</v>
      </c>
      <c r="D11" s="40">
        <f>'1. 소켓인수검사'!D13</f>
        <v>800</v>
      </c>
      <c r="E11" s="41"/>
      <c r="F11" s="42">
        <f t="shared" si="3"/>
        <v>0.96</v>
      </c>
      <c r="G11" s="42">
        <f t="shared" si="4"/>
        <v>4</v>
      </c>
      <c r="H11" s="47">
        <v>2</v>
      </c>
      <c r="I11" s="81">
        <f t="shared" si="5"/>
        <v>4.4000000000000004</v>
      </c>
      <c r="J11" s="48">
        <v>2</v>
      </c>
      <c r="K11" s="32"/>
      <c r="L11" s="39"/>
      <c r="M11" s="32"/>
      <c r="N11" s="39"/>
      <c r="O11" s="81">
        <f t="shared" si="6"/>
        <v>4.5</v>
      </c>
      <c r="P11" s="48">
        <v>2</v>
      </c>
      <c r="Q11" s="43">
        <f t="shared" si="7"/>
        <v>9.48</v>
      </c>
      <c r="R11" s="125">
        <f t="shared" si="8"/>
        <v>9.48</v>
      </c>
      <c r="S11" s="49" t="s">
        <v>47</v>
      </c>
      <c r="T11" s="50" t="s">
        <v>6</v>
      </c>
      <c r="U11" s="46">
        <f>'1. 소켓인수검사'!G13</f>
        <v>0</v>
      </c>
    </row>
    <row r="12" spans="1:21">
      <c r="A12" s="60" t="str">
        <f>'1. 소켓인수검사'!A14</f>
        <v>06</v>
      </c>
      <c r="B12" s="82" t="s">
        <v>42</v>
      </c>
      <c r="C12" s="40">
        <f>'1. 소켓인수검사'!C14</f>
        <v>1200</v>
      </c>
      <c r="D12" s="40">
        <f>'1. 소켓인수검사'!D14</f>
        <v>800</v>
      </c>
      <c r="E12" s="41"/>
      <c r="F12" s="42">
        <f t="shared" si="3"/>
        <v>0.96</v>
      </c>
      <c r="G12" s="42">
        <f t="shared" si="4"/>
        <v>4</v>
      </c>
      <c r="H12" s="47">
        <v>2</v>
      </c>
      <c r="I12" s="81">
        <f t="shared" si="5"/>
        <v>4.4000000000000004</v>
      </c>
      <c r="J12" s="48">
        <v>2</v>
      </c>
      <c r="K12" s="32"/>
      <c r="L12" s="39"/>
      <c r="M12" s="32"/>
      <c r="N12" s="39"/>
      <c r="O12" s="81">
        <f t="shared" si="6"/>
        <v>4.5</v>
      </c>
      <c r="P12" s="48">
        <v>2</v>
      </c>
      <c r="Q12" s="43">
        <f t="shared" si="7"/>
        <v>9.48</v>
      </c>
      <c r="R12" s="125">
        <f t="shared" si="8"/>
        <v>9.48</v>
      </c>
      <c r="S12" s="49" t="s">
        <v>47</v>
      </c>
      <c r="T12" s="50" t="s">
        <v>6</v>
      </c>
      <c r="U12" s="46">
        <f>'1. 소켓인수검사'!G14</f>
        <v>0</v>
      </c>
    </row>
    <row r="13" spans="1:21">
      <c r="A13" s="60" t="str">
        <f>'1. 소켓인수검사'!A15</f>
        <v>07</v>
      </c>
      <c r="B13" s="82" t="s">
        <v>42</v>
      </c>
      <c r="C13" s="40">
        <f>'1. 소켓인수검사'!C15</f>
        <v>1200</v>
      </c>
      <c r="D13" s="40">
        <f>'1. 소켓인수검사'!D15</f>
        <v>800</v>
      </c>
      <c r="E13" s="41"/>
      <c r="F13" s="42">
        <f t="shared" si="3"/>
        <v>0.96</v>
      </c>
      <c r="G13" s="42">
        <f t="shared" si="4"/>
        <v>4</v>
      </c>
      <c r="H13" s="47">
        <v>2</v>
      </c>
      <c r="I13" s="81">
        <f t="shared" si="5"/>
        <v>4.4000000000000004</v>
      </c>
      <c r="J13" s="48">
        <v>2</v>
      </c>
      <c r="K13" s="32"/>
      <c r="L13" s="39"/>
      <c r="M13" s="32"/>
      <c r="N13" s="39"/>
      <c r="O13" s="81">
        <f t="shared" si="6"/>
        <v>4.5</v>
      </c>
      <c r="P13" s="48">
        <v>2</v>
      </c>
      <c r="Q13" s="43">
        <f t="shared" si="7"/>
        <v>9.48</v>
      </c>
      <c r="R13" s="125">
        <f t="shared" si="8"/>
        <v>9.48</v>
      </c>
      <c r="S13" s="49" t="s">
        <v>47</v>
      </c>
      <c r="T13" s="50" t="s">
        <v>6</v>
      </c>
      <c r="U13" s="46">
        <f>'1. 소켓인수검사'!G15</f>
        <v>0</v>
      </c>
    </row>
    <row r="14" spans="1:21">
      <c r="A14" s="313" t="s">
        <v>5</v>
      </c>
      <c r="B14" s="314"/>
      <c r="C14" s="314"/>
      <c r="D14" s="80"/>
      <c r="E14" s="54"/>
      <c r="F14" s="54"/>
      <c r="G14" s="54"/>
      <c r="H14" s="53">
        <f>SUM(H7:H13)</f>
        <v>11</v>
      </c>
      <c r="I14" s="86"/>
      <c r="J14" s="53">
        <f>SUM(J7:J13)</f>
        <v>20</v>
      </c>
      <c r="K14" s="86"/>
      <c r="L14" s="53">
        <f>SUM(L7:L13)</f>
        <v>0</v>
      </c>
      <c r="M14" s="86"/>
      <c r="N14" s="53">
        <f>SUM(N7:N13)</f>
        <v>0</v>
      </c>
      <c r="O14" s="86"/>
      <c r="P14" s="53">
        <f>SUM(P7:P13)</f>
        <v>8</v>
      </c>
      <c r="Q14" s="86">
        <f>SUM(Q7:Q13)</f>
        <v>55.360000000000014</v>
      </c>
      <c r="R14" s="53">
        <f>SUM(R7:R13)</f>
        <v>55.360000000000014</v>
      </c>
      <c r="S14" s="83"/>
      <c r="T14" s="83"/>
      <c r="U14" s="84"/>
    </row>
    <row r="15" spans="1:21" ht="8.1" customHeight="1">
      <c r="A15" s="173"/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4"/>
    </row>
    <row r="16" spans="1:21">
      <c r="A16" s="128" t="s">
        <v>50</v>
      </c>
      <c r="B16" s="128"/>
      <c r="C16" s="128"/>
      <c r="D16" s="169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1"/>
    </row>
    <row r="17" spans="1:21">
      <c r="A17" s="128"/>
      <c r="B17" s="128"/>
      <c r="C17" s="128"/>
      <c r="D17" s="172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4"/>
    </row>
    <row r="18" spans="1:21">
      <c r="A18" s="128"/>
      <c r="B18" s="128"/>
      <c r="C18" s="128"/>
      <c r="D18" s="172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4"/>
    </row>
    <row r="19" spans="1:21">
      <c r="A19" s="128"/>
      <c r="B19" s="128"/>
      <c r="C19" s="128"/>
      <c r="D19" s="172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4"/>
    </row>
    <row r="20" spans="1:21">
      <c r="A20" s="128"/>
      <c r="B20" s="128"/>
      <c r="C20" s="128"/>
      <c r="D20" s="172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4"/>
    </row>
    <row r="21" spans="1:21">
      <c r="A21" s="128"/>
      <c r="B21" s="128"/>
      <c r="C21" s="128"/>
      <c r="D21" s="175"/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7"/>
    </row>
  </sheetData>
  <mergeCells count="24">
    <mergeCell ref="U5:U6"/>
    <mergeCell ref="A14:C14"/>
    <mergeCell ref="F1:J3"/>
    <mergeCell ref="K1:U3"/>
    <mergeCell ref="D16:U21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  <mergeCell ref="A15:P15"/>
    <mergeCell ref="A16:C21"/>
    <mergeCell ref="Q5:R5"/>
    <mergeCell ref="S5:S6"/>
    <mergeCell ref="T5:T6"/>
    <mergeCell ref="K5:L5"/>
    <mergeCell ref="O5:P5"/>
    <mergeCell ref="M5:N5"/>
  </mergeCells>
  <phoneticPr fontId="27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87"/>
  </cols>
  <sheetData/>
  <phoneticPr fontId="27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10</vt:i4>
      </vt:variant>
    </vt:vector>
  </HeadingPairs>
  <TitlesOfParts>
    <vt:vector size="20" baseType="lpstr">
      <vt:lpstr>1. 소켓인수검사</vt:lpstr>
      <vt:lpstr>2.재단(VM)작업</vt:lpstr>
      <vt:lpstr>2.1 재단작업(VT)</vt:lpstr>
      <vt:lpstr>차열재 재단(VM,VT)</vt:lpstr>
      <vt:lpstr>3. 1절곡(VM)</vt:lpstr>
      <vt:lpstr>3.2 절곡(VT)</vt:lpstr>
      <vt:lpstr>3.3 절곡(VT-보강대)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'2.1 재단작업(VT)'!Print_Titles</vt:lpstr>
      <vt:lpstr>'2.재단(VM)작업'!Print_Titles</vt:lpstr>
      <vt:lpstr>'3. 1절곡(VM)'!Print_Titles</vt:lpstr>
      <vt:lpstr>'3.2 절곡(VT)'!Print_Titles</vt:lpstr>
      <vt:lpstr>'3.3 절곡(VT-보강대)'!Print_Titles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53</cp:revision>
  <cp:lastPrinted>2026-06-25T06:16:13Z</cp:lastPrinted>
  <dcterms:created xsi:type="dcterms:W3CDTF">2025-03-13T00:09:10Z</dcterms:created>
  <dcterms:modified xsi:type="dcterms:W3CDTF">2026-06-25T06:18:16Z</dcterms:modified>
  <cp:version>1200.0100.01</cp:version>
</cp:coreProperties>
</file>