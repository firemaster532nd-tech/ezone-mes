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D9EE0D5C-BE57-4BBE-8CCF-4770AD7C5CD4}" xr6:coauthVersionLast="47" xr6:coauthVersionMax="47" xr10:uidLastSave="{00000000-0000-0000-0000-000000000000}"/>
  <bookViews>
    <workbookView xWindow="-120" yWindow="-120" windowWidth="38640" windowHeight="21120" activeTab="8" xr2:uid="{00000000-000D-0000-FFFF-FFFF00000000}"/>
  </bookViews>
  <sheets>
    <sheet name="1. 소켓인수검사" sheetId="1" r:id="rId1"/>
    <sheet name="2.재단(VM)작업" sheetId="12" r:id="rId2"/>
    <sheet name="2.1 재단작업(VT)" sheetId="3" r:id="rId3"/>
    <sheet name="차열재 재단(VM,VT)" sheetId="2" r:id="rId4"/>
    <sheet name="3. 1절곡(VM)" sheetId="5" r:id="rId5"/>
    <sheet name="3.2 절곡(VT)" sheetId="6" r:id="rId6"/>
    <sheet name="3.3 절곡(VT-보강대)" sheetId="7" r:id="rId7"/>
    <sheet name="5. 차열재 출하용(VM,VT,VAG)" sheetId="9" r:id="rId8"/>
    <sheet name="6. 라벨소요량" sheetId="10" r:id="rId9"/>
    <sheet name="발주서정리" sheetId="11" r:id="rId10"/>
  </sheets>
  <definedNames>
    <definedName name="_xlnm.Print_Area" localSheetId="0">'1. 소켓인수검사'!$A$1:$P$19</definedName>
    <definedName name="_xlnm.Print_Titles" localSheetId="0">'1. 소켓인수검사'!$6:$8</definedName>
    <definedName name="_xlnm.Print_Titles" localSheetId="2">'2.1 재단작업(VT)'!$5:$7</definedName>
    <definedName name="_xlnm.Print_Titles" localSheetId="1">'2.재단(VM)작업'!$5:$7</definedName>
    <definedName name="_xlnm.Print_Titles" localSheetId="4">'3. 1절곡(VM)'!$1:$6</definedName>
    <definedName name="_xlnm.Print_Titles" localSheetId="5">'3.2 절곡(VT)'!$1:$6</definedName>
    <definedName name="_xlnm.Print_Titles" localSheetId="6">'3.3 절곡(VT-보강대)'!$1:$6</definedName>
    <definedName name="_xlnm.Print_Titles" localSheetId="7">'5. 차열재 출하용(VM,VT,VAG)'!$8:$9</definedName>
    <definedName name="_xlnm.Print_Titles" localSheetId="8">'6. 라벨소요량'!$5:$6</definedName>
    <definedName name="_xlnm.Print_Titles" localSheetId="3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0" l="1"/>
  <c r="R10" i="10"/>
  <c r="R11" i="10"/>
  <c r="R12" i="10"/>
  <c r="R13" i="10"/>
  <c r="R14" i="10"/>
  <c r="R15" i="10"/>
  <c r="R16" i="10"/>
  <c r="R17" i="10"/>
  <c r="R8" i="10"/>
  <c r="R7" i="10"/>
  <c r="H1" i="12"/>
  <c r="D15" i="12"/>
  <c r="M15" i="12" s="1"/>
  <c r="C15" i="12"/>
  <c r="D14" i="12"/>
  <c r="I14" i="12" s="1"/>
  <c r="C14" i="12"/>
  <c r="D13" i="12"/>
  <c r="I13" i="12" s="1"/>
  <c r="C13" i="12"/>
  <c r="G13" i="12" s="1"/>
  <c r="D12" i="12"/>
  <c r="I12" i="12" s="1"/>
  <c r="C12" i="12"/>
  <c r="D11" i="12"/>
  <c r="M11" i="12" s="1"/>
  <c r="C11" i="12"/>
  <c r="G11" i="12" s="1"/>
  <c r="D10" i="12"/>
  <c r="I10" i="12" s="1"/>
  <c r="C10" i="12"/>
  <c r="G10" i="12" s="1"/>
  <c r="D9" i="12"/>
  <c r="M9" i="12" s="1"/>
  <c r="C9" i="12"/>
  <c r="G9" i="12" s="1"/>
  <c r="D8" i="12"/>
  <c r="M8" i="12" s="1"/>
  <c r="C8" i="12"/>
  <c r="A15" i="12"/>
  <c r="A14" i="12"/>
  <c r="A13" i="12"/>
  <c r="A12" i="12"/>
  <c r="A11" i="12"/>
  <c r="A10" i="12"/>
  <c r="A9" i="12"/>
  <c r="A8" i="12"/>
  <c r="J15" i="12"/>
  <c r="I15" i="12"/>
  <c r="H15" i="12"/>
  <c r="K14" i="12"/>
  <c r="J14" i="12"/>
  <c r="H14" i="12"/>
  <c r="G14" i="12"/>
  <c r="J13" i="12"/>
  <c r="H13" i="12"/>
  <c r="K13" i="12"/>
  <c r="J12" i="12"/>
  <c r="H12" i="12"/>
  <c r="J11" i="12"/>
  <c r="H11" i="12"/>
  <c r="K10" i="12"/>
  <c r="J10" i="12"/>
  <c r="H10" i="12"/>
  <c r="J9" i="12"/>
  <c r="H9" i="12"/>
  <c r="J8" i="12"/>
  <c r="H8" i="12"/>
  <c r="G1" i="2"/>
  <c r="D18" i="2"/>
  <c r="I18" i="2" s="1"/>
  <c r="C18" i="2"/>
  <c r="G18" i="2" s="1"/>
  <c r="D17" i="2"/>
  <c r="I17" i="2" s="1"/>
  <c r="C17" i="2"/>
  <c r="G17" i="2" s="1"/>
  <c r="D16" i="2"/>
  <c r="I16" i="2" s="1"/>
  <c r="C16" i="2"/>
  <c r="G16" i="2" s="1"/>
  <c r="D15" i="2"/>
  <c r="I15" i="2" s="1"/>
  <c r="C15" i="2"/>
  <c r="D14" i="2"/>
  <c r="C14" i="2"/>
  <c r="G14" i="2" s="1"/>
  <c r="D13" i="2"/>
  <c r="I13" i="2" s="1"/>
  <c r="C13" i="2"/>
  <c r="D12" i="2"/>
  <c r="I12" i="2" s="1"/>
  <c r="C12" i="2"/>
  <c r="D11" i="2"/>
  <c r="I11" i="2" s="1"/>
  <c r="C11" i="2"/>
  <c r="D10" i="2"/>
  <c r="C10" i="2"/>
  <c r="A18" i="2"/>
  <c r="A17" i="2"/>
  <c r="A16" i="2"/>
  <c r="C8" i="3"/>
  <c r="G8" i="3" s="1"/>
  <c r="K1" i="10"/>
  <c r="P5" i="9"/>
  <c r="O5" i="7"/>
  <c r="N5" i="6"/>
  <c r="N5" i="5"/>
  <c r="H1" i="3"/>
  <c r="D1" i="1"/>
  <c r="P18" i="10"/>
  <c r="H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N11" i="3"/>
  <c r="L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A15" i="2"/>
  <c r="A14" i="2"/>
  <c r="A13" i="2"/>
  <c r="A12" i="2"/>
  <c r="A11" i="2"/>
  <c r="A10" i="2"/>
  <c r="D9" i="2"/>
  <c r="I9" i="2" s="1"/>
  <c r="C9" i="2"/>
  <c r="A9" i="2"/>
  <c r="D8" i="2"/>
  <c r="I8" i="2" s="1"/>
  <c r="C8" i="2"/>
  <c r="G8" i="2" s="1"/>
  <c r="A8" i="2"/>
  <c r="F14" i="10" l="1"/>
  <c r="M14" i="12"/>
  <c r="M10" i="12"/>
  <c r="M12" i="12"/>
  <c r="Q9" i="10"/>
  <c r="K9" i="12"/>
  <c r="I11" i="12"/>
  <c r="K11" i="12"/>
  <c r="M13" i="12"/>
  <c r="K15" i="12"/>
  <c r="G15" i="12"/>
  <c r="I9" i="12"/>
  <c r="K8" i="12"/>
  <c r="G8" i="12"/>
  <c r="K12" i="12"/>
  <c r="G12" i="12"/>
  <c r="I8" i="12"/>
  <c r="J11" i="3"/>
  <c r="H11" i="3"/>
  <c r="G13" i="2"/>
  <c r="I9" i="3"/>
  <c r="G9" i="2"/>
  <c r="K8" i="3"/>
  <c r="Q7" i="10"/>
  <c r="F14" i="9"/>
  <c r="G14" i="9" s="1"/>
  <c r="I14" i="9" s="1"/>
  <c r="I8" i="3"/>
  <c r="M8" i="3"/>
  <c r="M10" i="3"/>
  <c r="I10" i="2"/>
  <c r="G15" i="2"/>
  <c r="G11" i="2"/>
  <c r="F13" i="10"/>
  <c r="G13" i="10"/>
  <c r="M13" i="10" s="1"/>
  <c r="G12" i="2"/>
  <c r="G10" i="2"/>
  <c r="I14" i="2"/>
  <c r="G9" i="3"/>
  <c r="F13" i="9"/>
  <c r="G13" i="9" s="1"/>
  <c r="I13" i="9" s="1"/>
  <c r="G11" i="10"/>
  <c r="I11" i="10" s="1"/>
  <c r="E18" i="9"/>
  <c r="F18" i="9"/>
  <c r="P18" i="9" s="1"/>
  <c r="R18" i="9" s="1"/>
  <c r="G9" i="10"/>
  <c r="I9" i="10" s="1"/>
  <c r="Q16" i="10"/>
  <c r="G16" i="10"/>
  <c r="O16" i="10" s="1"/>
  <c r="G7" i="10"/>
  <c r="I7" i="10" s="1"/>
  <c r="Q11" i="10"/>
  <c r="G14" i="10"/>
  <c r="M14" i="10" s="1"/>
  <c r="N18" i="10"/>
  <c r="F16" i="9"/>
  <c r="G16" i="9" s="1"/>
  <c r="I16" i="9" s="1"/>
  <c r="E13" i="9"/>
  <c r="F20" i="9"/>
  <c r="E20" i="9"/>
  <c r="F10" i="9"/>
  <c r="G10" i="9" s="1"/>
  <c r="I10" i="9" s="1"/>
  <c r="E12" i="9"/>
  <c r="E14" i="9"/>
  <c r="E15" i="9"/>
  <c r="F15" i="9"/>
  <c r="G15" i="9" s="1"/>
  <c r="I15" i="9" s="1"/>
  <c r="I10" i="3"/>
  <c r="K10" i="3"/>
  <c r="E11" i="9"/>
  <c r="F11" i="9"/>
  <c r="G11" i="9" s="1"/>
  <c r="I11" i="9" s="1"/>
  <c r="F17" i="9"/>
  <c r="E17" i="9"/>
  <c r="K9" i="3"/>
  <c r="F12" i="9"/>
  <c r="G12" i="9" s="1"/>
  <c r="I12" i="9" s="1"/>
  <c r="E10" i="9"/>
  <c r="E16" i="9"/>
  <c r="F19" i="9"/>
  <c r="E19" i="9"/>
  <c r="G8" i="10"/>
  <c r="I8" i="10" s="1"/>
  <c r="Q8" i="10"/>
  <c r="F8" i="10"/>
  <c r="G10" i="10"/>
  <c r="I10" i="10" s="1"/>
  <c r="Q10" i="10"/>
  <c r="F10" i="10"/>
  <c r="G12" i="10"/>
  <c r="I12" i="10" s="1"/>
  <c r="Q12" i="10"/>
  <c r="F12" i="10"/>
  <c r="J18" i="10"/>
  <c r="L18" i="10"/>
  <c r="F7" i="10"/>
  <c r="F9" i="10"/>
  <c r="F11" i="10"/>
  <c r="Q13" i="10"/>
  <c r="Q14" i="10"/>
  <c r="G17" i="10"/>
  <c r="Q17" i="10"/>
  <c r="F17" i="10"/>
  <c r="G15" i="10"/>
  <c r="Q15" i="10"/>
  <c r="F15" i="10"/>
  <c r="F16" i="10"/>
  <c r="G18" i="9" l="1"/>
  <c r="I18" i="9" s="1"/>
  <c r="I16" i="10"/>
  <c r="I13" i="10"/>
  <c r="O21" i="9"/>
  <c r="G24" i="9" s="1"/>
  <c r="I14" i="10"/>
  <c r="J16" i="9"/>
  <c r="L16" i="9" s="1"/>
  <c r="G20" i="9"/>
  <c r="I20" i="9" s="1"/>
  <c r="P20" i="9"/>
  <c r="R20" i="9" s="1"/>
  <c r="I15" i="10"/>
  <c r="O15" i="10"/>
  <c r="R18" i="10"/>
  <c r="G17" i="9"/>
  <c r="I17" i="9" s="1"/>
  <c r="J17" i="9"/>
  <c r="L17" i="9" s="1"/>
  <c r="Q18" i="10"/>
  <c r="I17" i="10"/>
  <c r="O17" i="10"/>
  <c r="P19" i="9"/>
  <c r="R19" i="9" s="1"/>
  <c r="G19" i="9"/>
  <c r="I19" i="9" s="1"/>
  <c r="I21" i="9" l="1"/>
  <c r="G22" i="9" s="1"/>
  <c r="R21" i="9"/>
  <c r="G25" i="9" s="1"/>
  <c r="L21" i="9"/>
  <c r="G23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<sst xmlns="http://schemas.openxmlformats.org/spreadsheetml/2006/main" count="335" uniqueCount="112">
  <si>
    <t>차열재</t>
  </si>
  <si>
    <t>No</t>
  </si>
  <si>
    <t>비고</t>
  </si>
  <si>
    <t>합계</t>
  </si>
  <si>
    <t>규격</t>
  </si>
  <si>
    <t>TTL</t>
  </si>
  <si>
    <t>VT-064</t>
  </si>
  <si>
    <t>EZ F.B POSMAC Duct-VT-064</t>
  </si>
  <si>
    <t>EZ F.B POSMAC Duct-VT-01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</si>
  <si>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</si>
  <si>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</si>
  <si>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</si>
  <si>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</si>
  <si>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</si>
  <si>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</si>
  <si>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</si>
  <si>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</si>
  <si>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</si>
  <si>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절 곡 생 산 일 지(VT_보강대)</t>
  </si>
  <si>
    <t>VT-049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</si>
  <si>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</si>
  <si>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</si>
  <si>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</si>
  <si>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</si>
  <si>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</si>
  <si>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</si>
  <si>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</si>
  <si>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</si>
  <si>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</si>
  <si>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</si>
  <si>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</si>
  <si>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</si>
  <si>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</si>
  <si>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</si>
  <si>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</si>
  <si>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</si>
  <si>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</si>
  <si>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</si>
  <si>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</si>
  <si>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</si>
  <si>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</si>
  <si>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</si>
  <si>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</si>
  <si>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</si>
  <si>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</si>
  <si>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</si>
  <si>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</si>
  <si>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</si>
  <si>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</si>
  <si>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FS-MP25-0310-1</t>
  </si>
  <si>
    <t>FS-MP25-0310-5</t>
  </si>
  <si>
    <t>차열재생산일지(출하용)</t>
  </si>
  <si>
    <t>특이사항 및
 조치사항</t>
  </si>
  <si>
    <t>특이사항 및   조치사항</t>
  </si>
  <si>
    <t>VT-01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</si>
  <si>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</si>
  <si>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</si>
  <si>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</si>
  <si>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</si>
  <si>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</si>
  <si>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</si>
  <si>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</si>
  <si>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</si>
  <si>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</si>
  <si>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</si>
  <si>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</si>
  <si>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</si>
  <si>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</si>
  <si>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</si>
  <si>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</si>
  <si>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</si>
  <si>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</si>
  <si>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</si>
  <si>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</si>
  <si>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</si>
  <si>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31" type="noConversion"/>
  </si>
  <si>
    <t>재단작업지시서
(VT)</t>
    <phoneticPr fontId="31" type="noConversion"/>
  </si>
  <si>
    <t>재단작업지시서(VM)</t>
    <phoneticPr fontId="31" type="noConversion"/>
  </si>
  <si>
    <t>절 곡 생 산 일 지(VM)</t>
    <phoneticPr fontId="31" type="noConversion"/>
  </si>
  <si>
    <t>절 곡 생 산 일 지(VT_브라켓)</t>
    <phoneticPr fontId="31" type="noConversion"/>
  </si>
  <si>
    <t>라벨소요량</t>
    <phoneticPr fontId="31" type="noConversion"/>
  </si>
  <si>
    <t>25*
200</t>
    <phoneticPr fontId="31" type="noConversion"/>
  </si>
  <si>
    <t>구조체작업지시서</t>
    <phoneticPr fontId="31" type="noConversion"/>
  </si>
  <si>
    <t>차열재 25T*200*7.4M</t>
    <phoneticPr fontId="31" type="noConversion"/>
  </si>
  <si>
    <t>01</t>
    <phoneticPr fontId="31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</si>
  <si>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</si>
  <si>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</si>
  <si>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</si>
  <si>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</si>
  <si>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</si>
  <si>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</si>
  <si>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</si>
  <si>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</si>
  <si>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</si>
  <si>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</si>
  <si>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재단작업지시서차열재</t>
    <phoneticPr fontId="31" type="noConversion"/>
  </si>
  <si>
    <t>26.06.29 하나로_남화토건_거승공조_제주시 도시공원(오봉동)민간특례사업고양시설(음악당)</t>
    <phoneticPr fontId="31" type="noConversion"/>
  </si>
  <si>
    <t>전기실</t>
  </si>
  <si>
    <t>발전기실</t>
  </si>
  <si>
    <t>용역원실</t>
  </si>
  <si>
    <t>발전기실앞</t>
  </si>
  <si>
    <t>AR062</t>
    <phoneticPr fontId="31" type="noConversion"/>
  </si>
  <si>
    <t>AR063</t>
  </si>
  <si>
    <t>AR064</t>
  </si>
  <si>
    <t>AR065</t>
  </si>
  <si>
    <t>AR066</t>
  </si>
  <si>
    <t>AR067</t>
  </si>
  <si>
    <t>AR068</t>
  </si>
  <si>
    <t>AR069</t>
  </si>
  <si>
    <t>AR070</t>
  </si>
  <si>
    <t>AR071</t>
  </si>
  <si>
    <t>AR072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</si>
</sst>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8">
    <font>
      <sz val="11"/>
      <color rgb="FF000000"/>
      <name val="맑은 고딕"/>
    </font>
    <font>
      <sz val="10"/>
      <color rgb="FF000000"/>
      <name val="Helvetica Neue"/>
      <family val="3"/>
      <charset val="129"/>
    </font>
    <font>
      <b/>
      <sz val="10"/>
      <color rgb="FF000000"/>
      <name val="Helvetica Neue"/>
      <family val="3"/>
      <charset val="129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  <family val="3"/>
      <charset val="129"/>
    </font>
    <font>
      <sz val="10"/>
      <color rgb="FF002060"/>
      <name val="Helvetica Neue"/>
      <family val="3"/>
      <charset val="129"/>
    </font>
    <font>
      <b/>
      <sz val="11"/>
      <color rgb="FF002060"/>
      <name val="Helvetica Neue"/>
      <family val="3"/>
      <charset val="129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4472C4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  <family val="3"/>
      <charset val="129"/>
    </font>
    <font>
      <b/>
      <sz val="11"/>
      <color rgb="FF000000"/>
      <name val="Helvetica Neue"/>
      <family val="3"/>
      <charset val="129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3" fillId="0" borderId="24" xfId="0" applyFont="1" applyBorder="1" applyAlignment="1">
      <alignment horizontal="left" vertical="center"/>
    </xf>
    <xf numFmtId="0" fontId="30" fillId="0" borderId="0">
      <alignment vertical="center"/>
    </xf>
    <xf numFmtId="176" fontId="30" fillId="0" borderId="0">
      <alignment vertical="center"/>
    </xf>
    <xf numFmtId="0" fontId="1" fillId="0" borderId="0">
      <alignment vertical="center"/>
    </xf>
  </cellStyleXfs>
  <cellXfs count="3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0" borderId="0" xfId="2">
      <alignment vertical="center"/>
    </xf>
    <xf numFmtId="0" fontId="30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30" fillId="0" borderId="5" xfId="3" applyBorder="1" applyAlignment="1">
      <alignment horizontal="center" vertical="center"/>
    </xf>
    <xf numFmtId="176" fontId="30" fillId="0" borderId="6" xfId="3" applyBorder="1" applyAlignment="1">
      <alignment horizontal="center" vertical="center"/>
    </xf>
    <xf numFmtId="176" fontId="30" fillId="0" borderId="7" xfId="3" applyBorder="1" applyAlignment="1">
      <alignment horizontal="center" vertical="center"/>
    </xf>
    <xf numFmtId="176" fontId="30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76" fontId="30" fillId="0" borderId="10" xfId="3" applyBorder="1" applyAlignment="1">
      <alignment horizontal="center" vertical="center"/>
    </xf>
    <xf numFmtId="176" fontId="30" fillId="0" borderId="12" xfId="3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30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0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1" fillId="0" borderId="17" xfId="4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8" fillId="0" borderId="17" xfId="4" applyFont="1" applyBorder="1" applyAlignment="1">
      <alignment horizontal="center" vertical="center" shrinkToFit="1"/>
    </xf>
    <xf numFmtId="0" fontId="30" fillId="0" borderId="17" xfId="2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9" fillId="0" borderId="16" xfId="4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3" fillId="0" borderId="17" xfId="0" applyFont="1" applyBorder="1" applyAlignment="1">
      <alignment horizontal="center" vertical="center" shrinkToFit="1"/>
    </xf>
    <xf numFmtId="0" fontId="4" fillId="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shrinkToFit="1"/>
    </xf>
    <xf numFmtId="0" fontId="10" fillId="5" borderId="16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shrinkToFit="1"/>
    </xf>
    <xf numFmtId="0" fontId="17" fillId="0" borderId="16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3" xfId="4" applyFont="1" applyBorder="1" applyAlignment="1">
      <alignment horizontal="center" vertical="center" wrapText="1"/>
    </xf>
    <xf numFmtId="0" fontId="30" fillId="0" borderId="13" xfId="2" applyBorder="1" applyAlignment="1">
      <alignment horizontal="center" vertical="center" wrapText="1"/>
    </xf>
    <xf numFmtId="0" fontId="2" fillId="2" borderId="14" xfId="4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8" fillId="4" borderId="16" xfId="4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" fillId="2" borderId="17" xfId="4" applyFont="1" applyFill="1" applyBorder="1" applyAlignment="1">
      <alignment horizontal="center" vertical="center" wrapText="1"/>
    </xf>
    <xf numFmtId="0" fontId="18" fillId="3" borderId="16" xfId="4" applyFont="1" applyFill="1" applyBorder="1" applyAlignment="1">
      <alignment horizontal="center" vertical="center" wrapText="1"/>
    </xf>
    <xf numFmtId="0" fontId="18" fillId="6" borderId="16" xfId="4" applyFont="1" applyFill="1" applyBorder="1" applyAlignment="1">
      <alignment horizontal="center" vertical="center" wrapText="1"/>
    </xf>
    <xf numFmtId="0" fontId="21" fillId="0" borderId="16" xfId="2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 wrapText="1"/>
    </xf>
    <xf numFmtId="0" fontId="30" fillId="0" borderId="14" xfId="2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30" fillId="0" borderId="13" xfId="2" applyBorder="1" applyAlignment="1">
      <alignment vertical="center" wrapText="1"/>
    </xf>
    <xf numFmtId="0" fontId="30" fillId="0" borderId="16" xfId="2" applyBorder="1" applyAlignment="1">
      <alignment vertical="center" wrapText="1"/>
    </xf>
    <xf numFmtId="0" fontId="22" fillId="0" borderId="13" xfId="4" applyFont="1" applyBorder="1" applyAlignment="1">
      <alignment horizontal="center" vertical="center" wrapText="1"/>
    </xf>
    <xf numFmtId="0" fontId="22" fillId="0" borderId="16" xfId="4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5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10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34" fillId="6" borderId="16" xfId="4" applyFont="1" applyFill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5" fillId="0" borderId="18" xfId="2" applyFont="1" applyBorder="1">
      <alignment vertical="center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178" fontId="21" fillId="0" borderId="16" xfId="2" applyNumberFormat="1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0" fontId="34" fillId="4" borderId="13" xfId="4" applyFont="1" applyFill="1" applyBorder="1" applyAlignment="1">
      <alignment horizontal="center" vertical="center" wrapText="1"/>
    </xf>
    <xf numFmtId="0" fontId="19" fillId="0" borderId="13" xfId="2" applyFont="1" applyBorder="1" applyAlignment="1">
      <alignment horizontal="center" vertical="center" wrapText="1"/>
    </xf>
    <xf numFmtId="178" fontId="19" fillId="0" borderId="13" xfId="2" applyNumberFormat="1" applyFont="1" applyBorder="1" applyAlignment="1">
      <alignment horizontal="center" vertical="center" wrapText="1"/>
    </xf>
    <xf numFmtId="0" fontId="20" fillId="0" borderId="13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34" fillId="4" borderId="16" xfId="4" applyFont="1" applyFill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 wrapText="1"/>
    </xf>
    <xf numFmtId="178" fontId="19" fillId="0" borderId="16" xfId="2" applyNumberFormat="1" applyFont="1" applyBorder="1" applyAlignment="1">
      <alignment horizontal="center" vertical="center" wrapText="1"/>
    </xf>
    <xf numFmtId="0" fontId="20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34" fillId="3" borderId="16" xfId="4" applyFont="1" applyFill="1" applyBorder="1" applyAlignment="1">
      <alignment horizontal="center" vertical="center" wrapText="1"/>
    </xf>
    <xf numFmtId="177" fontId="6" fillId="5" borderId="16" xfId="0" applyNumberFormat="1" applyFont="1" applyFill="1" applyBorder="1" applyAlignment="1">
      <alignment horizontal="center" vertical="center" wrapText="1"/>
    </xf>
    <xf numFmtId="0" fontId="18" fillId="6" borderId="18" xfId="4" applyFont="1" applyFill="1" applyBorder="1" applyAlignment="1">
      <alignment horizontal="center" vertical="center" wrapText="1"/>
    </xf>
    <xf numFmtId="0" fontId="2" fillId="8" borderId="16" xfId="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5" xfId="4" applyFont="1" applyBorder="1" applyAlignment="1">
      <alignment horizontal="center" vertical="center"/>
    </xf>
    <xf numFmtId="0" fontId="0" fillId="0" borderId="26" xfId="4" applyFont="1" applyBorder="1" applyAlignment="1">
      <alignment horizontal="center" vertical="center"/>
    </xf>
    <xf numFmtId="0" fontId="32" fillId="0" borderId="33" xfId="4" applyFont="1" applyBorder="1" applyAlignment="1">
      <alignment horizontal="center" vertical="center" wrapText="1"/>
    </xf>
    <xf numFmtId="0" fontId="32" fillId="0" borderId="35" xfId="4" applyFont="1" applyBorder="1" applyAlignment="1">
      <alignment horizontal="center" vertical="center" wrapText="1"/>
    </xf>
    <xf numFmtId="0" fontId="32" fillId="0" borderId="0" xfId="4" applyFont="1" applyAlignment="1">
      <alignment horizontal="center" vertical="center" wrapText="1"/>
    </xf>
    <xf numFmtId="0" fontId="32" fillId="0" borderId="37" xfId="4" applyFont="1" applyBorder="1" applyAlignment="1">
      <alignment horizontal="center" vertical="center" wrapText="1"/>
    </xf>
    <xf numFmtId="0" fontId="32" fillId="0" borderId="32" xfId="4" applyFont="1" applyBorder="1" applyAlignment="1">
      <alignment horizontal="center" vertical="center" wrapText="1"/>
    </xf>
    <xf numFmtId="0" fontId="33" fillId="0" borderId="33" xfId="4" applyFont="1" applyBorder="1" applyAlignment="1">
      <alignment horizontal="center" vertical="center" shrinkToFit="1"/>
    </xf>
    <xf numFmtId="0" fontId="33" fillId="0" borderId="34" xfId="4" applyFont="1" applyBorder="1" applyAlignment="1">
      <alignment horizontal="center" vertical="center" shrinkToFit="1"/>
    </xf>
    <xf numFmtId="0" fontId="33" fillId="0" borderId="0" xfId="4" applyFont="1" applyAlignment="1">
      <alignment horizontal="center" vertical="center" shrinkToFit="1"/>
    </xf>
    <xf numFmtId="0" fontId="33" fillId="0" borderId="36" xfId="4" applyFont="1" applyBorder="1" applyAlignment="1">
      <alignment horizontal="center" vertical="center" shrinkToFit="1"/>
    </xf>
    <xf numFmtId="0" fontId="33" fillId="0" borderId="32" xfId="4" applyFont="1" applyBorder="1" applyAlignment="1">
      <alignment horizontal="center" vertical="center" shrinkToFit="1"/>
    </xf>
    <xf numFmtId="0" fontId="33" fillId="0" borderId="38" xfId="4" applyFont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1" fillId="8" borderId="15" xfId="4" applyFill="1" applyBorder="1" applyAlignment="1">
      <alignment horizontal="center" vertical="center" wrapText="1"/>
    </xf>
    <xf numFmtId="0" fontId="2" fillId="8" borderId="13" xfId="4" applyFont="1" applyFill="1" applyBorder="1" applyAlignment="1">
      <alignment horizontal="center" vertical="center" wrapText="1"/>
    </xf>
    <xf numFmtId="0" fontId="2" fillId="8" borderId="14" xfId="4" applyFont="1" applyFill="1" applyBorder="1" applyAlignment="1">
      <alignment horizontal="center" vertical="center" wrapText="1"/>
    </xf>
    <xf numFmtId="0" fontId="2" fillId="8" borderId="17" xfId="4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30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shrinkToFit="1"/>
    </xf>
    <xf numFmtId="0" fontId="25" fillId="0" borderId="3" xfId="0" applyFont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center" vertical="center" shrinkToFit="1"/>
    </xf>
    <xf numFmtId="0" fontId="25" fillId="0" borderId="27" xfId="0" applyFont="1" applyBorder="1" applyAlignment="1">
      <alignment horizontal="center" vertical="center" shrinkToFit="1"/>
    </xf>
    <xf numFmtId="0" fontId="5" fillId="4" borderId="1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 shrinkToFit="1"/>
    </xf>
    <xf numFmtId="0" fontId="37" fillId="0" borderId="28" xfId="0" applyFont="1" applyBorder="1" applyAlignment="1">
      <alignment horizontal="center" vertical="center" wrapText="1" shrinkToFit="1"/>
    </xf>
    <xf numFmtId="0" fontId="37" fillId="0" borderId="0" xfId="0" applyFont="1" applyAlignment="1">
      <alignment horizontal="center" vertical="center" wrapText="1" shrinkToFit="1"/>
    </xf>
    <xf numFmtId="0" fontId="37" fillId="0" borderId="23" xfId="0" applyFont="1" applyBorder="1" applyAlignment="1">
      <alignment horizontal="center" vertical="center" wrapText="1" shrinkToFit="1"/>
    </xf>
    <xf numFmtId="0" fontId="37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78" fontId="30" fillId="0" borderId="16" xfId="2" applyNumberFormat="1" applyBorder="1" applyAlignment="1">
      <alignment horizontal="center" vertical="center" wrapText="1"/>
    </xf>
    <xf numFmtId="0" fontId="30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30" fillId="0" borderId="19" xfId="2" applyBorder="1" applyAlignment="1">
      <alignment horizontal="center" vertical="center"/>
    </xf>
    <xf numFmtId="0" fontId="30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26" fillId="0" borderId="22" xfId="2" applyFont="1" applyBorder="1" applyAlignment="1">
      <alignment horizontal="center" vertical="center" shrinkToFit="1"/>
    </xf>
    <xf numFmtId="0" fontId="26" fillId="0" borderId="11" xfId="2" applyFont="1" applyBorder="1" applyAlignment="1">
      <alignment horizontal="center" vertical="center" shrinkToFit="1"/>
    </xf>
    <xf numFmtId="0" fontId="26" fillId="0" borderId="3" xfId="2" applyFont="1" applyBorder="1" applyAlignment="1">
      <alignment horizontal="center" vertical="center" shrinkToFit="1"/>
    </xf>
    <xf numFmtId="0" fontId="26" fillId="0" borderId="28" xfId="2" applyFont="1" applyBorder="1" applyAlignment="1">
      <alignment horizontal="center" vertical="center" shrinkToFit="1"/>
    </xf>
    <xf numFmtId="0" fontId="26" fillId="0" borderId="0" xfId="2" applyFont="1" applyAlignment="1">
      <alignment horizontal="center" vertical="center" shrinkToFit="1"/>
    </xf>
    <xf numFmtId="0" fontId="26" fillId="0" borderId="29" xfId="2" applyFont="1" applyBorder="1" applyAlignment="1">
      <alignment horizontal="center" vertical="center" shrinkToFit="1"/>
    </xf>
    <xf numFmtId="0" fontId="26" fillId="0" borderId="23" xfId="2" applyFont="1" applyBorder="1" applyAlignment="1">
      <alignment horizontal="center" vertical="center" shrinkToFit="1"/>
    </xf>
    <xf numFmtId="0" fontId="26" fillId="0" borderId="2" xfId="2" applyFont="1" applyBorder="1" applyAlignment="1">
      <alignment horizontal="center" vertical="center" shrinkToFit="1"/>
    </xf>
    <xf numFmtId="0" fontId="26" fillId="0" borderId="27" xfId="2" applyFont="1" applyBorder="1" applyAlignment="1">
      <alignment horizontal="center" vertical="center" shrinkToFit="1"/>
    </xf>
    <xf numFmtId="0" fontId="30" fillId="0" borderId="4" xfId="2" applyBorder="1" applyAlignment="1">
      <alignment horizontal="center" vertical="center"/>
    </xf>
    <xf numFmtId="0" fontId="30" fillId="0" borderId="26" xfId="2" applyBorder="1" applyAlignment="1">
      <alignment horizontal="center" vertical="center"/>
    </xf>
    <xf numFmtId="0" fontId="36" fillId="0" borderId="1" xfId="2" applyFont="1" applyBorder="1" applyAlignment="1">
      <alignment horizontal="center" vertical="center" wrapText="1"/>
    </xf>
    <xf numFmtId="0" fontId="30" fillId="0" borderId="22" xfId="2" applyBorder="1" applyAlignment="1">
      <alignment horizontal="center" vertical="center"/>
    </xf>
    <xf numFmtId="0" fontId="30" fillId="0" borderId="3" xfId="2" applyBorder="1" applyAlignment="1">
      <alignment horizontal="center" vertical="center"/>
    </xf>
    <xf numFmtId="178" fontId="5" fillId="0" borderId="13" xfId="2" applyNumberFormat="1" applyFont="1" applyBorder="1" applyAlignment="1">
      <alignment horizontal="center" vertical="center" wrapText="1"/>
    </xf>
    <xf numFmtId="178" fontId="5" fillId="0" borderId="16" xfId="2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9" xfId="2" applyFont="1" applyBorder="1" applyAlignment="1">
      <alignment horizontal="center" vertical="center" wrapText="1"/>
    </xf>
    <xf numFmtId="0" fontId="36" fillId="0" borderId="1" xfId="2" applyFont="1" applyBorder="1" applyAlignment="1">
      <alignment horizontal="center" vertical="center" wrapText="1" shrinkToFit="1"/>
    </xf>
    <xf numFmtId="0" fontId="26" fillId="0" borderId="22" xfId="2" applyFont="1" applyBorder="1" applyAlignment="1">
      <alignment horizontal="center" vertical="center"/>
    </xf>
    <xf numFmtId="0" fontId="26" fillId="0" borderId="11" xfId="2" applyFont="1" applyBorder="1" applyAlignment="1">
      <alignment horizontal="center" vertical="center"/>
    </xf>
    <xf numFmtId="0" fontId="26" fillId="0" borderId="3" xfId="2" applyFont="1" applyBorder="1" applyAlignment="1">
      <alignment horizontal="center" vertical="center"/>
    </xf>
    <xf numFmtId="0" fontId="26" fillId="0" borderId="28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9" xfId="2" applyFont="1" applyBorder="1" applyAlignment="1">
      <alignment horizontal="center" vertical="center"/>
    </xf>
    <xf numFmtId="0" fontId="26" fillId="0" borderId="23" xfId="2" applyFont="1" applyBorder="1" applyAlignment="1">
      <alignment horizontal="center" vertical="center"/>
    </xf>
    <xf numFmtId="0" fontId="26" fillId="0" borderId="2" xfId="2" applyFont="1" applyBorder="1" applyAlignment="1">
      <alignment horizontal="center" vertical="center"/>
    </xf>
    <xf numFmtId="0" fontId="26" fillId="0" borderId="27" xfId="2" applyFont="1" applyBorder="1" applyAlignment="1">
      <alignment horizontal="center" vertical="center"/>
    </xf>
    <xf numFmtId="0" fontId="30" fillId="0" borderId="23" xfId="2" applyBorder="1" applyAlignment="1">
      <alignment horizontal="center" vertical="center"/>
    </xf>
    <xf numFmtId="0" fontId="30" fillId="0" borderId="27" xfId="2" applyBorder="1" applyAlignment="1">
      <alignment horizontal="center" vertical="center"/>
    </xf>
    <xf numFmtId="0" fontId="30" fillId="0" borderId="9" xfId="2" applyBorder="1" applyAlignment="1">
      <alignment horizontal="center" vertical="center"/>
    </xf>
    <xf numFmtId="0" fontId="6" fillId="0" borderId="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wrapText="1"/>
    </xf>
    <xf numFmtId="41" fontId="30" fillId="0" borderId="13" xfId="2" applyNumberFormat="1" applyBorder="1" applyAlignment="1">
      <alignment horizontal="left" vertical="center" wrapText="1"/>
    </xf>
    <xf numFmtId="0" fontId="30" fillId="0" borderId="13" xfId="2" applyBorder="1" applyAlignment="1">
      <alignment horizontal="left" vertical="center" wrapText="1"/>
    </xf>
    <xf numFmtId="41" fontId="30" fillId="0" borderId="16" xfId="2" applyNumberFormat="1" applyBorder="1" applyAlignment="1">
      <alignment horizontal="left" vertical="center" wrapText="1"/>
    </xf>
    <xf numFmtId="0" fontId="30" fillId="0" borderId="16" xfId="2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6" fillId="0" borderId="22" xfId="0" applyFont="1" applyBorder="1" applyAlignment="1">
      <alignment horizontal="center" vertical="center" wrapText="1" shrinkToFit="1"/>
    </xf>
    <xf numFmtId="0" fontId="36" fillId="0" borderId="11" xfId="0" applyFont="1" applyBorder="1" applyAlignment="1">
      <alignment horizontal="center" vertical="center" wrapText="1" shrinkToFit="1"/>
    </xf>
    <xf numFmtId="0" fontId="36" fillId="0" borderId="3" xfId="0" applyFont="1" applyBorder="1" applyAlignment="1">
      <alignment horizontal="center" vertical="center" wrapText="1" shrinkToFit="1"/>
    </xf>
    <xf numFmtId="0" fontId="36" fillId="0" borderId="23" xfId="0" applyFont="1" applyBorder="1" applyAlignment="1">
      <alignment horizontal="center" vertical="center" wrapText="1" shrinkToFit="1"/>
    </xf>
    <xf numFmtId="0" fontId="36" fillId="0" borderId="2" xfId="0" applyFont="1" applyBorder="1" applyAlignment="1">
      <alignment horizontal="center" vertical="center" wrapText="1" shrinkToFit="1"/>
    </xf>
    <xf numFmtId="0" fontId="36" fillId="0" borderId="27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523874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15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9"/>
  <sheetViews>
    <sheetView view="pageBreakPreview" zoomScale="120" zoomScaleNormal="120" zoomScaleSheetLayoutView="120" workbookViewId="0">
      <pane ySplit="8" topLeftCell="A9" activePane="bottomLeft" state="frozen"/>
      <selection pane="bottomLeft" activeCell="Q9" sqref="Q9:Q19"/>
    </sheetView>
  </sheetViews>
  <sheetFormatPr defaultColWidth="8" defaultRowHeight="12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34" t="s">
        <v>82</v>
      </c>
      <c r="B1" s="137"/>
      <c r="C1" s="137"/>
      <c r="D1" s="142" t="str">
        <f>R2</f>
        <v>26.06.29 하나로_남화토건_거승공조_제주시 도시공원(오봉동)민간특례사업고양시설(음악당)</v>
      </c>
      <c r="E1" s="142"/>
      <c r="F1" s="142"/>
      <c r="G1" s="143"/>
      <c r="R1" s="8" t="s">
        <v>75</v>
      </c>
    </row>
    <row r="2" spans="1:18" ht="16.5" customHeight="1">
      <c r="A2" s="138"/>
      <c r="B2" s="139"/>
      <c r="C2" s="139"/>
      <c r="D2" s="144"/>
      <c r="E2" s="144"/>
      <c r="F2" s="144"/>
      <c r="G2" s="145"/>
      <c r="R2" s="93" t="s">
        <v>96</v>
      </c>
    </row>
    <row r="3" spans="1:18" ht="16.5" customHeight="1">
      <c r="A3" s="138"/>
      <c r="B3" s="139"/>
      <c r="C3" s="139"/>
      <c r="D3" s="144"/>
      <c r="E3" s="144"/>
      <c r="F3" s="144"/>
      <c r="G3" s="145"/>
    </row>
    <row r="4" spans="1:18" ht="17.25" customHeight="1" thickBot="1">
      <c r="A4" s="140"/>
      <c r="B4" s="141"/>
      <c r="C4" s="141"/>
      <c r="D4" s="146"/>
      <c r="E4" s="146"/>
      <c r="F4" s="146"/>
      <c r="G4" s="147"/>
    </row>
    <row r="5" spans="1:18" ht="6.75" customHeight="1" thickTop="1">
      <c r="A5" s="94"/>
      <c r="B5" s="94"/>
      <c r="C5" s="94"/>
      <c r="D5" s="94"/>
      <c r="E5" s="94"/>
      <c r="F5" s="94"/>
      <c r="G5" s="94"/>
    </row>
    <row r="6" spans="1:18" s="10" customFormat="1" ht="18" customHeight="1" thickBot="1">
      <c r="A6" s="148" t="s">
        <v>1</v>
      </c>
      <c r="B6" s="150" t="s">
        <v>74</v>
      </c>
      <c r="C6" s="150" t="s">
        <v>4</v>
      </c>
      <c r="D6" s="150"/>
      <c r="E6" s="150" t="s">
        <v>48</v>
      </c>
      <c r="F6" s="150" t="s">
        <v>43</v>
      </c>
      <c r="G6" s="151" t="s">
        <v>22</v>
      </c>
      <c r="H6" s="9"/>
      <c r="I6" s="1" t="s">
        <v>12</v>
      </c>
      <c r="J6" s="1"/>
      <c r="K6" s="1"/>
      <c r="L6" s="1"/>
      <c r="M6" s="1"/>
      <c r="N6" s="1"/>
      <c r="O6" s="8"/>
    </row>
    <row r="7" spans="1:18" s="10" customFormat="1" ht="18" customHeight="1">
      <c r="A7" s="149"/>
      <c r="B7" s="133"/>
      <c r="C7" s="133" t="s">
        <v>71</v>
      </c>
      <c r="D7" s="133" t="s">
        <v>69</v>
      </c>
      <c r="E7" s="133"/>
      <c r="F7" s="133"/>
      <c r="G7" s="152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49"/>
      <c r="B8" s="133"/>
      <c r="C8" s="133"/>
      <c r="D8" s="133"/>
      <c r="E8" s="133"/>
      <c r="F8" s="133"/>
      <c r="G8" s="152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13" t="s">
        <v>84</v>
      </c>
      <c r="B9" s="64" t="s">
        <v>19</v>
      </c>
      <c r="C9" s="32">
        <v>450</v>
      </c>
      <c r="D9" s="32">
        <v>250</v>
      </c>
      <c r="E9" s="95"/>
      <c r="F9" s="95"/>
      <c r="G9" s="96" t="s">
        <v>97</v>
      </c>
      <c r="H9" s="13"/>
      <c r="I9" s="26"/>
      <c r="J9" s="25"/>
      <c r="K9" s="20"/>
      <c r="L9" s="21"/>
      <c r="M9" s="22"/>
      <c r="N9" s="25"/>
      <c r="O9" s="8"/>
      <c r="Q9" s="10" t="s">
        <v>101</v>
      </c>
    </row>
    <row r="10" spans="1:18" s="10" customFormat="1" ht="18" customHeight="1" thickBot="1">
      <c r="A10" s="113" t="s">
        <v>85</v>
      </c>
      <c r="B10" s="64" t="s">
        <v>19</v>
      </c>
      <c r="C10" s="32">
        <v>450</v>
      </c>
      <c r="D10" s="32">
        <v>250</v>
      </c>
      <c r="E10" s="80"/>
      <c r="F10" s="95"/>
      <c r="G10" s="96" t="s">
        <v>97</v>
      </c>
      <c r="H10" s="13"/>
      <c r="I10" s="26"/>
      <c r="J10" s="25"/>
      <c r="K10" s="20"/>
      <c r="L10" s="21"/>
      <c r="M10" s="22"/>
      <c r="N10" s="25"/>
      <c r="O10" s="8"/>
      <c r="Q10" s="10" t="s">
        <v>102</v>
      </c>
    </row>
    <row r="11" spans="1:18" s="10" customFormat="1" ht="18" customHeight="1" thickBot="1">
      <c r="A11" s="113" t="s">
        <v>86</v>
      </c>
      <c r="B11" s="64" t="s">
        <v>19</v>
      </c>
      <c r="C11" s="32">
        <v>450</v>
      </c>
      <c r="D11" s="32">
        <v>250</v>
      </c>
      <c r="E11" s="80"/>
      <c r="F11" s="95"/>
      <c r="G11" s="96" t="s">
        <v>97</v>
      </c>
      <c r="H11" s="13"/>
      <c r="I11" s="26"/>
      <c r="J11" s="25"/>
      <c r="K11" s="20"/>
      <c r="L11" s="21"/>
      <c r="M11" s="22"/>
      <c r="N11" s="25"/>
      <c r="O11" s="8"/>
      <c r="Q11" s="10" t="s">
        <v>103</v>
      </c>
    </row>
    <row r="12" spans="1:18" s="10" customFormat="1" ht="18" customHeight="1" thickBot="1">
      <c r="A12" s="113" t="s">
        <v>87</v>
      </c>
      <c r="B12" s="64" t="s">
        <v>19</v>
      </c>
      <c r="C12" s="32">
        <v>450</v>
      </c>
      <c r="D12" s="32">
        <v>250</v>
      </c>
      <c r="E12" s="80"/>
      <c r="F12" s="95"/>
      <c r="G12" s="96" t="s">
        <v>97</v>
      </c>
      <c r="H12" s="13"/>
      <c r="I12" s="26"/>
      <c r="J12" s="25"/>
      <c r="K12" s="20"/>
      <c r="L12" s="21"/>
      <c r="M12" s="22"/>
      <c r="N12" s="25"/>
      <c r="O12" s="8"/>
      <c r="Q12" s="10" t="s">
        <v>104</v>
      </c>
    </row>
    <row r="13" spans="1:18" s="10" customFormat="1" ht="18" customHeight="1" thickBot="1">
      <c r="A13" s="113" t="s">
        <v>88</v>
      </c>
      <c r="B13" s="64" t="s">
        <v>19</v>
      </c>
      <c r="C13" s="32">
        <v>500</v>
      </c>
      <c r="D13" s="32">
        <v>400</v>
      </c>
      <c r="E13" s="80"/>
      <c r="F13" s="95"/>
      <c r="G13" s="96" t="s">
        <v>98</v>
      </c>
      <c r="H13" s="13"/>
      <c r="I13" s="12"/>
      <c r="J13" s="12"/>
      <c r="K13" s="20"/>
      <c r="L13" s="21"/>
      <c r="M13" s="22"/>
      <c r="N13" s="12"/>
      <c r="O13" s="8"/>
      <c r="Q13" s="10" t="s">
        <v>105</v>
      </c>
    </row>
    <row r="14" spans="1:18" s="10" customFormat="1" ht="18" customHeight="1" thickBot="1">
      <c r="A14" s="113" t="s">
        <v>89</v>
      </c>
      <c r="B14" s="64" t="s">
        <v>19</v>
      </c>
      <c r="C14" s="32">
        <v>500</v>
      </c>
      <c r="D14" s="32">
        <v>400</v>
      </c>
      <c r="E14" s="80"/>
      <c r="F14" s="95"/>
      <c r="G14" s="96" t="s">
        <v>98</v>
      </c>
      <c r="H14" s="13"/>
      <c r="I14" s="26"/>
      <c r="J14" s="25"/>
      <c r="K14" s="20"/>
      <c r="L14" s="21"/>
      <c r="M14" s="22"/>
      <c r="N14" s="25"/>
      <c r="O14" s="8"/>
      <c r="Q14" s="10" t="s">
        <v>106</v>
      </c>
    </row>
    <row r="15" spans="1:18" s="10" customFormat="1" ht="18" customHeight="1" thickBot="1">
      <c r="A15" s="113" t="s">
        <v>90</v>
      </c>
      <c r="B15" s="68" t="s">
        <v>6</v>
      </c>
      <c r="C15" s="32">
        <v>850</v>
      </c>
      <c r="D15" s="32">
        <v>600</v>
      </c>
      <c r="E15" s="95"/>
      <c r="F15" s="95"/>
      <c r="G15" s="96" t="s">
        <v>97</v>
      </c>
      <c r="H15" s="13"/>
      <c r="I15" s="26"/>
      <c r="J15" s="25"/>
      <c r="K15" s="20"/>
      <c r="L15" s="21"/>
      <c r="M15" s="22"/>
      <c r="N15" s="25"/>
      <c r="O15" s="8"/>
      <c r="Q15" s="10" t="s">
        <v>107</v>
      </c>
    </row>
    <row r="16" spans="1:18" s="10" customFormat="1" ht="18" customHeight="1" thickBot="1">
      <c r="A16" s="113" t="s">
        <v>91</v>
      </c>
      <c r="B16" s="68" t="s">
        <v>6</v>
      </c>
      <c r="C16" s="32">
        <v>850</v>
      </c>
      <c r="D16" s="32">
        <v>600</v>
      </c>
      <c r="E16" s="80"/>
      <c r="F16" s="95"/>
      <c r="G16" s="96" t="s">
        <v>97</v>
      </c>
      <c r="H16" s="13"/>
      <c r="I16" s="26"/>
      <c r="J16" s="25"/>
      <c r="K16" s="20"/>
      <c r="L16" s="21"/>
      <c r="M16" s="22"/>
      <c r="N16" s="25"/>
      <c r="O16" s="8"/>
      <c r="Q16" s="10" t="s">
        <v>108</v>
      </c>
    </row>
    <row r="17" spans="1:17" s="10" customFormat="1" ht="16.5">
      <c r="A17" s="113" t="s">
        <v>92</v>
      </c>
      <c r="B17" s="69" t="s">
        <v>54</v>
      </c>
      <c r="C17" s="32">
        <v>1450</v>
      </c>
      <c r="D17" s="32">
        <v>900</v>
      </c>
      <c r="E17" s="80"/>
      <c r="F17" s="95"/>
      <c r="G17" s="96" t="s">
        <v>99</v>
      </c>
      <c r="H17" s="13"/>
      <c r="I17" s="7"/>
      <c r="J17" s="7"/>
      <c r="K17" s="20"/>
      <c r="L17" s="21"/>
      <c r="M17" s="22"/>
      <c r="N17" s="7"/>
      <c r="O17" s="8"/>
      <c r="Q17" s="10" t="s">
        <v>109</v>
      </c>
    </row>
    <row r="18" spans="1:17" s="10" customFormat="1" ht="16.5">
      <c r="A18" s="113" t="s">
        <v>93</v>
      </c>
      <c r="B18" s="69" t="s">
        <v>54</v>
      </c>
      <c r="C18" s="32">
        <v>1500</v>
      </c>
      <c r="D18" s="32">
        <v>500</v>
      </c>
      <c r="E18" s="80"/>
      <c r="F18" s="95"/>
      <c r="G18" s="96" t="s">
        <v>100</v>
      </c>
      <c r="H18" s="13"/>
      <c r="I18" s="7"/>
      <c r="J18" s="7"/>
      <c r="K18" s="19"/>
      <c r="L18" s="19"/>
      <c r="M18" s="19"/>
      <c r="N18" s="7"/>
      <c r="O18" s="8"/>
      <c r="Q18" s="10" t="s">
        <v>110</v>
      </c>
    </row>
    <row r="19" spans="1:17" s="10" customFormat="1" ht="16.5">
      <c r="A19" s="113" t="s">
        <v>94</v>
      </c>
      <c r="B19" s="69" t="s">
        <v>54</v>
      </c>
      <c r="C19" s="32">
        <v>1600</v>
      </c>
      <c r="D19" s="32">
        <v>500</v>
      </c>
      <c r="E19" s="95"/>
      <c r="F19" s="95"/>
      <c r="G19" s="96" t="s">
        <v>100</v>
      </c>
      <c r="H19" s="13"/>
      <c r="I19" s="134"/>
      <c r="J19" s="135"/>
      <c r="K19" s="136"/>
      <c r="L19" s="8"/>
      <c r="M19" s="134"/>
      <c r="N19" s="135"/>
      <c r="O19" s="136"/>
      <c r="Q19" s="10" t="s">
        <v>111</v>
      </c>
    </row>
  </sheetData>
  <mergeCells count="13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  <mergeCell ref="I19:K19"/>
    <mergeCell ref="M19:O19"/>
  </mergeCells>
  <phoneticPr fontId="31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9"/>
  <sheetViews>
    <sheetView zoomScaleNormal="100" zoomScaleSheetLayoutView="100" workbookViewId="0">
      <selection activeCell="E27" sqref="E27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34"/>
      <c r="B1" s="134"/>
      <c r="C1" s="134"/>
      <c r="D1" s="134"/>
      <c r="E1" s="153" t="s">
        <v>77</v>
      </c>
      <c r="F1" s="154"/>
      <c r="G1" s="154"/>
      <c r="H1" s="154" t="str">
        <f>'1. 소켓인수검사'!R2</f>
        <v>26.06.29 하나로_남화토건_거승공조_제주시 도시공원(오봉동)민간특례사업고양시설(음악당)</v>
      </c>
      <c r="I1" s="154"/>
      <c r="J1" s="154"/>
      <c r="K1" s="154"/>
      <c r="L1" s="154"/>
      <c r="M1" s="154"/>
      <c r="N1" s="154"/>
      <c r="O1" s="159"/>
    </row>
    <row r="2" spans="1:15" ht="16.5" customHeight="1">
      <c r="A2" s="134"/>
      <c r="B2" s="134"/>
      <c r="C2" s="134"/>
      <c r="D2" s="134"/>
      <c r="E2" s="155"/>
      <c r="F2" s="156"/>
      <c r="G2" s="156"/>
      <c r="H2" s="156"/>
      <c r="I2" s="156"/>
      <c r="J2" s="156"/>
      <c r="K2" s="156"/>
      <c r="L2" s="156"/>
      <c r="M2" s="156"/>
      <c r="N2" s="156"/>
      <c r="O2" s="160"/>
    </row>
    <row r="3" spans="1:15" ht="16.5" customHeight="1">
      <c r="A3" s="134"/>
      <c r="B3" s="134"/>
      <c r="C3" s="134"/>
      <c r="D3" s="134"/>
      <c r="E3" s="157"/>
      <c r="F3" s="158"/>
      <c r="G3" s="158"/>
      <c r="H3" s="158"/>
      <c r="I3" s="158"/>
      <c r="J3" s="158"/>
      <c r="K3" s="158"/>
      <c r="L3" s="158"/>
      <c r="M3" s="158"/>
      <c r="N3" s="158"/>
      <c r="O3" s="161"/>
    </row>
    <row r="4" spans="1:15" ht="8.1" customHeight="1">
      <c r="A4" s="162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</row>
    <row r="5" spans="1:15" ht="26.45" customHeight="1">
      <c r="A5" s="163" t="s">
        <v>64</v>
      </c>
      <c r="B5" s="164" t="s">
        <v>74</v>
      </c>
      <c r="C5" s="167" t="s">
        <v>4</v>
      </c>
      <c r="D5" s="167"/>
      <c r="E5" s="167" t="s">
        <v>29</v>
      </c>
      <c r="F5" s="168" t="s">
        <v>62</v>
      </c>
      <c r="G5" s="171" t="s">
        <v>25</v>
      </c>
      <c r="H5" s="172"/>
      <c r="I5" s="172"/>
      <c r="J5" s="173"/>
      <c r="K5" s="171" t="s">
        <v>39</v>
      </c>
      <c r="L5" s="172"/>
      <c r="M5" s="172"/>
      <c r="N5" s="172"/>
      <c r="O5" s="168" t="s">
        <v>2</v>
      </c>
    </row>
    <row r="6" spans="1:15" ht="16.5" customHeight="1">
      <c r="A6" s="163"/>
      <c r="B6" s="165"/>
      <c r="C6" s="167" t="s">
        <v>71</v>
      </c>
      <c r="D6" s="167" t="s">
        <v>69</v>
      </c>
      <c r="E6" s="167"/>
      <c r="F6" s="169"/>
      <c r="G6" s="167" t="s">
        <v>71</v>
      </c>
      <c r="H6" s="167"/>
      <c r="I6" s="167" t="s">
        <v>69</v>
      </c>
      <c r="J6" s="167"/>
      <c r="K6" s="167" t="s">
        <v>73</v>
      </c>
      <c r="L6" s="167"/>
      <c r="M6" s="171" t="s">
        <v>70</v>
      </c>
      <c r="N6" s="172"/>
      <c r="O6" s="169"/>
    </row>
    <row r="7" spans="1:15">
      <c r="A7" s="163"/>
      <c r="B7" s="166"/>
      <c r="C7" s="167"/>
      <c r="D7" s="167"/>
      <c r="E7" s="167"/>
      <c r="F7" s="170"/>
      <c r="G7" s="115" t="s">
        <v>4</v>
      </c>
      <c r="H7" s="115" t="s">
        <v>36</v>
      </c>
      <c r="I7" s="118" t="s">
        <v>4</v>
      </c>
      <c r="J7" s="117" t="s">
        <v>36</v>
      </c>
      <c r="K7" s="115" t="s">
        <v>4</v>
      </c>
      <c r="L7" s="115" t="s">
        <v>62</v>
      </c>
      <c r="M7" s="115" t="s">
        <v>4</v>
      </c>
      <c r="N7" s="116" t="s">
        <v>62</v>
      </c>
      <c r="O7" s="170"/>
    </row>
    <row r="8" spans="1:15">
      <c r="A8" s="119" t="str">
        <f>'1. 소켓인수검사'!A9</f>
        <v>01</v>
      </c>
      <c r="B8" s="120" t="s">
        <v>19</v>
      </c>
      <c r="C8" s="74">
        <f>'1. 소켓인수검사'!C9</f>
        <v>450</v>
      </c>
      <c r="D8" s="74">
        <f>'1. 소켓인수검사'!D9</f>
        <v>250</v>
      </c>
      <c r="E8" s="60"/>
      <c r="F8" s="74">
        <v>1</v>
      </c>
      <c r="G8" s="121">
        <f>C8-5</f>
        <v>445</v>
      </c>
      <c r="H8" s="74">
        <f t="shared" ref="H8:H13" si="0">F8*4</f>
        <v>4</v>
      </c>
      <c r="I8" s="122">
        <f t="shared" ref="I8:I13" si="1">D8-30</f>
        <v>220</v>
      </c>
      <c r="J8" s="74">
        <f t="shared" ref="J8:J13" si="2">F8*4</f>
        <v>4</v>
      </c>
      <c r="K8" s="123">
        <f t="shared" ref="K8:K13" si="3">C8+60</f>
        <v>510</v>
      </c>
      <c r="L8" s="74">
        <v>2</v>
      </c>
      <c r="M8" s="123">
        <f>D8</f>
        <v>250</v>
      </c>
      <c r="N8" s="74">
        <v>2</v>
      </c>
      <c r="O8" s="62"/>
    </row>
    <row r="9" spans="1:15">
      <c r="A9" s="124" t="str">
        <f>'1. 소켓인수검사'!A10</f>
        <v>02</v>
      </c>
      <c r="B9" s="125" t="s">
        <v>19</v>
      </c>
      <c r="C9" s="76">
        <f>'1. 소켓인수검사'!C10</f>
        <v>450</v>
      </c>
      <c r="D9" s="76">
        <f>'1. 소켓인수검사'!D10</f>
        <v>250</v>
      </c>
      <c r="E9" s="42"/>
      <c r="F9" s="76">
        <v>1</v>
      </c>
      <c r="G9" s="126">
        <f t="shared" ref="G9:G13" si="4">C9-5</f>
        <v>445</v>
      </c>
      <c r="H9" s="76">
        <f t="shared" si="0"/>
        <v>4</v>
      </c>
      <c r="I9" s="127">
        <f t="shared" si="1"/>
        <v>220</v>
      </c>
      <c r="J9" s="76">
        <f t="shared" si="2"/>
        <v>4</v>
      </c>
      <c r="K9" s="128">
        <f t="shared" si="3"/>
        <v>510</v>
      </c>
      <c r="L9" s="76">
        <v>2</v>
      </c>
      <c r="M9" s="128">
        <f t="shared" ref="M9:M13" si="5">D9</f>
        <v>250</v>
      </c>
      <c r="N9" s="76">
        <v>2</v>
      </c>
      <c r="O9" s="129"/>
    </row>
    <row r="10" spans="1:15">
      <c r="A10" s="124" t="str">
        <f>'1. 소켓인수검사'!A11</f>
        <v>03</v>
      </c>
      <c r="B10" s="125" t="s">
        <v>19</v>
      </c>
      <c r="C10" s="76">
        <f>'1. 소켓인수검사'!C11</f>
        <v>450</v>
      </c>
      <c r="D10" s="76">
        <f>'1. 소켓인수검사'!D11</f>
        <v>250</v>
      </c>
      <c r="E10" s="42"/>
      <c r="F10" s="76">
        <v>1</v>
      </c>
      <c r="G10" s="126">
        <f t="shared" si="4"/>
        <v>445</v>
      </c>
      <c r="H10" s="76">
        <f t="shared" si="0"/>
        <v>4</v>
      </c>
      <c r="I10" s="127">
        <f t="shared" si="1"/>
        <v>220</v>
      </c>
      <c r="J10" s="76">
        <f t="shared" si="2"/>
        <v>4</v>
      </c>
      <c r="K10" s="128">
        <f t="shared" si="3"/>
        <v>510</v>
      </c>
      <c r="L10" s="76">
        <v>2</v>
      </c>
      <c r="M10" s="128">
        <f t="shared" si="5"/>
        <v>250</v>
      </c>
      <c r="N10" s="76">
        <v>2</v>
      </c>
      <c r="O10" s="129"/>
    </row>
    <row r="11" spans="1:15">
      <c r="A11" s="124" t="str">
        <f>'1. 소켓인수검사'!A12</f>
        <v>04</v>
      </c>
      <c r="B11" s="125" t="s">
        <v>19</v>
      </c>
      <c r="C11" s="76">
        <f>'1. 소켓인수검사'!C12</f>
        <v>450</v>
      </c>
      <c r="D11" s="76">
        <f>'1. 소켓인수검사'!D12</f>
        <v>250</v>
      </c>
      <c r="E11" s="42"/>
      <c r="F11" s="76">
        <v>1</v>
      </c>
      <c r="G11" s="126">
        <f t="shared" si="4"/>
        <v>445</v>
      </c>
      <c r="H11" s="76">
        <f t="shared" si="0"/>
        <v>4</v>
      </c>
      <c r="I11" s="127">
        <f t="shared" si="1"/>
        <v>220</v>
      </c>
      <c r="J11" s="76">
        <f t="shared" si="2"/>
        <v>4</v>
      </c>
      <c r="K11" s="128">
        <f t="shared" si="3"/>
        <v>510</v>
      </c>
      <c r="L11" s="76">
        <v>2</v>
      </c>
      <c r="M11" s="128">
        <f t="shared" si="5"/>
        <v>250</v>
      </c>
      <c r="N11" s="76">
        <v>2</v>
      </c>
      <c r="O11" s="129"/>
    </row>
    <row r="12" spans="1:15">
      <c r="A12" s="124" t="str">
        <f>'1. 소켓인수검사'!A13</f>
        <v>05</v>
      </c>
      <c r="B12" s="125" t="s">
        <v>19</v>
      </c>
      <c r="C12" s="76">
        <f>'1. 소켓인수검사'!C13</f>
        <v>500</v>
      </c>
      <c r="D12" s="76">
        <f>'1. 소켓인수검사'!D13</f>
        <v>400</v>
      </c>
      <c r="E12" s="42"/>
      <c r="F12" s="76">
        <v>1</v>
      </c>
      <c r="G12" s="126">
        <f t="shared" si="4"/>
        <v>495</v>
      </c>
      <c r="H12" s="76">
        <f t="shared" si="0"/>
        <v>4</v>
      </c>
      <c r="I12" s="127">
        <f t="shared" si="1"/>
        <v>370</v>
      </c>
      <c r="J12" s="76">
        <f t="shared" si="2"/>
        <v>4</v>
      </c>
      <c r="K12" s="128">
        <f t="shared" si="3"/>
        <v>560</v>
      </c>
      <c r="L12" s="76">
        <v>2</v>
      </c>
      <c r="M12" s="128">
        <f t="shared" si="5"/>
        <v>400</v>
      </c>
      <c r="N12" s="76">
        <v>2</v>
      </c>
      <c r="O12" s="129"/>
    </row>
    <row r="13" spans="1:15">
      <c r="A13" s="124" t="str">
        <f>'1. 소켓인수검사'!A14</f>
        <v>06</v>
      </c>
      <c r="B13" s="125" t="s">
        <v>19</v>
      </c>
      <c r="C13" s="76">
        <f>'1. 소켓인수검사'!C14</f>
        <v>500</v>
      </c>
      <c r="D13" s="76">
        <f>'1. 소켓인수검사'!D14</f>
        <v>400</v>
      </c>
      <c r="E13" s="42"/>
      <c r="F13" s="76">
        <v>1</v>
      </c>
      <c r="G13" s="126">
        <f t="shared" si="4"/>
        <v>495</v>
      </c>
      <c r="H13" s="76">
        <f t="shared" si="0"/>
        <v>4</v>
      </c>
      <c r="I13" s="127">
        <f t="shared" si="1"/>
        <v>370</v>
      </c>
      <c r="J13" s="76">
        <f t="shared" si="2"/>
        <v>4</v>
      </c>
      <c r="K13" s="128">
        <f t="shared" si="3"/>
        <v>560</v>
      </c>
      <c r="L13" s="76">
        <v>2</v>
      </c>
      <c r="M13" s="128">
        <f t="shared" si="5"/>
        <v>400</v>
      </c>
      <c r="N13" s="76">
        <v>2</v>
      </c>
      <c r="O13" s="129"/>
    </row>
    <row r="14" spans="1:15">
      <c r="A14" s="124" t="str">
        <f>'1. 소켓인수검사'!A15</f>
        <v>07</v>
      </c>
      <c r="B14" s="130" t="s">
        <v>6</v>
      </c>
      <c r="C14" s="76">
        <f>'1. 소켓인수검사'!C15</f>
        <v>850</v>
      </c>
      <c r="D14" s="76">
        <f>'1. 소켓인수검사'!D15</f>
        <v>600</v>
      </c>
      <c r="E14" s="42"/>
      <c r="F14" s="76">
        <v>1</v>
      </c>
      <c r="G14" s="126">
        <f t="shared" ref="G14:G15" si="6">C14-5</f>
        <v>845</v>
      </c>
      <c r="H14" s="76">
        <f t="shared" ref="H14:H15" si="7">F14*4</f>
        <v>4</v>
      </c>
      <c r="I14" s="127">
        <f t="shared" ref="I14:I15" si="8">D14-30</f>
        <v>570</v>
      </c>
      <c r="J14" s="76">
        <f t="shared" ref="J14:J15" si="9">F14*4</f>
        <v>4</v>
      </c>
      <c r="K14" s="128">
        <f t="shared" ref="K14:K15" si="10">C14+60</f>
        <v>910</v>
      </c>
      <c r="L14" s="76">
        <v>2</v>
      </c>
      <c r="M14" s="128">
        <f t="shared" ref="M14:M15" si="11">D14</f>
        <v>600</v>
      </c>
      <c r="N14" s="76">
        <v>2</v>
      </c>
      <c r="O14" s="67"/>
    </row>
    <row r="15" spans="1:15">
      <c r="A15" s="124" t="str">
        <f>'1. 소켓인수검사'!A16</f>
        <v>08</v>
      </c>
      <c r="B15" s="130" t="s">
        <v>6</v>
      </c>
      <c r="C15" s="76">
        <f>'1. 소켓인수검사'!C16</f>
        <v>850</v>
      </c>
      <c r="D15" s="76">
        <f>'1. 소켓인수검사'!D16</f>
        <v>600</v>
      </c>
      <c r="E15" s="42"/>
      <c r="F15" s="76">
        <v>1</v>
      </c>
      <c r="G15" s="126">
        <f t="shared" si="6"/>
        <v>845</v>
      </c>
      <c r="H15" s="76">
        <f t="shared" si="7"/>
        <v>4</v>
      </c>
      <c r="I15" s="127">
        <f t="shared" si="8"/>
        <v>570</v>
      </c>
      <c r="J15" s="76">
        <f t="shared" si="9"/>
        <v>4</v>
      </c>
      <c r="K15" s="128">
        <f t="shared" si="10"/>
        <v>910</v>
      </c>
      <c r="L15" s="76">
        <v>2</v>
      </c>
      <c r="M15" s="128">
        <f t="shared" si="11"/>
        <v>600</v>
      </c>
      <c r="N15" s="76">
        <v>2</v>
      </c>
      <c r="O15" s="129"/>
    </row>
    <row r="16" spans="1:15" ht="8.1" customHeight="1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</row>
    <row r="17" spans="1:15">
      <c r="A17" s="134" t="s">
        <v>52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</row>
    <row r="18" spans="1:15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</row>
    <row r="19" spans="1:15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</row>
  </sheetData>
  <mergeCells count="21">
    <mergeCell ref="A16:O16"/>
    <mergeCell ref="A17:C19"/>
    <mergeCell ref="D17:O19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18"/>
  <sheetViews>
    <sheetView zoomScaleNormal="100" zoomScaleSheetLayoutView="100" workbookViewId="0">
      <selection activeCell="I28" sqref="I28"/>
    </sheetView>
  </sheetViews>
  <sheetFormatPr defaultColWidth="9" defaultRowHeight="16.5"/>
  <cols>
    <col min="1" max="1" width="5.125" bestFit="1" customWidth="1"/>
    <col min="2" max="2" width="6.875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34"/>
      <c r="B1" s="134"/>
      <c r="C1" s="134"/>
      <c r="D1" s="134"/>
      <c r="E1" s="186" t="s">
        <v>76</v>
      </c>
      <c r="F1" s="187"/>
      <c r="G1" s="187"/>
      <c r="H1" s="192" t="str">
        <f>'1. 소켓인수검사'!R2</f>
        <v>26.06.29 하나로_남화토건_거승공조_제주시 도시공원(오봉동)민간특례사업고양시설(음악당)</v>
      </c>
      <c r="I1" s="192"/>
      <c r="J1" s="192"/>
      <c r="K1" s="192"/>
      <c r="L1" s="192"/>
      <c r="M1" s="192"/>
      <c r="N1" s="192"/>
      <c r="O1" s="193"/>
    </row>
    <row r="2" spans="1:15" ht="38.25" customHeight="1">
      <c r="A2" s="134"/>
      <c r="B2" s="134"/>
      <c r="C2" s="134"/>
      <c r="D2" s="134"/>
      <c r="E2" s="188"/>
      <c r="F2" s="189"/>
      <c r="G2" s="189"/>
      <c r="H2" s="194"/>
      <c r="I2" s="194"/>
      <c r="J2" s="194"/>
      <c r="K2" s="194"/>
      <c r="L2" s="194"/>
      <c r="M2" s="194"/>
      <c r="N2" s="194"/>
      <c r="O2" s="195"/>
    </row>
    <row r="3" spans="1:15" ht="38.25" customHeight="1">
      <c r="A3" s="134"/>
      <c r="B3" s="134"/>
      <c r="C3" s="134"/>
      <c r="D3" s="134"/>
      <c r="E3" s="190"/>
      <c r="F3" s="191"/>
      <c r="G3" s="191"/>
      <c r="H3" s="196"/>
      <c r="I3" s="196"/>
      <c r="J3" s="196"/>
      <c r="K3" s="196"/>
      <c r="L3" s="196"/>
      <c r="M3" s="196"/>
      <c r="N3" s="196"/>
      <c r="O3" s="197"/>
    </row>
    <row r="4" spans="1:15" ht="8.1" customHeight="1">
      <c r="A4" s="178"/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80"/>
      <c r="O4" s="15"/>
    </row>
    <row r="5" spans="1:15" s="18" customFormat="1" ht="26.45" customHeight="1">
      <c r="A5" s="198" t="s">
        <v>64</v>
      </c>
      <c r="B5" s="200" t="s">
        <v>74</v>
      </c>
      <c r="C5" s="202" t="s">
        <v>4</v>
      </c>
      <c r="D5" s="202"/>
      <c r="E5" s="202" t="s">
        <v>29</v>
      </c>
      <c r="F5" s="202" t="s">
        <v>62</v>
      </c>
      <c r="G5" s="202" t="s">
        <v>25</v>
      </c>
      <c r="H5" s="202"/>
      <c r="I5" s="202"/>
      <c r="J5" s="202"/>
      <c r="K5" s="202" t="s">
        <v>39</v>
      </c>
      <c r="L5" s="202"/>
      <c r="M5" s="202"/>
      <c r="N5" s="202"/>
      <c r="O5" s="203" t="s">
        <v>2</v>
      </c>
    </row>
    <row r="6" spans="1:15" s="18" customFormat="1" ht="16.5" customHeight="1">
      <c r="A6" s="199"/>
      <c r="B6" s="201"/>
      <c r="C6" s="174" t="s">
        <v>71</v>
      </c>
      <c r="D6" s="174" t="s">
        <v>69</v>
      </c>
      <c r="E6" s="174"/>
      <c r="F6" s="174"/>
      <c r="G6" s="205" t="s">
        <v>71</v>
      </c>
      <c r="H6" s="205"/>
      <c r="I6" s="205" t="s">
        <v>69</v>
      </c>
      <c r="J6" s="205"/>
      <c r="K6" s="174" t="s">
        <v>73</v>
      </c>
      <c r="L6" s="174"/>
      <c r="M6" s="174" t="s">
        <v>70</v>
      </c>
      <c r="N6" s="174"/>
      <c r="O6" s="204"/>
    </row>
    <row r="7" spans="1:15" s="18" customFormat="1" ht="16.5" customHeight="1">
      <c r="A7" s="199"/>
      <c r="B7" s="201"/>
      <c r="C7" s="174"/>
      <c r="D7" s="174"/>
      <c r="E7" s="174"/>
      <c r="F7" s="174"/>
      <c r="G7" s="103" t="s">
        <v>4</v>
      </c>
      <c r="H7" s="103" t="s">
        <v>36</v>
      </c>
      <c r="I7" s="103" t="s">
        <v>4</v>
      </c>
      <c r="J7" s="103" t="s">
        <v>36</v>
      </c>
      <c r="K7" s="104" t="s">
        <v>4</v>
      </c>
      <c r="L7" s="104" t="s">
        <v>62</v>
      </c>
      <c r="M7" s="104" t="s">
        <v>4</v>
      </c>
      <c r="N7" s="104" t="s">
        <v>62</v>
      </c>
      <c r="O7" s="204"/>
    </row>
    <row r="8" spans="1:15">
      <c r="A8" s="99" t="str">
        <f>'1. 소켓인수검사'!A17</f>
        <v>09</v>
      </c>
      <c r="B8" s="105" t="s">
        <v>54</v>
      </c>
      <c r="C8" s="41">
        <f>'1. 소켓인수검사'!C17</f>
        <v>1450</v>
      </c>
      <c r="D8" s="41">
        <f>'1. 소켓인수검사'!D17</f>
        <v>900</v>
      </c>
      <c r="E8" s="42"/>
      <c r="F8" s="41">
        <v>1</v>
      </c>
      <c r="G8" s="70">
        <f>(C8-30)/2-5</f>
        <v>705</v>
      </c>
      <c r="H8" s="76">
        <f>F8*8*2</f>
        <v>16</v>
      </c>
      <c r="I8" s="114">
        <f>(D8-20)/2-10</f>
        <v>430</v>
      </c>
      <c r="J8" s="76">
        <f>F8*16</f>
        <v>16</v>
      </c>
      <c r="K8" s="71">
        <f t="shared" ref="K8:K10" si="0">C8+60</f>
        <v>1510</v>
      </c>
      <c r="L8" s="106">
        <v>4</v>
      </c>
      <c r="M8" s="71">
        <f>D8</f>
        <v>900</v>
      </c>
      <c r="N8" s="106">
        <v>4</v>
      </c>
      <c r="O8" s="65"/>
    </row>
    <row r="9" spans="1:15">
      <c r="A9" s="99" t="str">
        <f>'1. 소켓인수검사'!A18</f>
        <v>10</v>
      </c>
      <c r="B9" s="105" t="s">
        <v>54</v>
      </c>
      <c r="C9" s="41">
        <f>'1. 소켓인수검사'!C18</f>
        <v>1500</v>
      </c>
      <c r="D9" s="41">
        <f>'1. 소켓인수검사'!D18</f>
        <v>500</v>
      </c>
      <c r="E9" s="42"/>
      <c r="F9" s="41">
        <v>1</v>
      </c>
      <c r="G9" s="70">
        <f t="shared" ref="G9:G10" si="1">(C9-30)/2-5</f>
        <v>730</v>
      </c>
      <c r="H9" s="76">
        <f>F9*8*2</f>
        <v>16</v>
      </c>
      <c r="I9" s="114">
        <f>(D9-20)/2-10</f>
        <v>230</v>
      </c>
      <c r="J9" s="76">
        <f>F9*16</f>
        <v>16</v>
      </c>
      <c r="K9" s="71">
        <f t="shared" si="0"/>
        <v>1560</v>
      </c>
      <c r="L9" s="106">
        <v>4</v>
      </c>
      <c r="M9" s="71">
        <f t="shared" ref="M9:M10" si="2">D9</f>
        <v>500</v>
      </c>
      <c r="N9" s="106">
        <v>4</v>
      </c>
      <c r="O9" s="65"/>
    </row>
    <row r="10" spans="1:15">
      <c r="A10" s="99" t="str">
        <f>'1. 소켓인수검사'!A19</f>
        <v>11</v>
      </c>
      <c r="B10" s="105" t="s">
        <v>54</v>
      </c>
      <c r="C10" s="41">
        <f>'1. 소켓인수검사'!C19</f>
        <v>1600</v>
      </c>
      <c r="D10" s="41">
        <f>'1. 소켓인수검사'!D19</f>
        <v>500</v>
      </c>
      <c r="E10" s="42"/>
      <c r="F10" s="41">
        <v>1</v>
      </c>
      <c r="G10" s="70">
        <f t="shared" si="1"/>
        <v>780</v>
      </c>
      <c r="H10" s="76">
        <f t="shared" ref="H10" si="3">F10*8*2</f>
        <v>16</v>
      </c>
      <c r="I10" s="114">
        <f>(D10-20)/2-10</f>
        <v>230</v>
      </c>
      <c r="J10" s="76">
        <f t="shared" ref="J10" si="4">F10*16</f>
        <v>16</v>
      </c>
      <c r="K10" s="71">
        <f t="shared" si="0"/>
        <v>1660</v>
      </c>
      <c r="L10" s="106">
        <v>4</v>
      </c>
      <c r="M10" s="71">
        <f t="shared" si="2"/>
        <v>500</v>
      </c>
      <c r="N10" s="106">
        <v>4</v>
      </c>
      <c r="O10" s="65"/>
    </row>
    <row r="11" spans="1:15">
      <c r="A11" s="184"/>
      <c r="B11" s="185"/>
      <c r="C11" s="185"/>
      <c r="D11" s="107"/>
      <c r="E11" s="108"/>
      <c r="F11" s="108"/>
      <c r="G11" s="109"/>
      <c r="H11" s="72">
        <f>SUM(H8:H10)</f>
        <v>48</v>
      </c>
      <c r="I11" s="109"/>
      <c r="J11" s="72">
        <f>SUM(J8:J10)</f>
        <v>48</v>
      </c>
      <c r="K11" s="107"/>
      <c r="L11" s="72">
        <f>SUM(L8:L10)</f>
        <v>12</v>
      </c>
      <c r="M11" s="107"/>
      <c r="N11" s="72">
        <f>SUM(N8:N10)</f>
        <v>12</v>
      </c>
      <c r="O11" s="73"/>
    </row>
    <row r="12" spans="1:15" ht="8.1" customHeight="1">
      <c r="A12" s="175"/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4"/>
    </row>
    <row r="13" spans="1:15">
      <c r="A13" s="134" t="s">
        <v>20</v>
      </c>
      <c r="B13" s="134"/>
      <c r="C13" s="134"/>
      <c r="D13" s="175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7"/>
    </row>
    <row r="14" spans="1:15">
      <c r="A14" s="134"/>
      <c r="B14" s="134"/>
      <c r="C14" s="134"/>
      <c r="D14" s="178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80"/>
    </row>
    <row r="15" spans="1:15">
      <c r="A15" s="134"/>
      <c r="B15" s="134"/>
      <c r="C15" s="134"/>
      <c r="D15" s="178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80"/>
    </row>
    <row r="16" spans="1:15">
      <c r="A16" s="134"/>
      <c r="B16" s="134"/>
      <c r="C16" s="134"/>
      <c r="D16" s="178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80"/>
    </row>
    <row r="17" spans="1:15">
      <c r="A17" s="134"/>
      <c r="B17" s="134"/>
      <c r="C17" s="134"/>
      <c r="D17" s="178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80"/>
    </row>
    <row r="18" spans="1:15">
      <c r="A18" s="134"/>
      <c r="B18" s="134"/>
      <c r="C18" s="134"/>
      <c r="D18" s="181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3"/>
    </row>
  </sheetData>
  <mergeCells count="22"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  <mergeCell ref="K6:L6"/>
    <mergeCell ref="M6:N6"/>
    <mergeCell ref="A13:C18"/>
    <mergeCell ref="D13:O18"/>
    <mergeCell ref="A11:C11"/>
    <mergeCell ref="A12:N12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21"/>
  <sheetViews>
    <sheetView zoomScaleNormal="100" zoomScaleSheetLayoutView="100" workbookViewId="0">
      <selection activeCell="P35" sqref="P35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34"/>
      <c r="B1" s="134"/>
      <c r="C1" s="134"/>
      <c r="D1" s="134"/>
      <c r="E1" s="134" t="s">
        <v>95</v>
      </c>
      <c r="F1" s="209"/>
      <c r="G1" s="214" t="str">
        <f>'1. 소켓인수검사'!R2</f>
        <v>26.06.29 하나로_남화토건_거승공조_제주시 도시공원(오봉동)민간특례사업고양시설(음악당)</v>
      </c>
      <c r="H1" s="214"/>
      <c r="I1" s="214"/>
      <c r="J1" s="214"/>
      <c r="K1" s="215"/>
    </row>
    <row r="2" spans="1:11" ht="16.5" customHeight="1">
      <c r="A2" s="134"/>
      <c r="B2" s="134"/>
      <c r="C2" s="134"/>
      <c r="D2" s="134"/>
      <c r="E2" s="210"/>
      <c r="F2" s="211"/>
      <c r="G2" s="216"/>
      <c r="H2" s="216"/>
      <c r="I2" s="216"/>
      <c r="J2" s="216"/>
      <c r="K2" s="217"/>
    </row>
    <row r="3" spans="1:11" ht="16.5" customHeight="1">
      <c r="A3" s="134"/>
      <c r="B3" s="134"/>
      <c r="C3" s="134"/>
      <c r="D3" s="134"/>
      <c r="E3" s="212"/>
      <c r="F3" s="213"/>
      <c r="G3" s="218"/>
      <c r="H3" s="218"/>
      <c r="I3" s="218"/>
      <c r="J3" s="218"/>
      <c r="K3" s="219"/>
    </row>
    <row r="4" spans="1:11" ht="8.1" customHeight="1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</row>
    <row r="5" spans="1:11" ht="26.45" customHeight="1">
      <c r="A5" s="220" t="s">
        <v>64</v>
      </c>
      <c r="B5" s="221" t="s">
        <v>74</v>
      </c>
      <c r="C5" s="206" t="s">
        <v>4</v>
      </c>
      <c r="D5" s="206"/>
      <c r="E5" s="206" t="s">
        <v>29</v>
      </c>
      <c r="F5" s="224" t="s">
        <v>62</v>
      </c>
      <c r="G5" s="207" t="s">
        <v>39</v>
      </c>
      <c r="H5" s="208"/>
      <c r="I5" s="208"/>
      <c r="J5" s="208"/>
      <c r="K5" s="224" t="s">
        <v>2</v>
      </c>
    </row>
    <row r="6" spans="1:11" ht="16.5" customHeight="1">
      <c r="A6" s="220"/>
      <c r="B6" s="222"/>
      <c r="C6" s="206" t="s">
        <v>71</v>
      </c>
      <c r="D6" s="206" t="s">
        <v>69</v>
      </c>
      <c r="E6" s="206"/>
      <c r="F6" s="225"/>
      <c r="G6" s="206" t="s">
        <v>73</v>
      </c>
      <c r="H6" s="206"/>
      <c r="I6" s="207" t="s">
        <v>70</v>
      </c>
      <c r="J6" s="208"/>
      <c r="K6" s="225"/>
    </row>
    <row r="7" spans="1:11">
      <c r="A7" s="220"/>
      <c r="B7" s="223"/>
      <c r="C7" s="206"/>
      <c r="D7" s="206"/>
      <c r="E7" s="206"/>
      <c r="F7" s="226"/>
      <c r="G7" s="16" t="s">
        <v>4</v>
      </c>
      <c r="H7" s="16" t="s">
        <v>62</v>
      </c>
      <c r="I7" s="16" t="s">
        <v>4</v>
      </c>
      <c r="J7" s="17" t="s">
        <v>62</v>
      </c>
      <c r="K7" s="226"/>
    </row>
    <row r="8" spans="1:11">
      <c r="A8" s="97" t="str">
        <f>'1. 소켓인수검사'!A9</f>
        <v>01</v>
      </c>
      <c r="B8" s="64" t="s">
        <v>19</v>
      </c>
      <c r="C8" s="59">
        <f>'1. 소켓인수검사'!C9</f>
        <v>450</v>
      </c>
      <c r="D8" s="59">
        <f>'1. 소켓인수검사'!D9</f>
        <v>250</v>
      </c>
      <c r="E8" s="60"/>
      <c r="F8" s="59">
        <v>1</v>
      </c>
      <c r="G8" s="98">
        <f t="shared" ref="G8:G11" si="0">C8+60</f>
        <v>510</v>
      </c>
      <c r="H8" s="59">
        <v>2</v>
      </c>
      <c r="I8" s="98">
        <f>D8</f>
        <v>250</v>
      </c>
      <c r="J8" s="59">
        <v>2</v>
      </c>
      <c r="K8" s="62"/>
    </row>
    <row r="9" spans="1:11">
      <c r="A9" s="99" t="str">
        <f>'1. 소켓인수검사'!A10</f>
        <v>02</v>
      </c>
      <c r="B9" s="64" t="s">
        <v>19</v>
      </c>
      <c r="C9" s="41">
        <f>'1. 소켓인수검사'!C10</f>
        <v>450</v>
      </c>
      <c r="D9" s="41">
        <f>'1. 소켓인수검사'!D10</f>
        <v>250</v>
      </c>
      <c r="E9" s="42"/>
      <c r="F9" s="41">
        <v>1</v>
      </c>
      <c r="G9" s="66">
        <f t="shared" si="0"/>
        <v>510</v>
      </c>
      <c r="H9" s="41">
        <v>2</v>
      </c>
      <c r="I9" s="66">
        <f t="shared" ref="I9:I13" si="1">D9</f>
        <v>250</v>
      </c>
      <c r="J9" s="41">
        <v>2</v>
      </c>
      <c r="K9" s="65"/>
    </row>
    <row r="10" spans="1:11">
      <c r="A10" s="99" t="str">
        <f>'1. 소켓인수검사'!A11</f>
        <v>03</v>
      </c>
      <c r="B10" s="64" t="s">
        <v>19</v>
      </c>
      <c r="C10" s="41">
        <f>'1. 소켓인수검사'!C11</f>
        <v>450</v>
      </c>
      <c r="D10" s="41">
        <f>'1. 소켓인수검사'!D11</f>
        <v>250</v>
      </c>
      <c r="E10" s="42"/>
      <c r="F10" s="41">
        <v>1</v>
      </c>
      <c r="G10" s="66">
        <f t="shared" si="0"/>
        <v>510</v>
      </c>
      <c r="H10" s="41">
        <v>2</v>
      </c>
      <c r="I10" s="66">
        <f t="shared" si="1"/>
        <v>250</v>
      </c>
      <c r="J10" s="41">
        <v>2</v>
      </c>
      <c r="K10" s="65"/>
    </row>
    <row r="11" spans="1:11">
      <c r="A11" s="99" t="str">
        <f>'1. 소켓인수검사'!A12</f>
        <v>04</v>
      </c>
      <c r="B11" s="64" t="s">
        <v>19</v>
      </c>
      <c r="C11" s="41">
        <f>'1. 소켓인수검사'!C12</f>
        <v>450</v>
      </c>
      <c r="D11" s="41">
        <f>'1. 소켓인수검사'!D12</f>
        <v>250</v>
      </c>
      <c r="E11" s="42"/>
      <c r="F11" s="41">
        <v>1</v>
      </c>
      <c r="G11" s="66">
        <f t="shared" si="0"/>
        <v>510</v>
      </c>
      <c r="H11" s="41">
        <v>2</v>
      </c>
      <c r="I11" s="66">
        <f t="shared" si="1"/>
        <v>250</v>
      </c>
      <c r="J11" s="41">
        <v>2</v>
      </c>
      <c r="K11" s="65"/>
    </row>
    <row r="12" spans="1:11">
      <c r="A12" s="99" t="str">
        <f>'1. 소켓인수검사'!A13</f>
        <v>05</v>
      </c>
      <c r="B12" s="64" t="s">
        <v>19</v>
      </c>
      <c r="C12" s="41">
        <f>'1. 소켓인수검사'!C13</f>
        <v>500</v>
      </c>
      <c r="D12" s="41">
        <f>'1. 소켓인수검사'!D13</f>
        <v>400</v>
      </c>
      <c r="E12" s="42"/>
      <c r="F12" s="41">
        <v>1</v>
      </c>
      <c r="G12" s="66">
        <f t="shared" ref="G12:G13" si="2">C12+60</f>
        <v>560</v>
      </c>
      <c r="H12" s="41">
        <v>2</v>
      </c>
      <c r="I12" s="66">
        <f t="shared" si="1"/>
        <v>400</v>
      </c>
      <c r="J12" s="41">
        <v>2</v>
      </c>
      <c r="K12" s="65"/>
    </row>
    <row r="13" spans="1:11">
      <c r="A13" s="99" t="str">
        <f>'1. 소켓인수검사'!A14</f>
        <v>06</v>
      </c>
      <c r="B13" s="64" t="s">
        <v>19</v>
      </c>
      <c r="C13" s="41">
        <f>'1. 소켓인수검사'!C14</f>
        <v>500</v>
      </c>
      <c r="D13" s="41">
        <f>'1. 소켓인수검사'!D14</f>
        <v>400</v>
      </c>
      <c r="E13" s="42"/>
      <c r="F13" s="41">
        <v>1</v>
      </c>
      <c r="G13" s="66">
        <f t="shared" si="2"/>
        <v>560</v>
      </c>
      <c r="H13" s="41">
        <v>2</v>
      </c>
      <c r="I13" s="66">
        <f t="shared" si="1"/>
        <v>400</v>
      </c>
      <c r="J13" s="41">
        <v>2</v>
      </c>
      <c r="K13" s="65"/>
    </row>
    <row r="14" spans="1:11">
      <c r="A14" s="99" t="str">
        <f>'1. 소켓인수검사'!A15</f>
        <v>07</v>
      </c>
      <c r="B14" s="68" t="s">
        <v>6</v>
      </c>
      <c r="C14" s="41">
        <f>'1. 소켓인수검사'!C15</f>
        <v>850</v>
      </c>
      <c r="D14" s="41">
        <f>'1. 소켓인수검사'!D15</f>
        <v>600</v>
      </c>
      <c r="E14" s="42"/>
      <c r="F14" s="41">
        <v>1</v>
      </c>
      <c r="G14" s="66">
        <f t="shared" ref="G14:G15" si="3">C14+60</f>
        <v>910</v>
      </c>
      <c r="H14" s="41">
        <v>2</v>
      </c>
      <c r="I14" s="66">
        <f t="shared" ref="I14:I15" si="4">D14</f>
        <v>600</v>
      </c>
      <c r="J14" s="41">
        <v>2</v>
      </c>
      <c r="K14" s="67"/>
    </row>
    <row r="15" spans="1:11">
      <c r="A15" s="99" t="str">
        <f>'1. 소켓인수검사'!A16</f>
        <v>08</v>
      </c>
      <c r="B15" s="68" t="s">
        <v>6</v>
      </c>
      <c r="C15" s="41">
        <f>'1. 소켓인수검사'!C16</f>
        <v>850</v>
      </c>
      <c r="D15" s="41">
        <f>'1. 소켓인수검사'!D16</f>
        <v>600</v>
      </c>
      <c r="E15" s="42"/>
      <c r="F15" s="41">
        <v>1</v>
      </c>
      <c r="G15" s="66">
        <f t="shared" si="3"/>
        <v>910</v>
      </c>
      <c r="H15" s="41">
        <v>2</v>
      </c>
      <c r="I15" s="66">
        <f t="shared" si="4"/>
        <v>600</v>
      </c>
      <c r="J15" s="41">
        <v>2</v>
      </c>
      <c r="K15" s="65"/>
    </row>
    <row r="16" spans="1:11">
      <c r="A16" s="99" t="str">
        <f>'1. 소켓인수검사'!A17</f>
        <v>09</v>
      </c>
      <c r="B16" s="69" t="s">
        <v>54</v>
      </c>
      <c r="C16" s="41">
        <f>'1. 소켓인수검사'!C17</f>
        <v>1450</v>
      </c>
      <c r="D16" s="41">
        <f>'1. 소켓인수검사'!D17</f>
        <v>900</v>
      </c>
      <c r="E16" s="42"/>
      <c r="F16" s="41">
        <v>1</v>
      </c>
      <c r="G16" s="66">
        <f t="shared" ref="G16:G18" si="5">C16+60</f>
        <v>1510</v>
      </c>
      <c r="H16" s="41">
        <v>2</v>
      </c>
      <c r="I16" s="66">
        <f t="shared" ref="I16:I18" si="6">D16</f>
        <v>900</v>
      </c>
      <c r="J16" s="41">
        <v>2</v>
      </c>
      <c r="K16" s="65"/>
    </row>
    <row r="17" spans="1:11">
      <c r="A17" s="99" t="str">
        <f>'1. 소켓인수검사'!A18</f>
        <v>10</v>
      </c>
      <c r="B17" s="69" t="s">
        <v>54</v>
      </c>
      <c r="C17" s="41">
        <f>'1. 소켓인수검사'!C18</f>
        <v>1500</v>
      </c>
      <c r="D17" s="41">
        <f>'1. 소켓인수검사'!D18</f>
        <v>500</v>
      </c>
      <c r="E17" s="42"/>
      <c r="F17" s="41">
        <v>1</v>
      </c>
      <c r="G17" s="66">
        <f t="shared" si="5"/>
        <v>1560</v>
      </c>
      <c r="H17" s="41">
        <v>2</v>
      </c>
      <c r="I17" s="66">
        <f t="shared" si="6"/>
        <v>500</v>
      </c>
      <c r="J17" s="41">
        <v>2</v>
      </c>
      <c r="K17" s="65"/>
    </row>
    <row r="18" spans="1:11">
      <c r="A18" s="100" t="str">
        <f>'1. 소켓인수검사'!A19</f>
        <v>11</v>
      </c>
      <c r="B18" s="132" t="s">
        <v>54</v>
      </c>
      <c r="C18" s="54">
        <f>'1. 소켓인수검사'!C19</f>
        <v>1600</v>
      </c>
      <c r="D18" s="54">
        <f>'1. 소켓인수검사'!D19</f>
        <v>500</v>
      </c>
      <c r="E18" s="55"/>
      <c r="F18" s="54">
        <v>1</v>
      </c>
      <c r="G18" s="101">
        <f t="shared" si="5"/>
        <v>1660</v>
      </c>
      <c r="H18" s="54">
        <v>2</v>
      </c>
      <c r="I18" s="101">
        <f t="shared" si="6"/>
        <v>500</v>
      </c>
      <c r="J18" s="54">
        <v>2</v>
      </c>
      <c r="K18" s="102"/>
    </row>
    <row r="19" spans="1:11">
      <c r="A19" s="134" t="s">
        <v>52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</row>
    <row r="20" spans="1:1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</row>
    <row r="21" spans="1:1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</row>
  </sheetData>
  <mergeCells count="17">
    <mergeCell ref="D6:D7"/>
    <mergeCell ref="G6:H6"/>
    <mergeCell ref="I6:J6"/>
    <mergeCell ref="E1:F3"/>
    <mergeCell ref="G1:K3"/>
    <mergeCell ref="A19:C21"/>
    <mergeCell ref="D19:K21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3"/>
  <sheetViews>
    <sheetView zoomScaleNormal="100" zoomScaleSheetLayoutView="100" workbookViewId="0">
      <selection activeCell="E30" sqref="E30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34"/>
      <c r="B1" s="134"/>
      <c r="C1" s="134"/>
      <c r="D1" s="134"/>
      <c r="E1" s="236" t="s">
        <v>78</v>
      </c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8"/>
    </row>
    <row r="2" spans="1:16" ht="16.5" customHeight="1">
      <c r="A2" s="134"/>
      <c r="B2" s="134"/>
      <c r="C2" s="134"/>
      <c r="D2" s="134"/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1"/>
    </row>
    <row r="3" spans="1:16" ht="16.5" customHeight="1">
      <c r="A3" s="134"/>
      <c r="B3" s="134"/>
      <c r="C3" s="134"/>
      <c r="D3" s="134"/>
      <c r="E3" s="239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1"/>
    </row>
    <row r="4" spans="1:16" ht="16.5" customHeight="1">
      <c r="A4" s="134" t="s">
        <v>21</v>
      </c>
      <c r="B4" s="134"/>
      <c r="C4" s="245"/>
      <c r="D4" s="246"/>
      <c r="E4" s="242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4"/>
    </row>
    <row r="5" spans="1:16">
      <c r="A5" s="134" t="s">
        <v>31</v>
      </c>
      <c r="B5" s="134"/>
      <c r="C5" s="134"/>
      <c r="D5" s="134"/>
      <c r="E5" s="6" t="s">
        <v>37</v>
      </c>
      <c r="F5" s="134"/>
      <c r="G5" s="134"/>
      <c r="H5" s="134" t="s">
        <v>67</v>
      </c>
      <c r="I5" s="134"/>
      <c r="J5" s="134"/>
      <c r="K5" s="134" t="s">
        <v>63</v>
      </c>
      <c r="L5" s="134"/>
      <c r="M5" s="134"/>
      <c r="N5" s="247" t="str">
        <f>'1. 소켓인수검사'!R2</f>
        <v>26.06.29 하나로_남화토건_거승공조_제주시 도시공원(오봉동)민간특례사업고양시설(음악당)</v>
      </c>
      <c r="O5" s="247"/>
      <c r="P5" s="247"/>
    </row>
    <row r="6" spans="1:16">
      <c r="A6" s="134"/>
      <c r="B6" s="134"/>
      <c r="C6" s="134"/>
      <c r="D6" s="134"/>
      <c r="E6" s="6" t="s">
        <v>34</v>
      </c>
      <c r="F6" s="134"/>
      <c r="G6" s="134"/>
      <c r="H6" s="134"/>
      <c r="I6" s="134"/>
      <c r="J6" s="134"/>
      <c r="K6" s="134"/>
      <c r="L6" s="134"/>
      <c r="M6" s="134"/>
      <c r="N6" s="247"/>
      <c r="O6" s="247"/>
      <c r="P6" s="247"/>
    </row>
    <row r="7" spans="1:16" ht="8.1" customHeight="1">
      <c r="A7" s="162"/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</row>
    <row r="8" spans="1:16">
      <c r="A8" s="230" t="s">
        <v>64</v>
      </c>
      <c r="B8" s="232" t="s">
        <v>4</v>
      </c>
      <c r="C8" s="232"/>
      <c r="D8" s="232" t="s">
        <v>33</v>
      </c>
      <c r="E8" s="232" t="s">
        <v>29</v>
      </c>
      <c r="F8" s="232" t="s">
        <v>68</v>
      </c>
      <c r="G8" s="232" t="s">
        <v>32</v>
      </c>
      <c r="H8" s="232"/>
      <c r="I8" s="232"/>
      <c r="J8" s="232"/>
      <c r="K8" s="232"/>
      <c r="L8" s="232"/>
      <c r="M8" s="232"/>
      <c r="N8" s="232"/>
      <c r="O8" s="232"/>
      <c r="P8" s="234" t="s">
        <v>2</v>
      </c>
    </row>
    <row r="9" spans="1:16" ht="16.5" customHeight="1">
      <c r="A9" s="231"/>
      <c r="B9" s="233" t="s">
        <v>71</v>
      </c>
      <c r="C9" s="233" t="s">
        <v>69</v>
      </c>
      <c r="D9" s="233"/>
      <c r="E9" s="233"/>
      <c r="F9" s="233"/>
      <c r="G9" s="233" t="s">
        <v>65</v>
      </c>
      <c r="H9" s="233" t="s">
        <v>71</v>
      </c>
      <c r="I9" s="233"/>
      <c r="J9" s="233" t="s">
        <v>13</v>
      </c>
      <c r="K9" s="233" t="s">
        <v>69</v>
      </c>
      <c r="L9" s="233"/>
      <c r="M9" s="233"/>
      <c r="N9" s="233"/>
      <c r="O9" s="233" t="s">
        <v>13</v>
      </c>
      <c r="P9" s="235"/>
    </row>
    <row r="10" spans="1:16">
      <c r="A10" s="231"/>
      <c r="B10" s="233"/>
      <c r="C10" s="233"/>
      <c r="D10" s="233"/>
      <c r="E10" s="233"/>
      <c r="F10" s="233"/>
      <c r="G10" s="233"/>
      <c r="H10" s="30" t="s">
        <v>4</v>
      </c>
      <c r="I10" s="30" t="s">
        <v>36</v>
      </c>
      <c r="J10" s="233"/>
      <c r="K10" s="233" t="s">
        <v>4</v>
      </c>
      <c r="L10" s="233"/>
      <c r="M10" s="233"/>
      <c r="N10" s="30" t="s">
        <v>36</v>
      </c>
      <c r="O10" s="233"/>
      <c r="P10" s="235"/>
    </row>
    <row r="11" spans="1:16">
      <c r="A11" s="29" t="str">
        <f>'1. 소켓인수검사'!A9</f>
        <v>01</v>
      </c>
      <c r="B11" s="32">
        <f>'1. 소켓인수검사'!C9</f>
        <v>450</v>
      </c>
      <c r="C11" s="32">
        <f>'1. 소켓인수검사'!D9</f>
        <v>250</v>
      </c>
      <c r="D11" s="33">
        <v>1</v>
      </c>
      <c r="E11" s="34"/>
      <c r="F11" s="33">
        <v>1.6</v>
      </c>
      <c r="G11" s="33"/>
      <c r="H11" s="33">
        <f>B11-1</f>
        <v>449</v>
      </c>
      <c r="I11" s="33">
        <f t="shared" ref="I11:I12" si="0">D11*4</f>
        <v>4</v>
      </c>
      <c r="J11" s="33"/>
      <c r="K11" s="227">
        <f t="shared" ref="K11:K12" si="1">C11-30</f>
        <v>220</v>
      </c>
      <c r="L11" s="227"/>
      <c r="M11" s="227"/>
      <c r="N11" s="33">
        <f t="shared" ref="N11:N12" si="2">D11*4</f>
        <v>4</v>
      </c>
      <c r="O11" s="33"/>
      <c r="P11" s="35"/>
    </row>
    <row r="12" spans="1:16">
      <c r="A12" s="29" t="str">
        <f>'1. 소켓인수검사'!A10</f>
        <v>02</v>
      </c>
      <c r="B12" s="32">
        <f>'1. 소켓인수검사'!C10</f>
        <v>450</v>
      </c>
      <c r="C12" s="32">
        <f>'1. 소켓인수검사'!D10</f>
        <v>250</v>
      </c>
      <c r="D12" s="33">
        <v>1</v>
      </c>
      <c r="E12" s="34"/>
      <c r="F12" s="33">
        <v>1.6</v>
      </c>
      <c r="G12" s="33"/>
      <c r="H12" s="33">
        <f t="shared" ref="H12" si="3">B12-1</f>
        <v>449</v>
      </c>
      <c r="I12" s="33">
        <f t="shared" si="0"/>
        <v>4</v>
      </c>
      <c r="J12" s="33"/>
      <c r="K12" s="227">
        <f t="shared" si="1"/>
        <v>220</v>
      </c>
      <c r="L12" s="227"/>
      <c r="M12" s="227"/>
      <c r="N12" s="33">
        <f t="shared" si="2"/>
        <v>4</v>
      </c>
      <c r="O12" s="33"/>
      <c r="P12" s="36"/>
    </row>
    <row r="13" spans="1:16">
      <c r="A13" s="29" t="str">
        <f>'1. 소켓인수검사'!A11</f>
        <v>03</v>
      </c>
      <c r="B13" s="32">
        <f>'1. 소켓인수검사'!C11</f>
        <v>450</v>
      </c>
      <c r="C13" s="32">
        <f>'1. 소켓인수검사'!D11</f>
        <v>250</v>
      </c>
      <c r="D13" s="33">
        <v>1</v>
      </c>
      <c r="E13" s="34"/>
      <c r="F13" s="33">
        <v>1.6</v>
      </c>
      <c r="G13" s="33"/>
      <c r="H13" s="33">
        <f t="shared" ref="H13:H18" si="4">B13-1</f>
        <v>449</v>
      </c>
      <c r="I13" s="33">
        <f t="shared" ref="I13:I18" si="5">D13*4</f>
        <v>4</v>
      </c>
      <c r="J13" s="33"/>
      <c r="K13" s="227">
        <f t="shared" ref="K13:K18" si="6">C13-30</f>
        <v>220</v>
      </c>
      <c r="L13" s="227"/>
      <c r="M13" s="227"/>
      <c r="N13" s="33">
        <f t="shared" ref="N13:N18" si="7">D13*4</f>
        <v>4</v>
      </c>
      <c r="O13" s="33"/>
      <c r="P13" s="36"/>
    </row>
    <row r="14" spans="1:16">
      <c r="A14" s="29" t="str">
        <f>'1. 소켓인수검사'!A12</f>
        <v>04</v>
      </c>
      <c r="B14" s="32">
        <f>'1. 소켓인수검사'!C12</f>
        <v>450</v>
      </c>
      <c r="C14" s="32">
        <f>'1. 소켓인수검사'!D12</f>
        <v>250</v>
      </c>
      <c r="D14" s="33">
        <v>1</v>
      </c>
      <c r="E14" s="34"/>
      <c r="F14" s="33">
        <v>1.6</v>
      </c>
      <c r="G14" s="33"/>
      <c r="H14" s="33">
        <f t="shared" si="4"/>
        <v>449</v>
      </c>
      <c r="I14" s="33">
        <f t="shared" si="5"/>
        <v>4</v>
      </c>
      <c r="J14" s="33"/>
      <c r="K14" s="227">
        <f t="shared" si="6"/>
        <v>220</v>
      </c>
      <c r="L14" s="227"/>
      <c r="M14" s="227"/>
      <c r="N14" s="33">
        <f t="shared" si="7"/>
        <v>4</v>
      </c>
      <c r="O14" s="33"/>
      <c r="P14" s="37"/>
    </row>
    <row r="15" spans="1:16">
      <c r="A15" s="29" t="str">
        <f>'1. 소켓인수검사'!A13</f>
        <v>05</v>
      </c>
      <c r="B15" s="32">
        <f>'1. 소켓인수검사'!C13</f>
        <v>500</v>
      </c>
      <c r="C15" s="32">
        <f>'1. 소켓인수검사'!D13</f>
        <v>400</v>
      </c>
      <c r="D15" s="33">
        <v>1</v>
      </c>
      <c r="E15" s="34"/>
      <c r="F15" s="33">
        <v>1.6</v>
      </c>
      <c r="G15" s="33"/>
      <c r="H15" s="33">
        <f t="shared" si="4"/>
        <v>499</v>
      </c>
      <c r="I15" s="33">
        <f t="shared" si="5"/>
        <v>4</v>
      </c>
      <c r="J15" s="33"/>
      <c r="K15" s="227">
        <f t="shared" si="6"/>
        <v>370</v>
      </c>
      <c r="L15" s="227"/>
      <c r="M15" s="227"/>
      <c r="N15" s="33">
        <f t="shared" si="7"/>
        <v>4</v>
      </c>
      <c r="O15" s="33"/>
      <c r="P15" s="37"/>
    </row>
    <row r="16" spans="1:16">
      <c r="A16" s="29" t="str">
        <f>'1. 소켓인수검사'!A14</f>
        <v>06</v>
      </c>
      <c r="B16" s="32">
        <f>'1. 소켓인수검사'!C14</f>
        <v>500</v>
      </c>
      <c r="C16" s="32">
        <f>'1. 소켓인수검사'!D14</f>
        <v>400</v>
      </c>
      <c r="D16" s="33">
        <v>1</v>
      </c>
      <c r="E16" s="34"/>
      <c r="F16" s="33">
        <v>1.6</v>
      </c>
      <c r="G16" s="33"/>
      <c r="H16" s="33">
        <f t="shared" si="4"/>
        <v>499</v>
      </c>
      <c r="I16" s="33">
        <f t="shared" si="5"/>
        <v>4</v>
      </c>
      <c r="J16" s="33"/>
      <c r="K16" s="227">
        <f t="shared" si="6"/>
        <v>370</v>
      </c>
      <c r="L16" s="227"/>
      <c r="M16" s="227"/>
      <c r="N16" s="33">
        <f t="shared" si="7"/>
        <v>4</v>
      </c>
      <c r="O16" s="33"/>
      <c r="P16" s="37"/>
    </row>
    <row r="17" spans="1:16">
      <c r="A17" s="29" t="str">
        <f>'1. 소켓인수검사'!A15</f>
        <v>07</v>
      </c>
      <c r="B17" s="32">
        <f>'1. 소켓인수검사'!C15</f>
        <v>850</v>
      </c>
      <c r="C17" s="32">
        <f>'1. 소켓인수검사'!D15</f>
        <v>600</v>
      </c>
      <c r="D17" s="33">
        <v>1</v>
      </c>
      <c r="E17" s="34"/>
      <c r="F17" s="33">
        <v>1.6</v>
      </c>
      <c r="G17" s="33"/>
      <c r="H17" s="33">
        <f t="shared" si="4"/>
        <v>849</v>
      </c>
      <c r="I17" s="33">
        <f t="shared" si="5"/>
        <v>4</v>
      </c>
      <c r="J17" s="33"/>
      <c r="K17" s="227">
        <f t="shared" si="6"/>
        <v>570</v>
      </c>
      <c r="L17" s="227"/>
      <c r="M17" s="227"/>
      <c r="N17" s="33">
        <f t="shared" si="7"/>
        <v>4</v>
      </c>
      <c r="O17" s="33"/>
      <c r="P17" s="38"/>
    </row>
    <row r="18" spans="1:16">
      <c r="A18" s="29" t="str">
        <f>'1. 소켓인수검사'!A16</f>
        <v>08</v>
      </c>
      <c r="B18" s="32">
        <f>'1. 소켓인수검사'!C16</f>
        <v>850</v>
      </c>
      <c r="C18" s="32">
        <f>'1. 소켓인수검사'!D16</f>
        <v>600</v>
      </c>
      <c r="D18" s="33">
        <v>1</v>
      </c>
      <c r="E18" s="34"/>
      <c r="F18" s="33">
        <v>1.6</v>
      </c>
      <c r="G18" s="33"/>
      <c r="H18" s="33">
        <f t="shared" si="4"/>
        <v>849</v>
      </c>
      <c r="I18" s="33">
        <f t="shared" si="5"/>
        <v>4</v>
      </c>
      <c r="J18" s="33"/>
      <c r="K18" s="227">
        <f t="shared" si="6"/>
        <v>570</v>
      </c>
      <c r="L18" s="227"/>
      <c r="M18" s="227"/>
      <c r="N18" s="33">
        <f t="shared" si="7"/>
        <v>4</v>
      </c>
      <c r="O18" s="33"/>
      <c r="P18" s="38"/>
    </row>
    <row r="19" spans="1:16" ht="8.1" customHeight="1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</row>
    <row r="20" spans="1:16">
      <c r="A20" s="228" t="s">
        <v>53</v>
      </c>
      <c r="B20" s="228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</row>
    <row r="21" spans="1:16">
      <c r="A21" s="228"/>
      <c r="B21" s="228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</row>
    <row r="22" spans="1:16">
      <c r="A22" s="228"/>
      <c r="B22" s="228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</row>
    <row r="23" spans="1:16">
      <c r="A23" s="228"/>
      <c r="B23" s="228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</row>
  </sheetData>
  <mergeCells count="39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A19:P19"/>
    <mergeCell ref="A20:B23"/>
    <mergeCell ref="C20:P23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20"/>
  <sheetViews>
    <sheetView showGridLines="0" zoomScaleNormal="100" zoomScaleSheetLayoutView="100" workbookViewId="0">
      <selection activeCell="K29" sqref="K29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34"/>
      <c r="B1" s="134"/>
      <c r="C1" s="134"/>
      <c r="D1" s="134"/>
      <c r="E1" s="259" t="s">
        <v>79</v>
      </c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1"/>
    </row>
    <row r="2" spans="1:16" ht="16.5" customHeight="1">
      <c r="A2" s="134"/>
      <c r="B2" s="134"/>
      <c r="C2" s="134"/>
      <c r="D2" s="134"/>
      <c r="E2" s="262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4"/>
    </row>
    <row r="3" spans="1:16" ht="16.5" customHeight="1">
      <c r="A3" s="134"/>
      <c r="B3" s="134"/>
      <c r="C3" s="134"/>
      <c r="D3" s="134"/>
      <c r="E3" s="262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4"/>
    </row>
    <row r="4" spans="1:16" ht="16.5" customHeight="1">
      <c r="A4" s="134" t="s">
        <v>21</v>
      </c>
      <c r="B4" s="134"/>
      <c r="C4" s="134"/>
      <c r="D4" s="134"/>
      <c r="E4" s="265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7"/>
    </row>
    <row r="5" spans="1:16" ht="16.5" customHeight="1">
      <c r="A5" s="134" t="s">
        <v>31</v>
      </c>
      <c r="B5" s="134"/>
      <c r="C5" s="134"/>
      <c r="D5" s="134"/>
      <c r="E5" s="6" t="s">
        <v>37</v>
      </c>
      <c r="F5" s="134"/>
      <c r="G5" s="134"/>
      <c r="H5" s="134" t="s">
        <v>67</v>
      </c>
      <c r="I5" s="134"/>
      <c r="J5" s="134"/>
      <c r="K5" s="134" t="s">
        <v>63</v>
      </c>
      <c r="L5" s="134"/>
      <c r="M5" s="134"/>
      <c r="N5" s="258" t="str">
        <f>'1. 소켓인수검사'!R2</f>
        <v>26.06.29 하나로_남화토건_거승공조_제주시 도시공원(오봉동)민간특례사업고양시설(음악당)</v>
      </c>
      <c r="O5" s="258"/>
      <c r="P5" s="258"/>
    </row>
    <row r="6" spans="1:16">
      <c r="A6" s="134"/>
      <c r="B6" s="134"/>
      <c r="C6" s="134"/>
      <c r="D6" s="134"/>
      <c r="E6" s="6" t="s">
        <v>34</v>
      </c>
      <c r="F6" s="134"/>
      <c r="G6" s="134"/>
      <c r="H6" s="134"/>
      <c r="I6" s="134"/>
      <c r="J6" s="134"/>
      <c r="K6" s="134"/>
      <c r="L6" s="134"/>
      <c r="M6" s="134"/>
      <c r="N6" s="258"/>
      <c r="O6" s="258"/>
      <c r="P6" s="258"/>
    </row>
    <row r="7" spans="1:16" ht="8.1" customHeight="1">
      <c r="A7" s="268"/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269"/>
    </row>
    <row r="8" spans="1:16" ht="21" customHeight="1">
      <c r="A8" s="134" t="s">
        <v>64</v>
      </c>
      <c r="B8" s="252" t="s">
        <v>4</v>
      </c>
      <c r="C8" s="252"/>
      <c r="D8" s="252" t="s">
        <v>33</v>
      </c>
      <c r="E8" s="252" t="s">
        <v>29</v>
      </c>
      <c r="F8" s="252" t="s">
        <v>68</v>
      </c>
      <c r="G8" s="271" t="s">
        <v>32</v>
      </c>
      <c r="H8" s="272"/>
      <c r="I8" s="272"/>
      <c r="J8" s="272"/>
      <c r="K8" s="272"/>
      <c r="L8" s="272"/>
      <c r="M8" s="272"/>
      <c r="N8" s="272"/>
      <c r="O8" s="273"/>
      <c r="P8" s="252" t="s">
        <v>2</v>
      </c>
    </row>
    <row r="9" spans="1:16" ht="21" customHeight="1">
      <c r="A9" s="134"/>
      <c r="B9" s="271" t="s">
        <v>71</v>
      </c>
      <c r="C9" s="252" t="s">
        <v>69</v>
      </c>
      <c r="D9" s="252"/>
      <c r="E9" s="252"/>
      <c r="F9" s="252"/>
      <c r="G9" s="252" t="s">
        <v>65</v>
      </c>
      <c r="H9" s="252" t="s">
        <v>71</v>
      </c>
      <c r="I9" s="252"/>
      <c r="J9" s="253" t="s">
        <v>13</v>
      </c>
      <c r="K9" s="252" t="s">
        <v>69</v>
      </c>
      <c r="L9" s="252"/>
      <c r="M9" s="252"/>
      <c r="N9" s="252"/>
      <c r="O9" s="253" t="s">
        <v>13</v>
      </c>
      <c r="P9" s="252"/>
    </row>
    <row r="10" spans="1:16" ht="21" customHeight="1">
      <c r="A10" s="270"/>
      <c r="B10" s="274"/>
      <c r="C10" s="253"/>
      <c r="D10" s="253"/>
      <c r="E10" s="253"/>
      <c r="F10" s="253"/>
      <c r="G10" s="253"/>
      <c r="H10" s="23" t="s">
        <v>4</v>
      </c>
      <c r="I10" s="23" t="s">
        <v>36</v>
      </c>
      <c r="J10" s="254"/>
      <c r="K10" s="255" t="s">
        <v>4</v>
      </c>
      <c r="L10" s="256"/>
      <c r="M10" s="257"/>
      <c r="N10" s="24" t="s">
        <v>36</v>
      </c>
      <c r="O10" s="254"/>
      <c r="P10" s="253"/>
    </row>
    <row r="11" spans="1:16" ht="16.5" customHeight="1">
      <c r="A11" s="58" t="str">
        <f>'1. 소켓인수검사'!A17</f>
        <v>09</v>
      </c>
      <c r="B11" s="59">
        <f>'1. 소켓인수검사'!C17</f>
        <v>1450</v>
      </c>
      <c r="C11" s="59">
        <f>'1. 소켓인수검사'!D17</f>
        <v>900</v>
      </c>
      <c r="D11" s="61">
        <v>1</v>
      </c>
      <c r="E11" s="60"/>
      <c r="F11" s="77" t="s">
        <v>56</v>
      </c>
      <c r="G11" s="61" t="s">
        <v>55</v>
      </c>
      <c r="H11" s="74">
        <f>(B11-30)/2-1</f>
        <v>709</v>
      </c>
      <c r="I11" s="61">
        <f>D11*8*2</f>
        <v>16</v>
      </c>
      <c r="J11" s="61"/>
      <c r="K11" s="250">
        <f>(C11-20)/2-10-1</f>
        <v>429</v>
      </c>
      <c r="L11" s="250"/>
      <c r="M11" s="250"/>
      <c r="N11" s="61">
        <f>D11*16*2</f>
        <v>32</v>
      </c>
      <c r="O11" s="61"/>
      <c r="P11" s="75"/>
    </row>
    <row r="12" spans="1:16">
      <c r="A12" s="63" t="str">
        <f>'1. 소켓인수검사'!A18</f>
        <v>10</v>
      </c>
      <c r="B12" s="41">
        <f>'1. 소켓인수검사'!C18</f>
        <v>1500</v>
      </c>
      <c r="C12" s="41">
        <f>'1. 소켓인수검사'!D18</f>
        <v>500</v>
      </c>
      <c r="D12" s="33">
        <v>1</v>
      </c>
      <c r="E12" s="42"/>
      <c r="F12" s="78"/>
      <c r="G12" s="33"/>
      <c r="H12" s="76">
        <f t="shared" ref="H12" si="0">(B12-30)/2-1</f>
        <v>734</v>
      </c>
      <c r="I12" s="33">
        <f>D12*8*2</f>
        <v>16</v>
      </c>
      <c r="J12" s="33"/>
      <c r="K12" s="251">
        <f>(C12-20)/2-10-1</f>
        <v>229</v>
      </c>
      <c r="L12" s="251"/>
      <c r="M12" s="251"/>
      <c r="N12" s="33">
        <f>D12*16*2</f>
        <v>32</v>
      </c>
      <c r="O12" s="33"/>
      <c r="P12" s="38"/>
    </row>
    <row r="13" spans="1:16">
      <c r="A13" s="63" t="str">
        <f>'1. 소켓인수검사'!A19</f>
        <v>11</v>
      </c>
      <c r="B13" s="41">
        <f>'1. 소켓인수검사'!C19</f>
        <v>1600</v>
      </c>
      <c r="C13" s="41">
        <f>'1. 소켓인수검사'!D19</f>
        <v>500</v>
      </c>
      <c r="D13" s="33">
        <v>1</v>
      </c>
      <c r="E13" s="42"/>
      <c r="F13" s="78"/>
      <c r="G13" s="33"/>
      <c r="H13" s="76">
        <f t="shared" ref="H13" si="1">(B13-30)/2-1</f>
        <v>784</v>
      </c>
      <c r="I13" s="33">
        <f>D13*8*2</f>
        <v>16</v>
      </c>
      <c r="J13" s="33"/>
      <c r="K13" s="251">
        <f t="shared" ref="K13" si="2">(C13-20)/2-10-1</f>
        <v>229</v>
      </c>
      <c r="L13" s="251"/>
      <c r="M13" s="251"/>
      <c r="N13" s="33">
        <f>D13*16*2</f>
        <v>32</v>
      </c>
      <c r="O13" s="33"/>
      <c r="P13" s="38"/>
    </row>
    <row r="14" spans="1:16" ht="8.1" customHeight="1">
      <c r="A14" s="248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249"/>
    </row>
    <row r="15" spans="1:16">
      <c r="A15" s="228" t="s">
        <v>53</v>
      </c>
      <c r="B15" s="228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</row>
    <row r="16" spans="1:16">
      <c r="A16" s="228"/>
      <c r="B16" s="228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</row>
    <row r="17" spans="1:16">
      <c r="A17" s="228"/>
      <c r="B17" s="228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</row>
    <row r="18" spans="1:16">
      <c r="A18" s="228"/>
      <c r="B18" s="228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</row>
    <row r="19" spans="1:16">
      <c r="A19" s="228"/>
      <c r="B19" s="228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</row>
    <row r="20" spans="1:16">
      <c r="A20" s="228"/>
      <c r="B20" s="228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</row>
  </sheetData>
  <mergeCells count="34">
    <mergeCell ref="P8:P10"/>
    <mergeCell ref="B9:B10"/>
    <mergeCell ref="C9:C10"/>
    <mergeCell ref="G9:G10"/>
    <mergeCell ref="H9:I9"/>
    <mergeCell ref="J9:J10"/>
    <mergeCell ref="O9:O10"/>
    <mergeCell ref="K10:M10"/>
    <mergeCell ref="A1:D3"/>
    <mergeCell ref="A4:B4"/>
    <mergeCell ref="C4:D4"/>
    <mergeCell ref="A5:B6"/>
    <mergeCell ref="C5:D6"/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F5:G5"/>
    <mergeCell ref="H5:H6"/>
    <mergeCell ref="I5:J6"/>
    <mergeCell ref="K5:M6"/>
    <mergeCell ref="K9:N9"/>
    <mergeCell ref="G8:O8"/>
    <mergeCell ref="A14:P14"/>
    <mergeCell ref="A15:B20"/>
    <mergeCell ref="C15:P20"/>
    <mergeCell ref="K11:M11"/>
    <mergeCell ref="K12:M12"/>
    <mergeCell ref="K13:M13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20"/>
  <sheetViews>
    <sheetView showGridLines="0" zoomScaleNormal="100" zoomScaleSheetLayoutView="100" workbookViewId="0">
      <selection activeCell="G27" sqref="G27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34"/>
      <c r="B1" s="134"/>
      <c r="C1" s="134"/>
      <c r="D1" s="134"/>
      <c r="E1" s="259" t="s">
        <v>18</v>
      </c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1"/>
    </row>
    <row r="2" spans="1:17" ht="16.5" customHeight="1">
      <c r="A2" s="134"/>
      <c r="B2" s="134"/>
      <c r="C2" s="134"/>
      <c r="D2" s="134"/>
      <c r="E2" s="262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4"/>
    </row>
    <row r="3" spans="1:17" ht="16.5" customHeight="1">
      <c r="A3" s="134"/>
      <c r="B3" s="134"/>
      <c r="C3" s="134"/>
      <c r="D3" s="134"/>
      <c r="E3" s="262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4"/>
    </row>
    <row r="4" spans="1:17" ht="16.5" customHeight="1">
      <c r="A4" s="134" t="s">
        <v>21</v>
      </c>
      <c r="B4" s="134"/>
      <c r="C4" s="134"/>
      <c r="D4" s="134"/>
      <c r="E4" s="265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7"/>
    </row>
    <row r="5" spans="1:17" ht="16.5" customHeight="1">
      <c r="A5" s="134" t="s">
        <v>31</v>
      </c>
      <c r="B5" s="134"/>
      <c r="C5" s="134"/>
      <c r="D5" s="134"/>
      <c r="E5" s="6" t="s">
        <v>37</v>
      </c>
      <c r="F5" s="134"/>
      <c r="G5" s="134"/>
      <c r="H5" s="134" t="s">
        <v>67</v>
      </c>
      <c r="I5" s="134"/>
      <c r="J5" s="134"/>
      <c r="K5" s="248" t="s">
        <v>63</v>
      </c>
      <c r="L5" s="134"/>
      <c r="M5" s="134"/>
      <c r="N5" s="249"/>
      <c r="O5" s="258" t="str">
        <f>'1. 소켓인수검사'!R2</f>
        <v>26.06.29 하나로_남화토건_거승공조_제주시 도시공원(오봉동)민간특례사업고양시설(음악당)</v>
      </c>
      <c r="P5" s="258"/>
      <c r="Q5" s="258"/>
    </row>
    <row r="6" spans="1:17">
      <c r="A6" s="134"/>
      <c r="B6" s="134"/>
      <c r="C6" s="134"/>
      <c r="D6" s="134"/>
      <c r="E6" s="6" t="s">
        <v>34</v>
      </c>
      <c r="F6" s="134"/>
      <c r="G6" s="134"/>
      <c r="H6" s="134"/>
      <c r="I6" s="134"/>
      <c r="J6" s="134"/>
      <c r="K6" s="268"/>
      <c r="L6" s="162"/>
      <c r="M6" s="162"/>
      <c r="N6" s="269"/>
      <c r="O6" s="258"/>
      <c r="P6" s="258"/>
      <c r="Q6" s="258"/>
    </row>
    <row r="7" spans="1:17" ht="8.1" customHeight="1">
      <c r="A7" s="268"/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269"/>
    </row>
    <row r="8" spans="1:17">
      <c r="A8" s="134" t="s">
        <v>64</v>
      </c>
      <c r="B8" s="252" t="s">
        <v>4</v>
      </c>
      <c r="C8" s="252"/>
      <c r="D8" s="252" t="s">
        <v>33</v>
      </c>
      <c r="E8" s="252" t="s">
        <v>29</v>
      </c>
      <c r="F8" s="252" t="s">
        <v>68</v>
      </c>
      <c r="G8" s="271" t="s">
        <v>32</v>
      </c>
      <c r="H8" s="272"/>
      <c r="I8" s="272"/>
      <c r="J8" s="272"/>
      <c r="K8" s="271"/>
      <c r="L8" s="272"/>
      <c r="M8" s="272"/>
      <c r="N8" s="272"/>
      <c r="O8" s="272"/>
      <c r="P8" s="273"/>
      <c r="Q8" s="252" t="s">
        <v>2</v>
      </c>
    </row>
    <row r="9" spans="1:17" ht="16.5" customHeight="1">
      <c r="A9" s="134"/>
      <c r="B9" s="271" t="s">
        <v>71</v>
      </c>
      <c r="C9" s="252" t="s">
        <v>69</v>
      </c>
      <c r="D9" s="252"/>
      <c r="E9" s="252"/>
      <c r="F9" s="252"/>
      <c r="G9" s="252" t="s">
        <v>65</v>
      </c>
      <c r="H9" s="252" t="s">
        <v>57</v>
      </c>
      <c r="I9" s="252"/>
      <c r="J9" s="253" t="s">
        <v>13</v>
      </c>
      <c r="K9" s="253" t="s">
        <v>65</v>
      </c>
      <c r="L9" s="252" t="s">
        <v>23</v>
      </c>
      <c r="M9" s="252"/>
      <c r="N9" s="252"/>
      <c r="O9" s="252"/>
      <c r="P9" s="253" t="s">
        <v>13</v>
      </c>
      <c r="Q9" s="252"/>
    </row>
    <row r="10" spans="1:17">
      <c r="A10" s="270"/>
      <c r="B10" s="274"/>
      <c r="C10" s="253"/>
      <c r="D10" s="253"/>
      <c r="E10" s="253"/>
      <c r="F10" s="253"/>
      <c r="G10" s="253"/>
      <c r="H10" s="23" t="s">
        <v>4</v>
      </c>
      <c r="I10" s="23" t="s">
        <v>36</v>
      </c>
      <c r="J10" s="254"/>
      <c r="K10" s="254"/>
      <c r="L10" s="255" t="s">
        <v>4</v>
      </c>
      <c r="M10" s="256"/>
      <c r="N10" s="257"/>
      <c r="O10" s="24" t="s">
        <v>36</v>
      </c>
      <c r="P10" s="254"/>
      <c r="Q10" s="253"/>
    </row>
    <row r="11" spans="1:17" ht="20.100000000000001" customHeight="1">
      <c r="A11" s="58" t="str">
        <f>'1. 소켓인수검사'!A17</f>
        <v>09</v>
      </c>
      <c r="B11" s="59">
        <f>'1. 소켓인수검사'!C17</f>
        <v>1450</v>
      </c>
      <c r="C11" s="59">
        <f>'1. 소켓인수검사'!D17</f>
        <v>900</v>
      </c>
      <c r="D11" s="61">
        <v>1</v>
      </c>
      <c r="E11" s="79"/>
      <c r="F11" s="232" t="s">
        <v>56</v>
      </c>
      <c r="G11" s="74">
        <f>228-3</f>
        <v>225</v>
      </c>
      <c r="H11" s="61">
        <f>((B11-30)/2)-1</f>
        <v>709</v>
      </c>
      <c r="I11" s="61">
        <f t="shared" ref="I11:I13" si="0">D11*4*2</f>
        <v>8</v>
      </c>
      <c r="J11" s="61"/>
      <c r="K11" s="74">
        <f>240-3</f>
        <v>237</v>
      </c>
      <c r="L11" s="275">
        <f t="shared" ref="L11:L13" si="1">C11</f>
        <v>900</v>
      </c>
      <c r="M11" s="276"/>
      <c r="N11" s="276"/>
      <c r="O11" s="61">
        <f t="shared" ref="O11:O13" si="2">D11*2*2</f>
        <v>4</v>
      </c>
      <c r="P11" s="27"/>
      <c r="Q11" s="28"/>
    </row>
    <row r="12" spans="1:17" ht="19.5" customHeight="1">
      <c r="A12" s="63" t="str">
        <f>'1. 소켓인수검사'!A18</f>
        <v>10</v>
      </c>
      <c r="B12" s="41">
        <f>'1. 소켓인수검사'!C18</f>
        <v>1500</v>
      </c>
      <c r="C12" s="41">
        <f>'1. 소켓인수검사'!D18</f>
        <v>500</v>
      </c>
      <c r="D12" s="33">
        <v>1</v>
      </c>
      <c r="E12" s="80"/>
      <c r="F12" s="233"/>
      <c r="G12" s="76">
        <f t="shared" ref="G12:G13" si="3">228-3</f>
        <v>225</v>
      </c>
      <c r="H12" s="33">
        <f>((B12-30)/2)-1</f>
        <v>734</v>
      </c>
      <c r="I12" s="33">
        <f t="shared" si="0"/>
        <v>8</v>
      </c>
      <c r="J12" s="33"/>
      <c r="K12" s="76">
        <f t="shared" ref="K12:K13" si="4">240-3</f>
        <v>237</v>
      </c>
      <c r="L12" s="277">
        <f t="shared" si="1"/>
        <v>500</v>
      </c>
      <c r="M12" s="278"/>
      <c r="N12" s="278"/>
      <c r="O12" s="33">
        <f t="shared" si="2"/>
        <v>4</v>
      </c>
      <c r="P12" s="30"/>
      <c r="Q12" s="31"/>
    </row>
    <row r="13" spans="1:17" ht="20.100000000000001" customHeight="1">
      <c r="A13" s="63" t="str">
        <f>'1. 소켓인수검사'!A19</f>
        <v>11</v>
      </c>
      <c r="B13" s="41">
        <f>'1. 소켓인수검사'!C19</f>
        <v>1600</v>
      </c>
      <c r="C13" s="41">
        <f>'1. 소켓인수검사'!D19</f>
        <v>500</v>
      </c>
      <c r="D13" s="33">
        <v>1</v>
      </c>
      <c r="E13" s="80"/>
      <c r="F13" s="233"/>
      <c r="G13" s="76">
        <f t="shared" si="3"/>
        <v>225</v>
      </c>
      <c r="H13" s="33">
        <f t="shared" ref="H13" si="5">((B13-30)/2)-1</f>
        <v>784</v>
      </c>
      <c r="I13" s="33">
        <f t="shared" si="0"/>
        <v>8</v>
      </c>
      <c r="J13" s="33"/>
      <c r="K13" s="76">
        <f t="shared" si="4"/>
        <v>237</v>
      </c>
      <c r="L13" s="277">
        <f t="shared" si="1"/>
        <v>500</v>
      </c>
      <c r="M13" s="278"/>
      <c r="N13" s="278"/>
      <c r="O13" s="33">
        <f t="shared" si="2"/>
        <v>4</v>
      </c>
      <c r="P13" s="30"/>
      <c r="Q13" s="31"/>
    </row>
    <row r="14" spans="1:17" ht="8.1" customHeight="1">
      <c r="A14" s="248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249"/>
    </row>
    <row r="15" spans="1:17">
      <c r="A15" s="228" t="s">
        <v>53</v>
      </c>
      <c r="B15" s="228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</row>
    <row r="16" spans="1:17">
      <c r="A16" s="228"/>
      <c r="B16" s="228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</row>
    <row r="17" spans="1:17">
      <c r="A17" s="228"/>
      <c r="B17" s="228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</row>
    <row r="18" spans="1:17">
      <c r="A18" s="228"/>
      <c r="B18" s="228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</row>
    <row r="19" spans="1:17">
      <c r="A19" s="228"/>
      <c r="B19" s="228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</row>
    <row r="20" spans="1:17">
      <c r="A20" s="228"/>
      <c r="B20" s="228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</row>
  </sheetData>
  <mergeCells count="36">
    <mergeCell ref="A1:D3"/>
    <mergeCell ref="A4:B4"/>
    <mergeCell ref="C4:D4"/>
    <mergeCell ref="A5:B6"/>
    <mergeCell ref="C5:D6"/>
    <mergeCell ref="F5:G5"/>
    <mergeCell ref="H5:H6"/>
    <mergeCell ref="I5:J6"/>
    <mergeCell ref="K5:N6"/>
    <mergeCell ref="O5:Q6"/>
    <mergeCell ref="F6:G6"/>
    <mergeCell ref="E1:Q4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P9:P10"/>
    <mergeCell ref="L10:N10"/>
    <mergeCell ref="A14:Q14"/>
    <mergeCell ref="A15:B20"/>
    <mergeCell ref="C15:Q20"/>
    <mergeCell ref="F11:F13"/>
    <mergeCell ref="L11:N11"/>
    <mergeCell ref="L12:N12"/>
    <mergeCell ref="L13:N13"/>
  </mergeCells>
  <phoneticPr fontId="3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30"/>
  <sheetViews>
    <sheetView zoomScaleNormal="100" zoomScaleSheetLayoutView="100" workbookViewId="0">
      <pane ySplit="9" topLeftCell="A10" activePane="bottomLeft" state="frozen"/>
      <selection pane="bottomLeft" activeCell="L36" sqref="L36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34"/>
      <c r="B1" s="134"/>
      <c r="C1" s="134"/>
      <c r="D1" s="310" t="s">
        <v>51</v>
      </c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1"/>
      <c r="R1" s="312"/>
      <c r="S1" s="14"/>
    </row>
    <row r="2" spans="1:19">
      <c r="A2" s="134"/>
      <c r="B2" s="134"/>
      <c r="C2" s="134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1"/>
      <c r="R2" s="313"/>
      <c r="S2" s="314"/>
    </row>
    <row r="3" spans="1:19" ht="24" customHeight="1">
      <c r="A3" s="134"/>
      <c r="B3" s="134"/>
      <c r="C3" s="134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1"/>
      <c r="R3" s="313"/>
      <c r="S3" s="314"/>
    </row>
    <row r="4" spans="1:19">
      <c r="A4" s="134" t="s">
        <v>21</v>
      </c>
      <c r="B4" s="134"/>
      <c r="C4" s="1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1"/>
      <c r="R4" s="313"/>
      <c r="S4" s="314"/>
    </row>
    <row r="5" spans="1:19">
      <c r="A5" s="134" t="s">
        <v>31</v>
      </c>
      <c r="B5" s="134"/>
      <c r="C5" s="134"/>
      <c r="D5" s="2" t="s">
        <v>37</v>
      </c>
      <c r="E5" s="308"/>
      <c r="F5" s="309"/>
      <c r="G5" s="300" t="s">
        <v>67</v>
      </c>
      <c r="H5" s="175"/>
      <c r="I5" s="176"/>
      <c r="J5" s="176"/>
      <c r="K5" s="177"/>
      <c r="L5" s="300" t="s">
        <v>26</v>
      </c>
      <c r="M5" s="83"/>
      <c r="N5" s="83"/>
      <c r="O5" s="300" t="s">
        <v>26</v>
      </c>
      <c r="P5" s="302" t="str">
        <f>'1. 소켓인수검사'!R2</f>
        <v>26.06.29 하나로_남화토건_거승공조_제주시 도시공원(오봉동)민간특례사업고양시설(음악당)</v>
      </c>
      <c r="Q5" s="303"/>
      <c r="R5" s="303"/>
      <c r="S5" s="304"/>
    </row>
    <row r="6" spans="1:19">
      <c r="A6" s="134"/>
      <c r="B6" s="134"/>
      <c r="C6" s="134"/>
      <c r="D6" s="2" t="s">
        <v>34</v>
      </c>
      <c r="E6" s="308"/>
      <c r="F6" s="309"/>
      <c r="G6" s="301"/>
      <c r="H6" s="181"/>
      <c r="I6" s="182"/>
      <c r="J6" s="182"/>
      <c r="K6" s="183"/>
      <c r="L6" s="301"/>
      <c r="M6" s="84"/>
      <c r="N6" s="84"/>
      <c r="O6" s="301"/>
      <c r="P6" s="305"/>
      <c r="Q6" s="306"/>
      <c r="R6" s="306"/>
      <c r="S6" s="307"/>
    </row>
    <row r="7" spans="1:19" ht="8.1" customHeight="1">
      <c r="A7" s="181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3"/>
    </row>
    <row r="8" spans="1:19" ht="16.5" customHeight="1">
      <c r="A8" s="148" t="s">
        <v>64</v>
      </c>
      <c r="B8" s="295" t="s">
        <v>71</v>
      </c>
      <c r="C8" s="295" t="s">
        <v>69</v>
      </c>
      <c r="D8" s="295" t="s">
        <v>74</v>
      </c>
      <c r="E8" s="295" t="s">
        <v>59</v>
      </c>
      <c r="F8" s="295" t="s">
        <v>66</v>
      </c>
      <c r="G8" s="295" t="s">
        <v>28</v>
      </c>
      <c r="H8" s="295"/>
      <c r="I8" s="295"/>
      <c r="J8" s="295" t="s">
        <v>0</v>
      </c>
      <c r="K8" s="295"/>
      <c r="L8" s="295"/>
      <c r="M8" s="295" t="s">
        <v>0</v>
      </c>
      <c r="N8" s="295"/>
      <c r="O8" s="295"/>
      <c r="P8" s="295" t="s">
        <v>0</v>
      </c>
      <c r="Q8" s="295"/>
      <c r="R8" s="295"/>
      <c r="S8" s="297"/>
    </row>
    <row r="9" spans="1:19" ht="33" customHeight="1">
      <c r="A9" s="299"/>
      <c r="B9" s="296"/>
      <c r="C9" s="296"/>
      <c r="D9" s="296"/>
      <c r="E9" s="296"/>
      <c r="F9" s="296"/>
      <c r="G9" s="86" t="s">
        <v>38</v>
      </c>
      <c r="H9" s="86" t="s">
        <v>62</v>
      </c>
      <c r="I9" s="86" t="s">
        <v>61</v>
      </c>
      <c r="J9" s="86" t="s">
        <v>24</v>
      </c>
      <c r="K9" s="86" t="s">
        <v>62</v>
      </c>
      <c r="L9" s="86" t="s">
        <v>61</v>
      </c>
      <c r="M9" s="86" t="s">
        <v>30</v>
      </c>
      <c r="N9" s="86" t="s">
        <v>62</v>
      </c>
      <c r="O9" s="86" t="s">
        <v>61</v>
      </c>
      <c r="P9" s="86" t="s">
        <v>27</v>
      </c>
      <c r="Q9" s="86" t="s">
        <v>62</v>
      </c>
      <c r="R9" s="296" t="s">
        <v>61</v>
      </c>
      <c r="S9" s="298"/>
    </row>
    <row r="10" spans="1:19">
      <c r="A10" s="63" t="str">
        <f>'1. 소켓인수검사'!A9</f>
        <v>01</v>
      </c>
      <c r="B10" s="41">
        <f>'1. 소켓인수검사'!C9</f>
        <v>450</v>
      </c>
      <c r="C10" s="41">
        <f>'1. 소켓인수검사'!D9</f>
        <v>250</v>
      </c>
      <c r="D10" s="64" t="s">
        <v>19</v>
      </c>
      <c r="E10" s="81">
        <f>B10*C10/1000000</f>
        <v>0.1125</v>
      </c>
      <c r="F10" s="81">
        <f>(B10+C10)*2/1000</f>
        <v>1.4</v>
      </c>
      <c r="G10" s="32">
        <f>(F10+0.4)</f>
        <v>1.7999999999999998</v>
      </c>
      <c r="H10" s="32">
        <v>4</v>
      </c>
      <c r="I10" s="82">
        <f>G10*H10</f>
        <v>7.1999999999999993</v>
      </c>
      <c r="J10" s="32"/>
      <c r="K10" s="32"/>
      <c r="L10" s="32"/>
      <c r="M10" s="32"/>
      <c r="N10" s="32"/>
      <c r="O10" s="32"/>
      <c r="P10" s="32"/>
      <c r="Q10" s="32"/>
      <c r="R10" s="279"/>
      <c r="S10" s="280"/>
    </row>
    <row r="11" spans="1:19">
      <c r="A11" s="63" t="str">
        <f>'1. 소켓인수검사'!A10</f>
        <v>02</v>
      </c>
      <c r="B11" s="41">
        <f>'1. 소켓인수검사'!C10</f>
        <v>450</v>
      </c>
      <c r="C11" s="41">
        <f>'1. 소켓인수검사'!D10</f>
        <v>250</v>
      </c>
      <c r="D11" s="64" t="s">
        <v>19</v>
      </c>
      <c r="E11" s="81">
        <f t="shared" ref="E11:E15" si="0">B11*C11/1000000</f>
        <v>0.1125</v>
      </c>
      <c r="F11" s="81">
        <f t="shared" ref="F11:F15" si="1">(B11+C11)*2/1000</f>
        <v>1.4</v>
      </c>
      <c r="G11" s="32">
        <f>(F11+0.4)</f>
        <v>1.7999999999999998</v>
      </c>
      <c r="H11" s="32">
        <v>4</v>
      </c>
      <c r="I11" s="82">
        <f>G11*H11</f>
        <v>7.1999999999999993</v>
      </c>
      <c r="J11" s="32"/>
      <c r="K11" s="32"/>
      <c r="L11" s="32"/>
      <c r="M11" s="32"/>
      <c r="N11" s="32"/>
      <c r="O11" s="32"/>
      <c r="P11" s="32"/>
      <c r="Q11" s="32"/>
      <c r="R11" s="279"/>
      <c r="S11" s="280"/>
    </row>
    <row r="12" spans="1:19">
      <c r="A12" s="63" t="str">
        <f>'1. 소켓인수검사'!A11</f>
        <v>03</v>
      </c>
      <c r="B12" s="41">
        <f>'1. 소켓인수검사'!C11</f>
        <v>450</v>
      </c>
      <c r="C12" s="41">
        <f>'1. 소켓인수검사'!D11</f>
        <v>250</v>
      </c>
      <c r="D12" s="64" t="s">
        <v>19</v>
      </c>
      <c r="E12" s="81">
        <f t="shared" si="0"/>
        <v>0.1125</v>
      </c>
      <c r="F12" s="81">
        <f t="shared" si="1"/>
        <v>1.4</v>
      </c>
      <c r="G12" s="32">
        <f t="shared" ref="G12:G15" si="2">(F12+0.4)</f>
        <v>1.7999999999999998</v>
      </c>
      <c r="H12" s="32">
        <v>4</v>
      </c>
      <c r="I12" s="82">
        <f t="shared" ref="I12:I15" si="3">G12*H12</f>
        <v>7.1999999999999993</v>
      </c>
      <c r="J12" s="32"/>
      <c r="K12" s="32"/>
      <c r="L12" s="32"/>
      <c r="M12" s="32"/>
      <c r="N12" s="32"/>
      <c r="O12" s="32"/>
      <c r="P12" s="32"/>
      <c r="Q12" s="32"/>
      <c r="R12" s="279"/>
      <c r="S12" s="280"/>
    </row>
    <row r="13" spans="1:19">
      <c r="A13" s="63" t="str">
        <f>'1. 소켓인수검사'!A12</f>
        <v>04</v>
      </c>
      <c r="B13" s="41">
        <f>'1. 소켓인수검사'!C12</f>
        <v>450</v>
      </c>
      <c r="C13" s="41">
        <f>'1. 소켓인수검사'!D12</f>
        <v>250</v>
      </c>
      <c r="D13" s="64" t="s">
        <v>19</v>
      </c>
      <c r="E13" s="81">
        <f t="shared" si="0"/>
        <v>0.1125</v>
      </c>
      <c r="F13" s="81">
        <f t="shared" si="1"/>
        <v>1.4</v>
      </c>
      <c r="G13" s="32">
        <f t="shared" si="2"/>
        <v>1.7999999999999998</v>
      </c>
      <c r="H13" s="32">
        <v>4</v>
      </c>
      <c r="I13" s="82">
        <f t="shared" si="3"/>
        <v>7.1999999999999993</v>
      </c>
      <c r="J13" s="32"/>
      <c r="K13" s="32"/>
      <c r="L13" s="32"/>
      <c r="M13" s="32"/>
      <c r="N13" s="32"/>
      <c r="O13" s="32"/>
      <c r="P13" s="32"/>
      <c r="Q13" s="32"/>
      <c r="R13" s="279"/>
      <c r="S13" s="280"/>
    </row>
    <row r="14" spans="1:19">
      <c r="A14" s="63" t="str">
        <f>'1. 소켓인수검사'!A13</f>
        <v>05</v>
      </c>
      <c r="B14" s="41">
        <f>'1. 소켓인수검사'!C13</f>
        <v>500</v>
      </c>
      <c r="C14" s="41">
        <f>'1. 소켓인수검사'!D13</f>
        <v>400</v>
      </c>
      <c r="D14" s="64" t="s">
        <v>19</v>
      </c>
      <c r="E14" s="81">
        <f t="shared" si="0"/>
        <v>0.2</v>
      </c>
      <c r="F14" s="81">
        <f t="shared" si="1"/>
        <v>1.8</v>
      </c>
      <c r="G14" s="32">
        <f t="shared" si="2"/>
        <v>2.2000000000000002</v>
      </c>
      <c r="H14" s="32">
        <v>4</v>
      </c>
      <c r="I14" s="82">
        <f t="shared" si="3"/>
        <v>8.8000000000000007</v>
      </c>
      <c r="J14" s="32"/>
      <c r="K14" s="32"/>
      <c r="L14" s="32"/>
      <c r="M14" s="32"/>
      <c r="N14" s="32"/>
      <c r="O14" s="32"/>
      <c r="P14" s="32"/>
      <c r="Q14" s="32"/>
      <c r="R14" s="279"/>
      <c r="S14" s="280"/>
    </row>
    <row r="15" spans="1:19">
      <c r="A15" s="63" t="str">
        <f>'1. 소켓인수검사'!A14</f>
        <v>06</v>
      </c>
      <c r="B15" s="41">
        <f>'1. 소켓인수검사'!C14</f>
        <v>500</v>
      </c>
      <c r="C15" s="41">
        <f>'1. 소켓인수검사'!D14</f>
        <v>400</v>
      </c>
      <c r="D15" s="64" t="s">
        <v>19</v>
      </c>
      <c r="E15" s="81">
        <f t="shared" si="0"/>
        <v>0.2</v>
      </c>
      <c r="F15" s="81">
        <f t="shared" si="1"/>
        <v>1.8</v>
      </c>
      <c r="G15" s="32">
        <f t="shared" si="2"/>
        <v>2.2000000000000002</v>
      </c>
      <c r="H15" s="32">
        <v>4</v>
      </c>
      <c r="I15" s="82">
        <f t="shared" si="3"/>
        <v>8.8000000000000007</v>
      </c>
      <c r="J15" s="32"/>
      <c r="K15" s="32"/>
      <c r="L15" s="32"/>
      <c r="M15" s="32"/>
      <c r="N15" s="32"/>
      <c r="O15" s="32"/>
      <c r="P15" s="32"/>
      <c r="Q15" s="32"/>
      <c r="R15" s="279"/>
      <c r="S15" s="280"/>
    </row>
    <row r="16" spans="1:19">
      <c r="A16" s="63" t="str">
        <f>'1. 소켓인수검사'!A15</f>
        <v>07</v>
      </c>
      <c r="B16" s="41">
        <f>'1. 소켓인수검사'!C15</f>
        <v>850</v>
      </c>
      <c r="C16" s="41">
        <f>'1. 소켓인수검사'!D15</f>
        <v>600</v>
      </c>
      <c r="D16" s="68" t="s">
        <v>6</v>
      </c>
      <c r="E16" s="81">
        <f t="shared" ref="E16:E17" si="4">B16*C16/1000000</f>
        <v>0.51</v>
      </c>
      <c r="F16" s="81">
        <f t="shared" ref="F16:F17" si="5">(B16+C16)*2/1000</f>
        <v>2.9</v>
      </c>
      <c r="G16" s="32">
        <f t="shared" ref="G16:G17" si="6">(F16+0.4)</f>
        <v>3.3</v>
      </c>
      <c r="H16" s="41">
        <v>2</v>
      </c>
      <c r="I16" s="82">
        <f t="shared" ref="I16:I17" si="7">G16*H16</f>
        <v>6.6</v>
      </c>
      <c r="J16" s="32">
        <f t="shared" ref="J16:J17" si="8">(F16+0.5)</f>
        <v>3.4</v>
      </c>
      <c r="K16" s="41">
        <v>2</v>
      </c>
      <c r="L16" s="32">
        <f>K16*J16</f>
        <v>6.8</v>
      </c>
      <c r="M16" s="32"/>
      <c r="N16" s="41"/>
      <c r="O16" s="32"/>
      <c r="P16" s="32"/>
      <c r="Q16" s="32"/>
      <c r="R16" s="279"/>
      <c r="S16" s="280"/>
    </row>
    <row r="17" spans="1:19">
      <c r="A17" s="63" t="str">
        <f>'1. 소켓인수검사'!A16</f>
        <v>08</v>
      </c>
      <c r="B17" s="41">
        <f>'1. 소켓인수검사'!C16</f>
        <v>850</v>
      </c>
      <c r="C17" s="41">
        <f>'1. 소켓인수검사'!D16</f>
        <v>600</v>
      </c>
      <c r="D17" s="68" t="s">
        <v>6</v>
      </c>
      <c r="E17" s="81">
        <f t="shared" si="4"/>
        <v>0.51</v>
      </c>
      <c r="F17" s="81">
        <f t="shared" si="5"/>
        <v>2.9</v>
      </c>
      <c r="G17" s="32">
        <f t="shared" si="6"/>
        <v>3.3</v>
      </c>
      <c r="H17" s="41">
        <v>2</v>
      </c>
      <c r="I17" s="82">
        <f t="shared" si="7"/>
        <v>6.6</v>
      </c>
      <c r="J17" s="32">
        <f t="shared" si="8"/>
        <v>3.4</v>
      </c>
      <c r="K17" s="41">
        <v>2</v>
      </c>
      <c r="L17" s="32">
        <f t="shared" ref="L17" si="9">K17*J17</f>
        <v>6.8</v>
      </c>
      <c r="M17" s="32"/>
      <c r="N17" s="41"/>
      <c r="O17" s="32"/>
      <c r="P17" s="32"/>
      <c r="Q17" s="32"/>
      <c r="R17" s="279"/>
      <c r="S17" s="280"/>
    </row>
    <row r="18" spans="1:19">
      <c r="A18" s="63" t="str">
        <f>'1. 소켓인수검사'!A17</f>
        <v>09</v>
      </c>
      <c r="B18" s="41">
        <f>'1. 소켓인수검사'!C17</f>
        <v>1450</v>
      </c>
      <c r="C18" s="41">
        <f>'1. 소켓인수검사'!D17</f>
        <v>900</v>
      </c>
      <c r="D18" s="69" t="s">
        <v>54</v>
      </c>
      <c r="E18" s="81">
        <f t="shared" ref="E18:E20" si="10">B18*C18/1000000</f>
        <v>1.3049999999999999</v>
      </c>
      <c r="F18" s="81">
        <f t="shared" ref="F18:F20" si="11">(B18+C18)*2/1000</f>
        <v>4.7</v>
      </c>
      <c r="G18" s="32">
        <f t="shared" ref="G18:G20" si="12">(F18+0.4)</f>
        <v>5.1000000000000005</v>
      </c>
      <c r="H18" s="41">
        <v>2</v>
      </c>
      <c r="I18" s="32">
        <f>G18*H18</f>
        <v>10.200000000000001</v>
      </c>
      <c r="J18" s="32"/>
      <c r="K18" s="32"/>
      <c r="L18" s="32"/>
      <c r="M18" s="32"/>
      <c r="N18" s="32"/>
      <c r="O18" s="32"/>
      <c r="P18" s="32">
        <f t="shared" ref="P18:P20" si="13">F18+0.5</f>
        <v>5.2</v>
      </c>
      <c r="Q18" s="32">
        <v>2</v>
      </c>
      <c r="R18" s="279">
        <f>P18*Q18</f>
        <v>10.4</v>
      </c>
      <c r="S18" s="280"/>
    </row>
    <row r="19" spans="1:19">
      <c r="A19" s="63" t="str">
        <f>'1. 소켓인수검사'!A18</f>
        <v>10</v>
      </c>
      <c r="B19" s="41">
        <f>'1. 소켓인수검사'!C18</f>
        <v>1500</v>
      </c>
      <c r="C19" s="41">
        <f>'1. 소켓인수검사'!D18</f>
        <v>500</v>
      </c>
      <c r="D19" s="69" t="s">
        <v>54</v>
      </c>
      <c r="E19" s="81">
        <f t="shared" si="10"/>
        <v>0.75</v>
      </c>
      <c r="F19" s="81">
        <f t="shared" si="11"/>
        <v>4</v>
      </c>
      <c r="G19" s="32">
        <f t="shared" si="12"/>
        <v>4.4000000000000004</v>
      </c>
      <c r="H19" s="41">
        <v>2</v>
      </c>
      <c r="I19" s="32">
        <f>G19*H19</f>
        <v>8.8000000000000007</v>
      </c>
      <c r="J19" s="32"/>
      <c r="K19" s="32"/>
      <c r="L19" s="32"/>
      <c r="M19" s="32"/>
      <c r="N19" s="32"/>
      <c r="O19" s="32"/>
      <c r="P19" s="32">
        <f t="shared" si="13"/>
        <v>4.5</v>
      </c>
      <c r="Q19" s="32">
        <v>2</v>
      </c>
      <c r="R19" s="279">
        <f t="shared" ref="R19:R20" si="14">P19*Q19</f>
        <v>9</v>
      </c>
      <c r="S19" s="280"/>
    </row>
    <row r="20" spans="1:19">
      <c r="A20" s="63" t="str">
        <f>'1. 소켓인수검사'!A19</f>
        <v>11</v>
      </c>
      <c r="B20" s="41">
        <f>'1. 소켓인수검사'!C19</f>
        <v>1600</v>
      </c>
      <c r="C20" s="41">
        <f>'1. 소켓인수검사'!D19</f>
        <v>500</v>
      </c>
      <c r="D20" s="69" t="s">
        <v>54</v>
      </c>
      <c r="E20" s="81">
        <f t="shared" si="10"/>
        <v>0.8</v>
      </c>
      <c r="F20" s="81">
        <f t="shared" si="11"/>
        <v>4.2</v>
      </c>
      <c r="G20" s="32">
        <f t="shared" si="12"/>
        <v>4.6000000000000005</v>
      </c>
      <c r="H20" s="41">
        <v>2</v>
      </c>
      <c r="I20" s="32">
        <f t="shared" ref="I20" si="15">G20*H20</f>
        <v>9.2000000000000011</v>
      </c>
      <c r="J20" s="32"/>
      <c r="K20" s="32"/>
      <c r="L20" s="32"/>
      <c r="M20" s="32"/>
      <c r="N20" s="32"/>
      <c r="O20" s="32"/>
      <c r="P20" s="32">
        <f t="shared" si="13"/>
        <v>4.7</v>
      </c>
      <c r="Q20" s="32">
        <v>2</v>
      </c>
      <c r="R20" s="279">
        <f t="shared" si="14"/>
        <v>9.4</v>
      </c>
      <c r="S20" s="280"/>
    </row>
    <row r="21" spans="1:19">
      <c r="A21" s="281" t="s">
        <v>3</v>
      </c>
      <c r="B21" s="282"/>
      <c r="C21" s="282"/>
      <c r="D21" s="282"/>
      <c r="E21" s="282"/>
      <c r="F21" s="283"/>
      <c r="G21" s="39"/>
      <c r="H21" s="54"/>
      <c r="I21" s="90">
        <f>SUM(I10:I20)</f>
        <v>87.8</v>
      </c>
      <c r="J21" s="39"/>
      <c r="K21" s="39"/>
      <c r="L21" s="90">
        <f>SUM(L10:L20)</f>
        <v>13.6</v>
      </c>
      <c r="M21" s="39"/>
      <c r="N21" s="39"/>
      <c r="O21" s="90">
        <f>SUM(O10:O20)</f>
        <v>0</v>
      </c>
      <c r="P21" s="39"/>
      <c r="Q21" s="39"/>
      <c r="R21" s="284">
        <f>SUM(R10:S20)</f>
        <v>28.799999999999997</v>
      </c>
      <c r="S21" s="285"/>
    </row>
    <row r="22" spans="1:19" ht="17.25" customHeight="1">
      <c r="A22" s="288" t="s">
        <v>16</v>
      </c>
      <c r="B22" s="289"/>
      <c r="C22" s="289"/>
      <c r="D22" s="289"/>
      <c r="E22" s="289"/>
      <c r="F22" s="290"/>
      <c r="G22" s="291">
        <f>I21/20</f>
        <v>4.3899999999999997</v>
      </c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3"/>
    </row>
    <row r="23" spans="1:19">
      <c r="A23" s="288" t="s">
        <v>15</v>
      </c>
      <c r="B23" s="289"/>
      <c r="C23" s="289"/>
      <c r="D23" s="289"/>
      <c r="E23" s="289"/>
      <c r="F23" s="290"/>
      <c r="G23" s="291">
        <f>L21/3.6</f>
        <v>3.7777777777777777</v>
      </c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3"/>
    </row>
    <row r="24" spans="1:19">
      <c r="A24" s="294" t="s">
        <v>83</v>
      </c>
      <c r="B24" s="289"/>
      <c r="C24" s="289"/>
      <c r="D24" s="289"/>
      <c r="E24" s="289"/>
      <c r="F24" s="290"/>
      <c r="G24" s="291">
        <f>O21/7.4</f>
        <v>0</v>
      </c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3"/>
    </row>
    <row r="25" spans="1:19">
      <c r="A25" s="288" t="s">
        <v>17</v>
      </c>
      <c r="B25" s="289"/>
      <c r="C25" s="289"/>
      <c r="D25" s="289"/>
      <c r="E25" s="289"/>
      <c r="F25" s="290"/>
      <c r="G25" s="291">
        <f>R21/3.6</f>
        <v>7.9999999999999991</v>
      </c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3"/>
    </row>
    <row r="26" spans="1:19" ht="8.1" customHeight="1">
      <c r="A26" s="176"/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</row>
    <row r="27" spans="1:19">
      <c r="A27" s="134" t="s">
        <v>53</v>
      </c>
      <c r="B27" s="134"/>
      <c r="C27" s="286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</row>
    <row r="28" spans="1:19">
      <c r="A28" s="134"/>
      <c r="B28" s="134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7"/>
      <c r="P28" s="287"/>
      <c r="Q28" s="287"/>
      <c r="R28" s="287"/>
      <c r="S28" s="287"/>
    </row>
    <row r="29" spans="1:19">
      <c r="A29" s="134"/>
      <c r="B29" s="134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7"/>
      <c r="P29" s="287"/>
      <c r="Q29" s="287"/>
      <c r="R29" s="287"/>
      <c r="S29" s="287"/>
    </row>
    <row r="30" spans="1:19">
      <c r="A30" s="134"/>
      <c r="B30" s="134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</row>
  </sheetData>
  <mergeCells count="50"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A21:F21"/>
    <mergeCell ref="R21:S21"/>
    <mergeCell ref="A27:B30"/>
    <mergeCell ref="C27:S30"/>
    <mergeCell ref="A22:F22"/>
    <mergeCell ref="G22:S22"/>
    <mergeCell ref="A23:F23"/>
    <mergeCell ref="G23:S23"/>
    <mergeCell ref="A24:F24"/>
    <mergeCell ref="G24:S24"/>
    <mergeCell ref="A25:F25"/>
    <mergeCell ref="G25:S25"/>
    <mergeCell ref="A26:S26"/>
  </mergeCells>
  <phoneticPr fontId="31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5"/>
  <sheetViews>
    <sheetView tabSelected="1"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T33" sqref="T33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34"/>
      <c r="B1" s="134"/>
      <c r="C1" s="134"/>
      <c r="D1" s="134"/>
      <c r="E1" s="111" t="s">
        <v>9</v>
      </c>
      <c r="F1" s="322" t="s">
        <v>80</v>
      </c>
      <c r="G1" s="322"/>
      <c r="H1" s="322"/>
      <c r="I1" s="322"/>
      <c r="J1" s="322"/>
      <c r="K1" s="214" t="str">
        <f>'1. 소켓인수검사'!R2</f>
        <v>26.06.29 하나로_남화토건_거승공조_제주시 도시공원(오봉동)민간특례사업고양시설(음악당)</v>
      </c>
      <c r="L1" s="214"/>
      <c r="M1" s="214"/>
      <c r="N1" s="214"/>
      <c r="O1" s="214"/>
      <c r="P1" s="214"/>
      <c r="Q1" s="214"/>
      <c r="R1" s="214"/>
      <c r="S1" s="214"/>
      <c r="T1" s="214"/>
      <c r="U1" s="215"/>
    </row>
    <row r="2" spans="1:21" ht="16.5" customHeight="1">
      <c r="A2" s="134"/>
      <c r="B2" s="134"/>
      <c r="C2" s="134"/>
      <c r="D2" s="134"/>
      <c r="E2" s="110"/>
      <c r="F2" s="323"/>
      <c r="G2" s="323"/>
      <c r="H2" s="323"/>
      <c r="I2" s="323"/>
      <c r="J2" s="323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7"/>
    </row>
    <row r="3" spans="1:21" ht="24" customHeight="1">
      <c r="A3" s="134"/>
      <c r="B3" s="134"/>
      <c r="C3" s="134"/>
      <c r="D3" s="134"/>
      <c r="E3" s="112"/>
      <c r="F3" s="324"/>
      <c r="G3" s="324"/>
      <c r="H3" s="324"/>
      <c r="I3" s="324"/>
      <c r="J3" s="324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9"/>
    </row>
    <row r="4" spans="1:21" ht="8.1" customHeight="1">
      <c r="A4" s="181"/>
      <c r="B4" s="182"/>
      <c r="C4" s="182"/>
      <c r="D4" s="182"/>
      <c r="E4" s="182"/>
      <c r="F4" s="182"/>
      <c r="G4" s="182"/>
      <c r="H4" s="181"/>
      <c r="I4" s="182"/>
      <c r="J4" s="182"/>
      <c r="K4" s="182"/>
      <c r="L4" s="182"/>
      <c r="M4" s="182"/>
      <c r="N4" s="182"/>
      <c r="O4" s="182"/>
      <c r="P4" s="182"/>
      <c r="Q4" s="3"/>
      <c r="S4" s="3"/>
      <c r="T4" s="3"/>
      <c r="U4" s="3"/>
    </row>
    <row r="5" spans="1:21" ht="16.5" customHeight="1">
      <c r="A5" s="148" t="s">
        <v>64</v>
      </c>
      <c r="B5" s="325" t="s">
        <v>41</v>
      </c>
      <c r="C5" s="295" t="s">
        <v>71</v>
      </c>
      <c r="D5" s="295" t="s">
        <v>69</v>
      </c>
      <c r="E5" s="295" t="s">
        <v>29</v>
      </c>
      <c r="F5" s="295" t="s">
        <v>59</v>
      </c>
      <c r="G5" s="295" t="s">
        <v>66</v>
      </c>
      <c r="H5" s="295" t="s">
        <v>45</v>
      </c>
      <c r="I5" s="295" t="s">
        <v>28</v>
      </c>
      <c r="J5" s="295"/>
      <c r="K5" s="295" t="s">
        <v>0</v>
      </c>
      <c r="L5" s="295"/>
      <c r="M5" s="295" t="s">
        <v>0</v>
      </c>
      <c r="N5" s="295"/>
      <c r="O5" s="295" t="s">
        <v>0</v>
      </c>
      <c r="P5" s="295"/>
      <c r="Q5" s="315" t="s">
        <v>58</v>
      </c>
      <c r="R5" s="315"/>
      <c r="S5" s="316" t="s">
        <v>35</v>
      </c>
      <c r="T5" s="316" t="s">
        <v>63</v>
      </c>
      <c r="U5" s="318" t="s">
        <v>22</v>
      </c>
    </row>
    <row r="6" spans="1:21" ht="26.45" customHeight="1">
      <c r="A6" s="299"/>
      <c r="B6" s="326"/>
      <c r="C6" s="296"/>
      <c r="D6" s="296"/>
      <c r="E6" s="296"/>
      <c r="F6" s="296"/>
      <c r="G6" s="296"/>
      <c r="H6" s="296"/>
      <c r="I6" s="86" t="s">
        <v>10</v>
      </c>
      <c r="J6" s="40" t="s">
        <v>62</v>
      </c>
      <c r="K6" s="86" t="s">
        <v>81</v>
      </c>
      <c r="L6" s="40" t="s">
        <v>62</v>
      </c>
      <c r="M6" s="86" t="s">
        <v>40</v>
      </c>
      <c r="N6" s="40" t="s">
        <v>62</v>
      </c>
      <c r="O6" s="86" t="s">
        <v>42</v>
      </c>
      <c r="P6" s="40" t="s">
        <v>62</v>
      </c>
      <c r="Q6" s="86" t="s">
        <v>60</v>
      </c>
      <c r="R6" s="40" t="s">
        <v>72</v>
      </c>
      <c r="S6" s="317"/>
      <c r="T6" s="317"/>
      <c r="U6" s="319"/>
    </row>
    <row r="7" spans="1:21">
      <c r="A7" s="63" t="str">
        <f>'1. 소켓인수검사'!A9</f>
        <v>01</v>
      </c>
      <c r="B7" s="87" t="s">
        <v>47</v>
      </c>
      <c r="C7" s="41">
        <f>'1. 소켓인수검사'!C9</f>
        <v>450</v>
      </c>
      <c r="D7" s="41">
        <f>'1. 소켓인수검사'!D9</f>
        <v>250</v>
      </c>
      <c r="E7" s="42"/>
      <c r="F7" s="43">
        <f>C7*D7/1000000</f>
        <v>0.1125</v>
      </c>
      <c r="G7" s="43">
        <f>(C7+D7)*2/1000</f>
        <v>1.4</v>
      </c>
      <c r="H7" s="50">
        <v>2</v>
      </c>
      <c r="I7" s="86">
        <f>(G7+0.4)</f>
        <v>1.7999999999999998</v>
      </c>
      <c r="J7" s="40">
        <v>8</v>
      </c>
      <c r="K7" s="32"/>
      <c r="L7" s="40"/>
      <c r="M7" s="32"/>
      <c r="N7" s="40"/>
      <c r="O7" s="32"/>
      <c r="P7" s="40"/>
      <c r="Q7" s="44">
        <f>(((C7+60)+250+(D7+60))*2/1000)*2</f>
        <v>4.28</v>
      </c>
      <c r="R7" s="131">
        <f>Q7*2</f>
        <v>8.56</v>
      </c>
      <c r="S7" s="45" t="s">
        <v>11</v>
      </c>
      <c r="T7" s="46" t="s">
        <v>14</v>
      </c>
      <c r="U7" s="47" t="str">
        <f>'1. 소켓인수검사'!G9</f>
        <v>전기실</v>
      </c>
    </row>
    <row r="8" spans="1:21">
      <c r="A8" s="63" t="str">
        <f>'1. 소켓인수검사'!A10</f>
        <v>02</v>
      </c>
      <c r="B8" s="87" t="s">
        <v>46</v>
      </c>
      <c r="C8" s="41">
        <f>'1. 소켓인수검사'!C10</f>
        <v>450</v>
      </c>
      <c r="D8" s="41">
        <f>'1. 소켓인수검사'!D10</f>
        <v>250</v>
      </c>
      <c r="E8" s="42"/>
      <c r="F8" s="43">
        <f t="shared" ref="F8:F9" si="0">C8*D8/1000000</f>
        <v>0.1125</v>
      </c>
      <c r="G8" s="43">
        <f t="shared" ref="G8:G9" si="1">(C8+D8)*2/1000</f>
        <v>1.4</v>
      </c>
      <c r="H8" s="50">
        <v>2</v>
      </c>
      <c r="I8" s="86">
        <f>(G8+0.4)</f>
        <v>1.7999999999999998</v>
      </c>
      <c r="J8" s="40">
        <v>8</v>
      </c>
      <c r="K8" s="32"/>
      <c r="L8" s="40"/>
      <c r="M8" s="32"/>
      <c r="N8" s="40"/>
      <c r="O8" s="32"/>
      <c r="P8" s="40"/>
      <c r="Q8" s="44">
        <f t="shared" ref="Q8:Q12" si="2">(((C8+60)+250+(D8+60))*2/1000)*2</f>
        <v>4.28</v>
      </c>
      <c r="R8" s="131">
        <f>Q8*2</f>
        <v>8.56</v>
      </c>
      <c r="S8" s="45" t="s">
        <v>11</v>
      </c>
      <c r="T8" s="46" t="s">
        <v>14</v>
      </c>
      <c r="U8" s="47" t="str">
        <f>'1. 소켓인수검사'!G10</f>
        <v>전기실</v>
      </c>
    </row>
    <row r="9" spans="1:21">
      <c r="A9" s="63" t="str">
        <f>'1. 소켓인수검사'!A11</f>
        <v>03</v>
      </c>
      <c r="B9" s="87" t="s">
        <v>44</v>
      </c>
      <c r="C9" s="41">
        <f>'1. 소켓인수검사'!C11</f>
        <v>450</v>
      </c>
      <c r="D9" s="41">
        <f>'1. 소켓인수검사'!D11</f>
        <v>250</v>
      </c>
      <c r="E9" s="42"/>
      <c r="F9" s="43">
        <f t="shared" si="0"/>
        <v>0.1125</v>
      </c>
      <c r="G9" s="43">
        <f t="shared" si="1"/>
        <v>1.4</v>
      </c>
      <c r="H9" s="50">
        <v>2</v>
      </c>
      <c r="I9" s="86">
        <f>(G9+0.4)</f>
        <v>1.7999999999999998</v>
      </c>
      <c r="J9" s="40">
        <v>8</v>
      </c>
      <c r="K9" s="32"/>
      <c r="L9" s="40"/>
      <c r="M9" s="32"/>
      <c r="N9" s="40"/>
      <c r="O9" s="32"/>
      <c r="P9" s="40"/>
      <c r="Q9" s="44">
        <f t="shared" si="2"/>
        <v>4.28</v>
      </c>
      <c r="R9" s="131">
        <f t="shared" ref="R9:R17" si="3">Q9*2</f>
        <v>8.56</v>
      </c>
      <c r="S9" s="45" t="s">
        <v>11</v>
      </c>
      <c r="T9" s="46" t="s">
        <v>14</v>
      </c>
      <c r="U9" s="47" t="str">
        <f>'1. 소켓인수검사'!G11</f>
        <v>전기실</v>
      </c>
    </row>
    <row r="10" spans="1:21">
      <c r="A10" s="63" t="str">
        <f>'1. 소켓인수검사'!A12</f>
        <v>04</v>
      </c>
      <c r="B10" s="87" t="s">
        <v>44</v>
      </c>
      <c r="C10" s="41">
        <f>'1. 소켓인수검사'!C12</f>
        <v>450</v>
      </c>
      <c r="D10" s="41">
        <f>'1. 소켓인수검사'!D12</f>
        <v>250</v>
      </c>
      <c r="E10" s="42"/>
      <c r="F10" s="43">
        <f t="shared" ref="F10:F12" si="4">C10*D10/1000000</f>
        <v>0.1125</v>
      </c>
      <c r="G10" s="43">
        <f t="shared" ref="G10:G12" si="5">(C10+D10)*2/1000</f>
        <v>1.4</v>
      </c>
      <c r="H10" s="50">
        <v>2</v>
      </c>
      <c r="I10" s="86">
        <f t="shared" ref="I10:I12" si="6">(G10+0.4)</f>
        <v>1.7999999999999998</v>
      </c>
      <c r="J10" s="40">
        <v>8</v>
      </c>
      <c r="K10" s="32"/>
      <c r="L10" s="40"/>
      <c r="M10" s="32"/>
      <c r="N10" s="40"/>
      <c r="O10" s="32"/>
      <c r="P10" s="40"/>
      <c r="Q10" s="44">
        <f t="shared" si="2"/>
        <v>4.28</v>
      </c>
      <c r="R10" s="131">
        <f t="shared" si="3"/>
        <v>8.56</v>
      </c>
      <c r="S10" s="45" t="s">
        <v>11</v>
      </c>
      <c r="T10" s="46" t="s">
        <v>14</v>
      </c>
      <c r="U10" s="47" t="str">
        <f>'1. 소켓인수검사'!G12</f>
        <v>전기실</v>
      </c>
    </row>
    <row r="11" spans="1:21">
      <c r="A11" s="63" t="str">
        <f>'1. 소켓인수검사'!A13</f>
        <v>05</v>
      </c>
      <c r="B11" s="87" t="s">
        <v>44</v>
      </c>
      <c r="C11" s="41">
        <f>'1. 소켓인수검사'!C13</f>
        <v>500</v>
      </c>
      <c r="D11" s="41">
        <f>'1. 소켓인수검사'!D13</f>
        <v>400</v>
      </c>
      <c r="E11" s="42"/>
      <c r="F11" s="43">
        <f t="shared" si="4"/>
        <v>0.2</v>
      </c>
      <c r="G11" s="43">
        <f t="shared" si="5"/>
        <v>1.8</v>
      </c>
      <c r="H11" s="50">
        <v>2</v>
      </c>
      <c r="I11" s="86">
        <f t="shared" si="6"/>
        <v>2.2000000000000002</v>
      </c>
      <c r="J11" s="40">
        <v>8</v>
      </c>
      <c r="K11" s="32"/>
      <c r="L11" s="40"/>
      <c r="M11" s="32"/>
      <c r="N11" s="40"/>
      <c r="O11" s="32"/>
      <c r="P11" s="40"/>
      <c r="Q11" s="44">
        <f t="shared" si="2"/>
        <v>5.08</v>
      </c>
      <c r="R11" s="131">
        <f t="shared" si="3"/>
        <v>10.16</v>
      </c>
      <c r="S11" s="45" t="s">
        <v>11</v>
      </c>
      <c r="T11" s="46" t="s">
        <v>14</v>
      </c>
      <c r="U11" s="47" t="str">
        <f>'1. 소켓인수검사'!G13</f>
        <v>발전기실</v>
      </c>
    </row>
    <row r="12" spans="1:21">
      <c r="A12" s="63" t="str">
        <f>'1. 소켓인수검사'!A14</f>
        <v>06</v>
      </c>
      <c r="B12" s="87" t="s">
        <v>44</v>
      </c>
      <c r="C12" s="41">
        <f>'1. 소켓인수검사'!C14</f>
        <v>500</v>
      </c>
      <c r="D12" s="41">
        <f>'1. 소켓인수검사'!D14</f>
        <v>400</v>
      </c>
      <c r="E12" s="42"/>
      <c r="F12" s="43">
        <f t="shared" si="4"/>
        <v>0.2</v>
      </c>
      <c r="G12" s="43">
        <f t="shared" si="5"/>
        <v>1.8</v>
      </c>
      <c r="H12" s="50">
        <v>2</v>
      </c>
      <c r="I12" s="86">
        <f t="shared" si="6"/>
        <v>2.2000000000000002</v>
      </c>
      <c r="J12" s="40">
        <v>8</v>
      </c>
      <c r="K12" s="32"/>
      <c r="L12" s="40"/>
      <c r="M12" s="32"/>
      <c r="N12" s="40"/>
      <c r="O12" s="32"/>
      <c r="P12" s="40"/>
      <c r="Q12" s="44">
        <f t="shared" si="2"/>
        <v>5.08</v>
      </c>
      <c r="R12" s="131">
        <f t="shared" si="3"/>
        <v>10.16</v>
      </c>
      <c r="S12" s="45" t="s">
        <v>11</v>
      </c>
      <c r="T12" s="46" t="s">
        <v>14</v>
      </c>
      <c r="U12" s="47" t="str">
        <f>'1. 소켓인수검사'!G14</f>
        <v>발전기실</v>
      </c>
    </row>
    <row r="13" spans="1:21">
      <c r="A13" s="63" t="str">
        <f>'1. 소켓인수검사'!A15</f>
        <v>07</v>
      </c>
      <c r="B13" s="87" t="s">
        <v>44</v>
      </c>
      <c r="C13" s="41">
        <f>'1. 소켓인수검사'!C15</f>
        <v>850</v>
      </c>
      <c r="D13" s="41">
        <f>'1. 소켓인수검사'!D15</f>
        <v>600</v>
      </c>
      <c r="E13" s="42"/>
      <c r="F13" s="43">
        <f t="shared" ref="F13:F14" si="7">C13*D13/1000000</f>
        <v>0.51</v>
      </c>
      <c r="G13" s="43">
        <f t="shared" ref="G13:G14" si="8">(C13+D13)*2/1000</f>
        <v>2.9</v>
      </c>
      <c r="H13" s="50">
        <v>2</v>
      </c>
      <c r="I13" s="86">
        <f t="shared" ref="I13:I14" si="9">(G13+0.4)</f>
        <v>3.3</v>
      </c>
      <c r="J13" s="48">
        <v>4</v>
      </c>
      <c r="K13" s="86"/>
      <c r="L13" s="48"/>
      <c r="M13" s="86">
        <f>G13+0.5</f>
        <v>3.4</v>
      </c>
      <c r="N13" s="48">
        <v>4</v>
      </c>
      <c r="O13" s="32"/>
      <c r="P13" s="40"/>
      <c r="Q13" s="44">
        <f t="shared" ref="Q13:Q14" si="10">(((C13+60)+250+(D13+60))*2/1000)*2</f>
        <v>7.28</v>
      </c>
      <c r="R13" s="131">
        <f t="shared" si="3"/>
        <v>14.56</v>
      </c>
      <c r="S13" s="46" t="s">
        <v>50</v>
      </c>
      <c r="T13" s="49" t="s">
        <v>7</v>
      </c>
      <c r="U13" s="47" t="str">
        <f>'1. 소켓인수검사'!G15</f>
        <v>전기실</v>
      </c>
    </row>
    <row r="14" spans="1:21">
      <c r="A14" s="63" t="str">
        <f>'1. 소켓인수검사'!A16</f>
        <v>08</v>
      </c>
      <c r="B14" s="87" t="s">
        <v>44</v>
      </c>
      <c r="C14" s="41">
        <f>'1. 소켓인수검사'!C16</f>
        <v>850</v>
      </c>
      <c r="D14" s="41">
        <f>'1. 소켓인수검사'!D16</f>
        <v>600</v>
      </c>
      <c r="E14" s="42"/>
      <c r="F14" s="43">
        <f t="shared" si="7"/>
        <v>0.51</v>
      </c>
      <c r="G14" s="43">
        <f t="shared" si="8"/>
        <v>2.9</v>
      </c>
      <c r="H14" s="50">
        <v>2</v>
      </c>
      <c r="I14" s="86">
        <f t="shared" si="9"/>
        <v>3.3</v>
      </c>
      <c r="J14" s="48">
        <v>4</v>
      </c>
      <c r="K14" s="86"/>
      <c r="L14" s="48"/>
      <c r="M14" s="86">
        <f t="shared" ref="M14" si="11">G14+0.5</f>
        <v>3.4</v>
      </c>
      <c r="N14" s="48">
        <v>4</v>
      </c>
      <c r="O14" s="32"/>
      <c r="P14" s="40"/>
      <c r="Q14" s="44">
        <f t="shared" si="10"/>
        <v>7.28</v>
      </c>
      <c r="R14" s="131">
        <f t="shared" si="3"/>
        <v>14.56</v>
      </c>
      <c r="S14" s="46" t="s">
        <v>50</v>
      </c>
      <c r="T14" s="49" t="s">
        <v>7</v>
      </c>
      <c r="U14" s="47" t="str">
        <f>'1. 소켓인수검사'!G16</f>
        <v>전기실</v>
      </c>
    </row>
    <row r="15" spans="1:21">
      <c r="A15" s="63" t="str">
        <f>'1. 소켓인수검사'!A17</f>
        <v>09</v>
      </c>
      <c r="B15" s="87" t="s">
        <v>44</v>
      </c>
      <c r="C15" s="41">
        <f>'1. 소켓인수검사'!C17</f>
        <v>1450</v>
      </c>
      <c r="D15" s="41">
        <f>'1. 소켓인수검사'!D17</f>
        <v>900</v>
      </c>
      <c r="E15" s="42"/>
      <c r="F15" s="43">
        <f t="shared" ref="F15:F17" si="12">C15*D15/1000000</f>
        <v>1.3049999999999999</v>
      </c>
      <c r="G15" s="43">
        <f t="shared" ref="G15:G17" si="13">(C15+D15)*2/1000</f>
        <v>4.7</v>
      </c>
      <c r="H15" s="50">
        <v>4</v>
      </c>
      <c r="I15" s="86">
        <f t="shared" ref="I15:I17" si="14">(G15+0.4)</f>
        <v>5.1000000000000005</v>
      </c>
      <c r="J15" s="51">
        <v>4</v>
      </c>
      <c r="K15" s="32"/>
      <c r="L15" s="40"/>
      <c r="M15" s="32"/>
      <c r="N15" s="40"/>
      <c r="O15" s="86">
        <f t="shared" ref="O15:O17" si="15">(G15+0.5)</f>
        <v>5.2</v>
      </c>
      <c r="P15" s="51">
        <v>4</v>
      </c>
      <c r="Q15" s="44">
        <f t="shared" ref="Q15:Q17" si="16">(((C15+60)+250+(D15+60))*2/1000)*2</f>
        <v>10.88</v>
      </c>
      <c r="R15" s="131">
        <f t="shared" si="3"/>
        <v>21.76</v>
      </c>
      <c r="S15" s="52" t="s">
        <v>49</v>
      </c>
      <c r="T15" s="53" t="s">
        <v>8</v>
      </c>
      <c r="U15" s="47" t="str">
        <f>'1. 소켓인수검사'!G17</f>
        <v>용역원실</v>
      </c>
    </row>
    <row r="16" spans="1:21">
      <c r="A16" s="63" t="str">
        <f>'1. 소켓인수검사'!A18</f>
        <v>10</v>
      </c>
      <c r="B16" s="87" t="s">
        <v>44</v>
      </c>
      <c r="C16" s="41">
        <f>'1. 소켓인수검사'!C18</f>
        <v>1500</v>
      </c>
      <c r="D16" s="41">
        <f>'1. 소켓인수검사'!D18</f>
        <v>500</v>
      </c>
      <c r="E16" s="42"/>
      <c r="F16" s="43">
        <f t="shared" si="12"/>
        <v>0.75</v>
      </c>
      <c r="G16" s="43">
        <f t="shared" si="13"/>
        <v>4</v>
      </c>
      <c r="H16" s="50">
        <v>4</v>
      </c>
      <c r="I16" s="86">
        <f t="shared" si="14"/>
        <v>4.4000000000000004</v>
      </c>
      <c r="J16" s="51">
        <v>4</v>
      </c>
      <c r="K16" s="32"/>
      <c r="L16" s="40"/>
      <c r="M16" s="32"/>
      <c r="N16" s="40"/>
      <c r="O16" s="86">
        <f t="shared" si="15"/>
        <v>4.5</v>
      </c>
      <c r="P16" s="51">
        <v>4</v>
      </c>
      <c r="Q16" s="44">
        <f t="shared" si="16"/>
        <v>9.48</v>
      </c>
      <c r="R16" s="131">
        <f t="shared" si="3"/>
        <v>18.96</v>
      </c>
      <c r="S16" s="52" t="s">
        <v>49</v>
      </c>
      <c r="T16" s="53" t="s">
        <v>8</v>
      </c>
      <c r="U16" s="47" t="str">
        <f>'1. 소켓인수검사'!G18</f>
        <v>발전기실앞</v>
      </c>
    </row>
    <row r="17" spans="1:21">
      <c r="A17" s="63" t="str">
        <f>'1. 소켓인수검사'!A19</f>
        <v>11</v>
      </c>
      <c r="B17" s="87" t="s">
        <v>44</v>
      </c>
      <c r="C17" s="41">
        <f>'1. 소켓인수검사'!C19</f>
        <v>1600</v>
      </c>
      <c r="D17" s="41">
        <f>'1. 소켓인수검사'!D19</f>
        <v>500</v>
      </c>
      <c r="E17" s="42"/>
      <c r="F17" s="43">
        <f t="shared" si="12"/>
        <v>0.8</v>
      </c>
      <c r="G17" s="43">
        <f t="shared" si="13"/>
        <v>4.2</v>
      </c>
      <c r="H17" s="50">
        <v>4</v>
      </c>
      <c r="I17" s="86">
        <f t="shared" si="14"/>
        <v>4.6000000000000005</v>
      </c>
      <c r="J17" s="51">
        <v>4</v>
      </c>
      <c r="K17" s="32"/>
      <c r="L17" s="40"/>
      <c r="M17" s="32"/>
      <c r="N17" s="40"/>
      <c r="O17" s="86">
        <f t="shared" si="15"/>
        <v>4.7</v>
      </c>
      <c r="P17" s="51">
        <v>4</v>
      </c>
      <c r="Q17" s="44">
        <f t="shared" si="16"/>
        <v>9.8800000000000008</v>
      </c>
      <c r="R17" s="131">
        <f t="shared" si="3"/>
        <v>19.760000000000002</v>
      </c>
      <c r="S17" s="52" t="s">
        <v>49</v>
      </c>
      <c r="T17" s="53" t="s">
        <v>8</v>
      </c>
      <c r="U17" s="47" t="str">
        <f>'1. 소켓인수검사'!G19</f>
        <v>발전기실앞</v>
      </c>
    </row>
    <row r="18" spans="1:21">
      <c r="A18" s="320" t="s">
        <v>5</v>
      </c>
      <c r="B18" s="321"/>
      <c r="C18" s="321"/>
      <c r="D18" s="85"/>
      <c r="E18" s="57"/>
      <c r="F18" s="57"/>
      <c r="G18" s="57"/>
      <c r="H18" s="56">
        <f>SUM(H7:H17)</f>
        <v>28</v>
      </c>
      <c r="I18" s="91"/>
      <c r="J18" s="56">
        <f>SUM(J7:J17)</f>
        <v>68</v>
      </c>
      <c r="K18" s="91"/>
      <c r="L18" s="56">
        <f>SUM(L7:L17)</f>
        <v>0</v>
      </c>
      <c r="M18" s="91"/>
      <c r="N18" s="56">
        <f>SUM(N7:N17)</f>
        <v>8</v>
      </c>
      <c r="O18" s="91"/>
      <c r="P18" s="56">
        <f>SUM(P7:P17)</f>
        <v>12</v>
      </c>
      <c r="Q18" s="91">
        <f>SUM(Q7:Q17)</f>
        <v>72.08</v>
      </c>
      <c r="R18" s="56">
        <f>SUM(R7:R17)</f>
        <v>144.16</v>
      </c>
      <c r="S18" s="88"/>
      <c r="T18" s="88"/>
      <c r="U18" s="89"/>
    </row>
    <row r="19" spans="1:21" ht="8.1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4"/>
    </row>
    <row r="20" spans="1:21">
      <c r="A20" s="134" t="s">
        <v>53</v>
      </c>
      <c r="B20" s="134"/>
      <c r="C20" s="134"/>
      <c r="D20" s="175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7"/>
    </row>
    <row r="21" spans="1:21">
      <c r="A21" s="134"/>
      <c r="B21" s="134"/>
      <c r="C21" s="134"/>
      <c r="D21" s="178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80"/>
    </row>
    <row r="22" spans="1:21">
      <c r="A22" s="134"/>
      <c r="B22" s="134"/>
      <c r="C22" s="134"/>
      <c r="D22" s="178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80"/>
    </row>
    <row r="23" spans="1:21">
      <c r="A23" s="134"/>
      <c r="B23" s="134"/>
      <c r="C23" s="134"/>
      <c r="D23" s="178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80"/>
    </row>
    <row r="24" spans="1:21">
      <c r="A24" s="134"/>
      <c r="B24" s="134"/>
      <c r="C24" s="134"/>
      <c r="D24" s="178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80"/>
    </row>
    <row r="25" spans="1:21">
      <c r="A25" s="134"/>
      <c r="B25" s="134"/>
      <c r="C25" s="134"/>
      <c r="D25" s="181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3"/>
    </row>
  </sheetData>
  <mergeCells count="24">
    <mergeCell ref="U5:U6"/>
    <mergeCell ref="A18:C18"/>
    <mergeCell ref="F1:J3"/>
    <mergeCell ref="K1:U3"/>
    <mergeCell ref="D20:U25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19:P19"/>
    <mergeCell ref="A20:C25"/>
    <mergeCell ref="Q5:R5"/>
    <mergeCell ref="S5:S6"/>
    <mergeCell ref="T5:T6"/>
    <mergeCell ref="K5:L5"/>
    <mergeCell ref="O5:P5"/>
    <mergeCell ref="M5:N5"/>
  </mergeCells>
  <phoneticPr fontId="31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92"/>
  </cols>
  <sheetData/>
  <phoneticPr fontId="3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2026-01-07T23:38:07Z</cp:lastPrinted>
  <dcterms:created xsi:type="dcterms:W3CDTF">2025-03-13T00:09:10Z</dcterms:created>
  <dcterms:modified xsi:type="dcterms:W3CDTF">2026-06-30T22:21:14Z</dcterms:modified>
  <cp:version>1200.0100.01</cp:version>
</cp:coreProperties>
</file>