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7091D6B4-D971-4F11-8E7E-002814D23F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소켓인수검사'!$A$1:$P$22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H1" i="12"/>
  <c r="D21" i="12"/>
  <c r="M21" i="12" s="1"/>
  <c r="C21" i="12"/>
  <c r="K21" i="12" s="1"/>
  <c r="D20" i="12"/>
  <c r="M20" i="12" s="1"/>
  <c r="C20" i="12"/>
  <c r="D19" i="12"/>
  <c r="M19" i="12" s="1"/>
  <c r="C19" i="12"/>
  <c r="K19" i="12" s="1"/>
  <c r="D18" i="12"/>
  <c r="C18" i="12"/>
  <c r="D17" i="12"/>
  <c r="I17" i="12" s="1"/>
  <c r="C17" i="12"/>
  <c r="K17" i="12" s="1"/>
  <c r="D16" i="12"/>
  <c r="I16" i="12" s="1"/>
  <c r="C16" i="12"/>
  <c r="D15" i="12"/>
  <c r="M15" i="12" s="1"/>
  <c r="C15" i="12"/>
  <c r="K15" i="12" s="1"/>
  <c r="D14" i="12"/>
  <c r="I14" i="12" s="1"/>
  <c r="C14" i="12"/>
  <c r="G14" i="12" s="1"/>
  <c r="D13" i="12"/>
  <c r="I13" i="12" s="1"/>
  <c r="C13" i="12"/>
  <c r="G13" i="12" s="1"/>
  <c r="D12" i="12"/>
  <c r="I12" i="12" s="1"/>
  <c r="C12" i="12"/>
  <c r="D11" i="12"/>
  <c r="M11" i="12" s="1"/>
  <c r="C11" i="12"/>
  <c r="G11" i="12" s="1"/>
  <c r="D10" i="12"/>
  <c r="I10" i="12" s="1"/>
  <c r="C10" i="12"/>
  <c r="G10" i="12" s="1"/>
  <c r="D9" i="12"/>
  <c r="M9" i="12" s="1"/>
  <c r="C9" i="12"/>
  <c r="G9" i="12" s="1"/>
  <c r="D8" i="12"/>
  <c r="C8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21" i="12"/>
  <c r="H21" i="12"/>
  <c r="J20" i="12"/>
  <c r="I20" i="12"/>
  <c r="H20" i="12"/>
  <c r="J19" i="12"/>
  <c r="H19" i="12"/>
  <c r="K18" i="12"/>
  <c r="J18" i="12"/>
  <c r="H18" i="12"/>
  <c r="G18" i="12"/>
  <c r="M18" i="12"/>
  <c r="M17" i="12"/>
  <c r="J17" i="12"/>
  <c r="H17" i="12"/>
  <c r="J16" i="12"/>
  <c r="H16" i="12"/>
  <c r="J15" i="12"/>
  <c r="H15" i="12"/>
  <c r="K14" i="12"/>
  <c r="J14" i="12"/>
  <c r="H14" i="12"/>
  <c r="J13" i="12"/>
  <c r="H13" i="12"/>
  <c r="K13" i="12"/>
  <c r="J12" i="12"/>
  <c r="H12" i="12"/>
  <c r="M12" i="12"/>
  <c r="J11" i="12"/>
  <c r="H11" i="12"/>
  <c r="K10" i="12"/>
  <c r="J10" i="12"/>
  <c r="H10" i="12"/>
  <c r="J9" i="12"/>
  <c r="H9" i="12"/>
  <c r="J8" i="12"/>
  <c r="H8" i="12"/>
  <c r="M8" i="12"/>
  <c r="G1" i="2"/>
  <c r="D21" i="2"/>
  <c r="C21" i="2"/>
  <c r="D20" i="2"/>
  <c r="I20" i="2" s="1"/>
  <c r="C20" i="2"/>
  <c r="G20" i="2" s="1"/>
  <c r="D19" i="2"/>
  <c r="I19" i="2" s="1"/>
  <c r="C19" i="2"/>
  <c r="D18" i="2"/>
  <c r="C18" i="2"/>
  <c r="D17" i="2"/>
  <c r="I17" i="2" s="1"/>
  <c r="C17" i="2"/>
  <c r="D16" i="2"/>
  <c r="C16" i="2"/>
  <c r="D15" i="2"/>
  <c r="C15" i="2"/>
  <c r="D14" i="2"/>
  <c r="C14" i="2"/>
  <c r="G14" i="2" s="1"/>
  <c r="D13" i="2"/>
  <c r="I13" i="2" s="1"/>
  <c r="C13" i="2"/>
  <c r="D12" i="2"/>
  <c r="I12" i="2" s="1"/>
  <c r="C12" i="2"/>
  <c r="D11" i="2"/>
  <c r="I11" i="2" s="1"/>
  <c r="C11" i="2"/>
  <c r="D10" i="2"/>
  <c r="C10" i="2"/>
  <c r="K1" i="10"/>
  <c r="P5" i="9"/>
  <c r="N5" i="5"/>
  <c r="P21" i="10"/>
  <c r="H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H23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24" i="5"/>
  <c r="I24" i="5"/>
  <c r="C24" i="5"/>
  <c r="K24" i="5" s="1"/>
  <c r="B24" i="5"/>
  <c r="H24" i="5" s="1"/>
  <c r="A24" i="5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I21" i="2"/>
  <c r="A21" i="2"/>
  <c r="A20" i="2"/>
  <c r="A19" i="2"/>
  <c r="A18" i="2"/>
  <c r="A17" i="2"/>
  <c r="I16" i="2"/>
  <c r="A16" i="2"/>
  <c r="I15" i="2"/>
  <c r="A15" i="2"/>
  <c r="A14" i="2"/>
  <c r="A13" i="2"/>
  <c r="A12" i="2"/>
  <c r="A11" i="2"/>
  <c r="A10" i="2"/>
  <c r="D9" i="2"/>
  <c r="I9" i="2" s="1"/>
  <c r="C9" i="2"/>
  <c r="A9" i="2"/>
  <c r="D8" i="2"/>
  <c r="I8" i="2" s="1"/>
  <c r="C8" i="2"/>
  <c r="G8" i="2" s="1"/>
  <c r="A8" i="2"/>
  <c r="G19" i="10" l="1"/>
  <c r="I19" i="10" s="1"/>
  <c r="M10" i="12"/>
  <c r="M16" i="12"/>
  <c r="M14" i="12"/>
  <c r="G21" i="12"/>
  <c r="G17" i="12"/>
  <c r="G15" i="12"/>
  <c r="Q9" i="10"/>
  <c r="R9" i="10" s="1"/>
  <c r="Q15" i="10"/>
  <c r="R15" i="10" s="1"/>
  <c r="K9" i="12"/>
  <c r="I11" i="12"/>
  <c r="K11" i="12"/>
  <c r="G19" i="12"/>
  <c r="F18" i="9"/>
  <c r="G18" i="9" s="1"/>
  <c r="I18" i="9" s="1"/>
  <c r="F22" i="9"/>
  <c r="G22" i="9" s="1"/>
  <c r="I22" i="9" s="1"/>
  <c r="M13" i="12"/>
  <c r="I19" i="12"/>
  <c r="K16" i="12"/>
  <c r="G16" i="12"/>
  <c r="I9" i="12"/>
  <c r="K8" i="12"/>
  <c r="G8" i="12"/>
  <c r="I15" i="12"/>
  <c r="I18" i="12"/>
  <c r="K12" i="12"/>
  <c r="G12" i="12"/>
  <c r="I21" i="12"/>
  <c r="I8" i="12"/>
  <c r="K20" i="12"/>
  <c r="G20" i="12"/>
  <c r="I14" i="2"/>
  <c r="G13" i="2"/>
  <c r="G13" i="10"/>
  <c r="I13" i="10" s="1"/>
  <c r="G9" i="2"/>
  <c r="Q17" i="10"/>
  <c r="R17" i="10" s="1"/>
  <c r="Q7" i="10"/>
  <c r="R7" i="10" s="1"/>
  <c r="F14" i="9"/>
  <c r="G14" i="9" s="1"/>
  <c r="I14" i="9" s="1"/>
  <c r="E21" i="9"/>
  <c r="G17" i="2"/>
  <c r="I10" i="2"/>
  <c r="G16" i="2"/>
  <c r="G21" i="2"/>
  <c r="I18" i="2"/>
  <c r="G19" i="2"/>
  <c r="G11" i="2"/>
  <c r="G18" i="2"/>
  <c r="G12" i="2"/>
  <c r="G10" i="2"/>
  <c r="F17" i="9"/>
  <c r="G17" i="9" s="1"/>
  <c r="I17" i="9" s="1"/>
  <c r="F13" i="9"/>
  <c r="G13" i="9" s="1"/>
  <c r="I13" i="9" s="1"/>
  <c r="G11" i="10"/>
  <c r="I11" i="10" s="1"/>
  <c r="Q13" i="10"/>
  <c r="R13" i="10" s="1"/>
  <c r="G17" i="10"/>
  <c r="I17" i="10" s="1"/>
  <c r="G9" i="10"/>
  <c r="I9" i="10" s="1"/>
  <c r="G7" i="10"/>
  <c r="I7" i="10" s="1"/>
  <c r="Q11" i="10"/>
  <c r="R11" i="10" s="1"/>
  <c r="G15" i="10"/>
  <c r="I15" i="10" s="1"/>
  <c r="Q19" i="10"/>
  <c r="R19" i="10" s="1"/>
  <c r="N21" i="10"/>
  <c r="E17" i="9"/>
  <c r="E20" i="9"/>
  <c r="F21" i="9"/>
  <c r="G21" i="9" s="1"/>
  <c r="I21" i="9" s="1"/>
  <c r="E22" i="9"/>
  <c r="E13" i="9"/>
  <c r="E16" i="9"/>
  <c r="E18" i="9"/>
  <c r="F10" i="9"/>
  <c r="G10" i="9" s="1"/>
  <c r="I10" i="9" s="1"/>
  <c r="E12" i="9"/>
  <c r="E14" i="9"/>
  <c r="E15" i="9"/>
  <c r="F15" i="9"/>
  <c r="G15" i="9" s="1"/>
  <c r="I15" i="9" s="1"/>
  <c r="E11" i="9"/>
  <c r="F11" i="9"/>
  <c r="G11" i="9" s="1"/>
  <c r="I11" i="9" s="1"/>
  <c r="G15" i="2"/>
  <c r="E23" i="9"/>
  <c r="F23" i="9"/>
  <c r="G23" i="9" s="1"/>
  <c r="I23" i="9" s="1"/>
  <c r="E19" i="9"/>
  <c r="F19" i="9"/>
  <c r="G19" i="9" s="1"/>
  <c r="I19" i="9" s="1"/>
  <c r="F12" i="9"/>
  <c r="G12" i="9" s="1"/>
  <c r="I12" i="9" s="1"/>
  <c r="F16" i="9"/>
  <c r="G16" i="9" s="1"/>
  <c r="I16" i="9" s="1"/>
  <c r="F20" i="9"/>
  <c r="G20" i="9" s="1"/>
  <c r="I20" i="9" s="1"/>
  <c r="E10" i="9"/>
  <c r="G8" i="10"/>
  <c r="I8" i="10" s="1"/>
  <c r="Q8" i="10"/>
  <c r="R8" i="10" s="1"/>
  <c r="F8" i="10"/>
  <c r="G10" i="10"/>
  <c r="I10" i="10" s="1"/>
  <c r="Q10" i="10"/>
  <c r="R10" i="10" s="1"/>
  <c r="F10" i="10"/>
  <c r="G12" i="10"/>
  <c r="I12" i="10" s="1"/>
  <c r="Q12" i="10"/>
  <c r="R12" i="10" s="1"/>
  <c r="F12" i="10"/>
  <c r="G14" i="10"/>
  <c r="I14" i="10" s="1"/>
  <c r="Q14" i="10"/>
  <c r="R14" i="10" s="1"/>
  <c r="F14" i="10"/>
  <c r="G16" i="10"/>
  <c r="I16" i="10" s="1"/>
  <c r="Q16" i="10"/>
  <c r="R16" i="10" s="1"/>
  <c r="F16" i="10"/>
  <c r="G18" i="10"/>
  <c r="I18" i="10" s="1"/>
  <c r="Q18" i="10"/>
  <c r="R18" i="10" s="1"/>
  <c r="F18" i="10"/>
  <c r="G20" i="10"/>
  <c r="I20" i="10" s="1"/>
  <c r="Q20" i="10"/>
  <c r="R20" i="10" s="1"/>
  <c r="F20" i="10"/>
  <c r="J21" i="10"/>
  <c r="L21" i="10"/>
  <c r="F7" i="10"/>
  <c r="F9" i="10"/>
  <c r="F11" i="10"/>
  <c r="F13" i="10"/>
  <c r="F15" i="10"/>
  <c r="F17" i="10"/>
  <c r="F19" i="10"/>
  <c r="O24" i="9" l="1"/>
  <c r="G27" i="9" s="1"/>
  <c r="R21" i="10"/>
  <c r="Q21" i="10"/>
  <c r="I24" i="9" l="1"/>
  <c r="G25" i="9" s="1"/>
  <c r="R24" i="9"/>
  <c r="G28" i="9" s="1"/>
  <c r="L24" i="9"/>
  <c r="G2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<sst xmlns="http://schemas.openxmlformats.org/spreadsheetml/2006/main" count="285" uniqueCount="107">
  <si>
    <t>차열재</t>
  </si>
  <si>
    <t>No</t>
  </si>
  <si>
    <t>비고</t>
  </si>
  <si>
    <t>합계</t>
  </si>
  <si>
    <t>규격</t>
  </si>
  <si>
    <t>TTL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</si>
  <si>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</si>
  <si>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</si>
  <si>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</si>
  <si>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</si>
  <si>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</si>
  <si>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</si>
  <si>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</si>
  <si>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</si>
  <si>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</si>
  <si>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</si>
  <si>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</si>
  <si>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</si>
  <si>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</si>
  <si>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</si>
  <si>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</si>
  <si>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</si>
  <si>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</si>
  <si>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</si>
  <si>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</si>
  <si>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</si>
  <si>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</si>
  <si>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</si>
  <si>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</si>
  <si>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</si>
  <si>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</si>
  <si>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</si>
  <si>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</si>
  <si>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</si>
  <si>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</si>
  <si>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</si>
  <si>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</si>
  <si>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</si>
  <si>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</si>
  <si>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</si>
  <si>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</si>
  <si>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</si>
  <si>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</si>
  <si>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</si>
  <si>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</si>
  <si>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</si>
  <si>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</si>
  <si>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</si>
  <si>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</si>
  <si>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</si>
  <si>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</si>
  <si>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</si>
  <si>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</si>
  <si>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</si>
  <si>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</si>
  <si>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</si>
  <si>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</si>
  <si>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</si>
  <si>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</si>
  <si>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</si>
  <si>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</si>
  <si>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</si>
  <si>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</si>
  <si>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</si>
  <si>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</si>
  <si>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</si>
  <si>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</si>
  <si>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</si>
  <si>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</si>
  <si>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</si>
  <si>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01</t>
    <phoneticPr fontId="25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</si>
  <si>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</si>
  <si>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</si>
  <si>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</si>
  <si>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</si>
  <si>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</si>
  <si>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</si>
  <si>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</si>
  <si>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</si>
  <si>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</si>
  <si>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</si>
  <si>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</si>
  <si>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</si>
  <si>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</si>
  <si>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재단작업지시서차열재</t>
    <phoneticPr fontId="25" type="noConversion"/>
  </si>
  <si>
    <r>
      <t>지하</t>
    </r>
    <r>
      <rPr>
        <b/>
        <sz val="6"/>
        <color rgb="FF000000"/>
        <rFont val="Helvetica Neue"/>
        <family val="2"/>
      </rPr>
      <t>3</t>
    </r>
    <r>
      <rPr>
        <b/>
        <sz val="6"/>
        <color rgb="FF000000"/>
        <rFont val="Helvetica Neue"/>
      </rPr>
      <t>층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환기덕트</t>
    </r>
  </si>
  <si>
    <r>
      <rPr>
        <b/>
        <sz val="6"/>
        <color rgb="FF000000"/>
        <rFont val="Helvetica Neue"/>
      </rPr>
      <t>지하</t>
    </r>
    <r>
      <rPr>
        <b/>
        <sz val="6"/>
        <color rgb="FF000000"/>
        <rFont val="Helvetica Neue"/>
        <family val="2"/>
      </rPr>
      <t>3</t>
    </r>
    <r>
      <rPr>
        <b/>
        <sz val="6"/>
        <color rgb="FF000000"/>
        <rFont val="Helvetica Neue"/>
      </rPr>
      <t>층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공조덕트</t>
    </r>
  </si>
  <si>
    <r>
      <rPr>
        <b/>
        <sz val="6"/>
        <color rgb="FF000000"/>
        <rFont val="Helvetica Neue"/>
      </rPr>
      <t>지하</t>
    </r>
    <r>
      <rPr>
        <b/>
        <sz val="6"/>
        <color rgb="FF000000"/>
        <rFont val="Helvetica Neue"/>
        <family val="2"/>
      </rPr>
      <t>3</t>
    </r>
    <r>
      <rPr>
        <b/>
        <sz val="6"/>
        <color rgb="FF000000"/>
        <rFont val="Helvetica Neue"/>
      </rPr>
      <t>층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환기덕트</t>
    </r>
  </si>
  <si>
    <r>
      <rPr>
        <b/>
        <sz val="6"/>
        <color rgb="FF000000"/>
        <rFont val="Helvetica Neue"/>
      </rPr>
      <t>옥탑층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버티고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환기덕트</t>
    </r>
  </si>
  <si>
    <r>
      <rPr>
        <b/>
        <sz val="6"/>
        <color rgb="FF000000"/>
        <rFont val="Helvetica Neue"/>
      </rPr>
      <t>옥탑층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버티고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주방급기</t>
    </r>
  </si>
  <si>
    <r>
      <t>11</t>
    </r>
    <r>
      <rPr>
        <b/>
        <sz val="6"/>
        <color rgb="FF000000"/>
        <rFont val="Helvetica Neue"/>
      </rPr>
      <t>층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환기덕트</t>
    </r>
  </si>
  <si>
    <r>
      <rPr>
        <b/>
        <sz val="6"/>
        <color rgb="FF000000"/>
        <rFont val="Helvetica Neue"/>
      </rPr>
      <t>옥탑층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버티고</t>
    </r>
    <r>
      <rPr>
        <b/>
        <sz val="6"/>
        <color rgb="FF000000"/>
        <rFont val="Helvetica Neue"/>
        <family val="2"/>
      </rPr>
      <t xml:space="preserve"> </t>
    </r>
    <r>
      <rPr>
        <b/>
        <sz val="6"/>
        <color rgb="FF000000"/>
        <rFont val="Helvetica Neue"/>
      </rPr>
      <t>주방배기</t>
    </r>
  </si>
  <si>
    <r>
      <t xml:space="preserve">26.06.29 </t>
    </r>
    <r>
      <rPr>
        <sz val="10"/>
        <color rgb="FF000000"/>
        <rFont val="맑은 고딕"/>
        <family val="3"/>
        <charset val="129"/>
      </rPr>
      <t>행복산업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쌍용건설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공항시설관리</t>
    </r>
    <r>
      <rPr>
        <sz val="10"/>
        <color rgb="FF000000"/>
        <rFont val="Helvetica Neue"/>
        <family val="2"/>
      </rPr>
      <t>(</t>
    </r>
    <r>
      <rPr>
        <sz val="10"/>
        <color rgb="FF000000"/>
        <rFont val="맑은 고딕"/>
        <family val="3"/>
        <charset val="129"/>
      </rPr>
      <t>주</t>
    </r>
    <r>
      <rPr>
        <sz val="10"/>
        <color rgb="FF000000"/>
        <rFont val="Helvetica Neue"/>
        <family val="2"/>
      </rPr>
      <t>)-</t>
    </r>
    <r>
      <rPr>
        <sz val="10"/>
        <color rgb="FF000000"/>
        <rFont val="맑은 고딕"/>
        <family val="3"/>
        <charset val="129"/>
      </rPr>
      <t>반얀트리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맑은 고딕"/>
        <family val="3"/>
        <charset val="129"/>
      </rPr>
      <t>부산</t>
    </r>
    <phoneticPr fontId="25" type="noConversion"/>
  </si>
  <si>
    <t>CS001</t>
    <phoneticPr fontId="25" type="noConversion"/>
  </si>
  <si>
    <t>CS002</t>
  </si>
  <si>
    <t>CS003</t>
  </si>
  <si>
    <t>CS004</t>
  </si>
  <si>
    <t>CS005</t>
  </si>
  <si>
    <t>CS006</t>
  </si>
  <si>
    <t>CS007</t>
  </si>
  <si>
    <t>CS008</t>
  </si>
  <si>
    <t>CS009</t>
  </si>
  <si>
    <t>CS010</t>
  </si>
  <si>
    <t>CS011</t>
  </si>
  <si>
    <t>CS012</t>
  </si>
  <si>
    <t>CS013</t>
  </si>
  <si>
    <t>CS014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</si>
</sst>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4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6"/>
      <color rgb="FF000000"/>
      <name val="Helvetica Neue"/>
    </font>
    <font>
      <b/>
      <sz val="6"/>
      <color rgb="FF000000"/>
      <name val="Helvetica Neue"/>
      <family val="2"/>
    </font>
    <font>
      <sz val="10"/>
      <color rgb="FF000000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176" fontId="24" fillId="0" borderId="12" xfId="3" applyBorder="1" applyAlignment="1">
      <alignment horizontal="center" vertical="center"/>
    </xf>
    <xf numFmtId="176" fontId="24" fillId="0" borderId="10" xfId="3" applyBorder="1" applyAlignment="1">
      <alignment horizontal="center" vertical="center"/>
    </xf>
    <xf numFmtId="176" fontId="24" fillId="0" borderId="13" xfId="3" applyBorder="1" applyAlignment="1">
      <alignment horizontal="center" vertical="center"/>
    </xf>
    <xf numFmtId="176" fontId="24" fillId="0" borderId="14" xfId="3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1" fillId="0" borderId="19" xfId="4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1" fillId="0" borderId="19" xfId="4" applyBorder="1" applyAlignment="1">
      <alignment horizontal="center" vertical="center" shrinkToFi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2" fillId="2" borderId="16" xfId="4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4" fillId="4" borderId="18" xfId="4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/>
    </xf>
    <xf numFmtId="0" fontId="28" fillId="4" borderId="15" xfId="4" applyFont="1" applyFill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178" fontId="15" fillId="0" borderId="15" xfId="2" applyNumberFormat="1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28" fillId="4" borderId="18" xfId="4" applyFont="1" applyFill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 wrapText="1"/>
    </xf>
    <xf numFmtId="178" fontId="15" fillId="0" borderId="18" xfId="2" applyNumberFormat="1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31" fillId="0" borderId="19" xfId="4" applyFont="1" applyBorder="1" applyAlignment="1">
      <alignment horizontal="center" vertical="center" wrapText="1"/>
    </xf>
    <xf numFmtId="0" fontId="32" fillId="0" borderId="19" xfId="4" applyFont="1" applyBorder="1" applyAlignment="1">
      <alignment horizontal="center" vertical="center" wrapText="1"/>
    </xf>
    <xf numFmtId="0" fontId="26" fillId="0" borderId="35" xfId="4" applyFont="1" applyBorder="1" applyAlignment="1">
      <alignment horizontal="center" vertical="center" wrapText="1"/>
    </xf>
    <xf numFmtId="0" fontId="26" fillId="0" borderId="37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9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shrinkToFit="1"/>
    </xf>
    <xf numFmtId="0" fontId="27" fillId="0" borderId="36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8" xfId="4" applyFont="1" applyBorder="1" applyAlignment="1">
      <alignment horizontal="center" vertical="center" shrinkToFit="1"/>
    </xf>
    <xf numFmtId="0" fontId="27" fillId="0" borderId="34" xfId="4" applyFont="1" applyBorder="1" applyAlignment="1">
      <alignment horizontal="center" vertical="center" shrinkToFit="1"/>
    </xf>
    <xf numFmtId="0" fontId="27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7" borderId="17" xfId="4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2" fillId="7" borderId="18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2" fillId="7" borderId="19" xfId="4" applyFont="1" applyFill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4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8" xfId="2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0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0" fillId="0" borderId="24" xfId="2" applyFont="1" applyBorder="1" applyAlignment="1">
      <alignment horizontal="center" vertical="center" shrinkToFit="1"/>
    </xf>
    <xf numFmtId="0" fontId="20" fillId="0" borderId="11" xfId="2" applyFont="1" applyBorder="1" applyAlignment="1">
      <alignment horizontal="center" vertical="center" shrinkToFit="1"/>
    </xf>
    <xf numFmtId="0" fontId="20" fillId="0" borderId="3" xfId="2" applyFont="1" applyBorder="1" applyAlignment="1">
      <alignment horizontal="center" vertical="center" shrinkToFit="1"/>
    </xf>
    <xf numFmtId="0" fontId="20" fillId="0" borderId="30" xfId="2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0" fontId="20" fillId="0" borderId="31" xfId="2" applyFont="1" applyBorder="1" applyAlignment="1">
      <alignment horizontal="center" vertical="center" shrinkToFit="1"/>
    </xf>
    <xf numFmtId="0" fontId="20" fillId="0" borderId="25" xfId="2" applyFont="1" applyBorder="1" applyAlignment="1">
      <alignment horizontal="center" vertical="center" shrinkToFit="1"/>
    </xf>
    <xf numFmtId="0" fontId="20" fillId="0" borderId="2" xfId="2" applyFont="1" applyBorder="1" applyAlignment="1">
      <alignment horizontal="center" vertical="center" shrinkToFit="1"/>
    </xf>
    <xf numFmtId="0" fontId="20" fillId="0" borderId="29" xfId="2" applyFont="1" applyBorder="1" applyAlignment="1">
      <alignment horizontal="center" vertical="center" shrinkToFit="1"/>
    </xf>
    <xf numFmtId="0" fontId="24" fillId="0" borderId="4" xfId="2" applyBorder="1" applyAlignment="1">
      <alignment horizontal="center" vertical="center"/>
    </xf>
    <xf numFmtId="0" fontId="24" fillId="0" borderId="28" xfId="2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24" fillId="0" borderId="21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178" fontId="24" fillId="0" borderId="18" xfId="2" applyNumberFormat="1" applyBorder="1" applyAlignment="1">
      <alignment horizontal="center" vertical="center" wrapText="1"/>
    </xf>
    <xf numFmtId="0" fontId="24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9" xfId="0" applyFont="1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23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22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U13" sqref="U13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68</v>
      </c>
      <c r="B1" s="96"/>
      <c r="C1" s="96"/>
      <c r="D1" s="101" t="str">
        <f>R2</f>
        <v>26.06.29 행복산업_쌍용건설_공항시설관리(주)-반얀트리 부산</v>
      </c>
      <c r="E1" s="101"/>
      <c r="F1" s="101"/>
      <c r="G1" s="102"/>
      <c r="R1" s="8" t="s">
        <v>63</v>
      </c>
    </row>
    <row r="2" spans="1:18" ht="16.5" customHeight="1">
      <c r="A2" s="97"/>
      <c r="B2" s="98"/>
      <c r="C2" s="98"/>
      <c r="D2" s="103"/>
      <c r="E2" s="103"/>
      <c r="F2" s="103"/>
      <c r="G2" s="104"/>
      <c r="R2" s="68" t="s">
        <v>92</v>
      </c>
    </row>
    <row r="3" spans="1:18" ht="16.5" customHeight="1">
      <c r="A3" s="97"/>
      <c r="B3" s="98"/>
      <c r="C3" s="98"/>
      <c r="D3" s="103"/>
      <c r="E3" s="103"/>
      <c r="F3" s="103"/>
      <c r="G3" s="104"/>
    </row>
    <row r="4" spans="1:18" ht="17.25" customHeight="1" thickBot="1">
      <c r="A4" s="99"/>
      <c r="B4" s="100"/>
      <c r="C4" s="100"/>
      <c r="D4" s="105"/>
      <c r="E4" s="105"/>
      <c r="F4" s="105"/>
      <c r="G4" s="106"/>
    </row>
    <row r="5" spans="1:18" ht="6.75" customHeight="1" thickTop="1">
      <c r="A5" s="69"/>
      <c r="B5" s="69"/>
      <c r="C5" s="69"/>
      <c r="D5" s="69"/>
      <c r="E5" s="69"/>
      <c r="F5" s="69"/>
      <c r="G5" s="69"/>
    </row>
    <row r="6" spans="1:18" s="10" customFormat="1" ht="18" customHeight="1" thickBot="1">
      <c r="A6" s="107" t="s">
        <v>1</v>
      </c>
      <c r="B6" s="109" t="s">
        <v>62</v>
      </c>
      <c r="C6" s="109" t="s">
        <v>4</v>
      </c>
      <c r="D6" s="109"/>
      <c r="E6" s="109" t="s">
        <v>42</v>
      </c>
      <c r="F6" s="109" t="s">
        <v>37</v>
      </c>
      <c r="G6" s="111" t="s">
        <v>17</v>
      </c>
      <c r="H6" s="9"/>
      <c r="I6" s="113" t="s">
        <v>9</v>
      </c>
      <c r="J6" s="113"/>
      <c r="K6" s="113"/>
      <c r="L6" s="113"/>
      <c r="M6" s="113"/>
      <c r="N6" s="113"/>
      <c r="O6" s="8"/>
    </row>
    <row r="7" spans="1:18" s="10" customFormat="1" ht="18" customHeight="1">
      <c r="A7" s="108"/>
      <c r="B7" s="110"/>
      <c r="C7" s="110" t="s">
        <v>59</v>
      </c>
      <c r="D7" s="110" t="s">
        <v>57</v>
      </c>
      <c r="E7" s="110"/>
      <c r="F7" s="110"/>
      <c r="G7" s="112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08"/>
      <c r="B8" s="110"/>
      <c r="C8" s="110"/>
      <c r="D8" s="110"/>
      <c r="E8" s="110"/>
      <c r="F8" s="110"/>
      <c r="G8" s="112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77" t="s">
        <v>70</v>
      </c>
      <c r="B9" s="50" t="s">
        <v>15</v>
      </c>
      <c r="C9" s="26">
        <v>250</v>
      </c>
      <c r="D9" s="26">
        <v>200</v>
      </c>
      <c r="E9" s="70"/>
      <c r="F9" s="70"/>
      <c r="G9" s="94" t="s">
        <v>85</v>
      </c>
      <c r="H9" s="13"/>
      <c r="I9" s="23"/>
      <c r="J9" s="21"/>
      <c r="K9" s="17"/>
      <c r="L9" s="18"/>
      <c r="M9" s="19"/>
      <c r="N9" s="21"/>
      <c r="O9" s="8"/>
      <c r="Q9" s="10" t="s">
        <v>93</v>
      </c>
    </row>
    <row r="10" spans="1:18" s="10" customFormat="1" ht="18" customHeight="1" thickBot="1">
      <c r="A10" s="77" t="s">
        <v>71</v>
      </c>
      <c r="B10" s="50" t="s">
        <v>15</v>
      </c>
      <c r="C10" s="26">
        <v>250</v>
      </c>
      <c r="D10" s="26">
        <v>200</v>
      </c>
      <c r="E10" s="55"/>
      <c r="F10" s="70"/>
      <c r="G10" s="95" t="s">
        <v>86</v>
      </c>
      <c r="H10" s="13"/>
      <c r="I10" s="23"/>
      <c r="J10" s="21"/>
      <c r="K10" s="17"/>
      <c r="L10" s="18"/>
      <c r="M10" s="19"/>
      <c r="N10" s="21"/>
      <c r="O10" s="8"/>
      <c r="Q10" s="10" t="s">
        <v>94</v>
      </c>
    </row>
    <row r="11" spans="1:18" s="10" customFormat="1" ht="18" customHeight="1" thickBot="1">
      <c r="A11" s="77" t="s">
        <v>72</v>
      </c>
      <c r="B11" s="50" t="s">
        <v>15</v>
      </c>
      <c r="C11" s="26">
        <v>250</v>
      </c>
      <c r="D11" s="26">
        <v>200</v>
      </c>
      <c r="E11" s="55"/>
      <c r="F11" s="70"/>
      <c r="G11" s="95" t="s">
        <v>86</v>
      </c>
      <c r="H11" s="13"/>
      <c r="I11" s="23"/>
      <c r="J11" s="21"/>
      <c r="K11" s="17"/>
      <c r="L11" s="18"/>
      <c r="M11" s="19"/>
      <c r="N11" s="21"/>
      <c r="O11" s="8"/>
      <c r="Q11" s="10" t="s">
        <v>95</v>
      </c>
    </row>
    <row r="12" spans="1:18" s="10" customFormat="1" ht="18" customHeight="1" thickBot="1">
      <c r="A12" s="77" t="s">
        <v>73</v>
      </c>
      <c r="B12" s="50" t="s">
        <v>15</v>
      </c>
      <c r="C12" s="26">
        <v>250</v>
      </c>
      <c r="D12" s="26">
        <v>200</v>
      </c>
      <c r="E12" s="55"/>
      <c r="F12" s="70"/>
      <c r="G12" s="95" t="s">
        <v>86</v>
      </c>
      <c r="H12" s="13"/>
      <c r="I12" s="23"/>
      <c r="J12" s="21"/>
      <c r="K12" s="17"/>
      <c r="L12" s="18"/>
      <c r="M12" s="19"/>
      <c r="N12" s="21"/>
      <c r="O12" s="8"/>
      <c r="Q12" s="10" t="s">
        <v>96</v>
      </c>
    </row>
    <row r="13" spans="1:18" s="10" customFormat="1" ht="18" customHeight="1" thickBot="1">
      <c r="A13" s="77" t="s">
        <v>74</v>
      </c>
      <c r="B13" s="50" t="s">
        <v>15</v>
      </c>
      <c r="C13" s="26">
        <v>250</v>
      </c>
      <c r="D13" s="26">
        <v>250</v>
      </c>
      <c r="E13" s="55"/>
      <c r="F13" s="70"/>
      <c r="G13" s="95" t="s">
        <v>86</v>
      </c>
      <c r="H13" s="13"/>
      <c r="I13" s="12"/>
      <c r="J13" s="12"/>
      <c r="K13" s="17"/>
      <c r="L13" s="18"/>
      <c r="M13" s="19"/>
      <c r="N13" s="12"/>
      <c r="O13" s="8"/>
      <c r="Q13" s="10" t="s">
        <v>97</v>
      </c>
    </row>
    <row r="14" spans="1:18" s="10" customFormat="1" ht="18" customHeight="1" thickBot="1">
      <c r="A14" s="77" t="s">
        <v>75</v>
      </c>
      <c r="B14" s="50" t="s">
        <v>15</v>
      </c>
      <c r="C14" s="26">
        <v>250</v>
      </c>
      <c r="D14" s="26">
        <v>250</v>
      </c>
      <c r="E14" s="55"/>
      <c r="F14" s="70"/>
      <c r="G14" s="95" t="s">
        <v>86</v>
      </c>
      <c r="H14" s="13"/>
      <c r="I14" s="23"/>
      <c r="J14" s="21"/>
      <c r="K14" s="17"/>
      <c r="L14" s="18"/>
      <c r="M14" s="19"/>
      <c r="N14" s="21"/>
      <c r="O14" s="8"/>
      <c r="Q14" s="10" t="s">
        <v>98</v>
      </c>
    </row>
    <row r="15" spans="1:18" s="10" customFormat="1" ht="18" customHeight="1" thickBot="1">
      <c r="A15" s="77" t="s">
        <v>76</v>
      </c>
      <c r="B15" s="50" t="s">
        <v>15</v>
      </c>
      <c r="C15" s="26">
        <v>300</v>
      </c>
      <c r="D15" s="26">
        <v>250</v>
      </c>
      <c r="E15" s="55"/>
      <c r="F15" s="70"/>
      <c r="G15" s="95" t="s">
        <v>87</v>
      </c>
      <c r="H15" s="13"/>
      <c r="I15" s="22"/>
      <c r="J15" s="20"/>
      <c r="K15" s="17"/>
      <c r="L15" s="18"/>
      <c r="M15" s="19"/>
      <c r="N15" s="20"/>
      <c r="O15" s="8"/>
      <c r="Q15" s="10" t="s">
        <v>99</v>
      </c>
    </row>
    <row r="16" spans="1:18" s="10" customFormat="1" ht="18" customHeight="1" thickBot="1">
      <c r="A16" s="77" t="s">
        <v>77</v>
      </c>
      <c r="B16" s="50" t="s">
        <v>15</v>
      </c>
      <c r="C16" s="26">
        <v>350</v>
      </c>
      <c r="D16" s="26">
        <v>300</v>
      </c>
      <c r="E16" s="55"/>
      <c r="F16" s="70"/>
      <c r="G16" s="95" t="s">
        <v>86</v>
      </c>
      <c r="H16" s="13"/>
      <c r="I16" s="23"/>
      <c r="J16" s="21"/>
      <c r="K16" s="17"/>
      <c r="L16" s="18"/>
      <c r="M16" s="19"/>
      <c r="N16" s="21"/>
      <c r="O16" s="8"/>
      <c r="Q16" s="10" t="s">
        <v>100</v>
      </c>
    </row>
    <row r="17" spans="1:17" s="10" customFormat="1" ht="18" customHeight="1" thickBot="1">
      <c r="A17" s="77" t="s">
        <v>78</v>
      </c>
      <c r="B17" s="50" t="s">
        <v>15</v>
      </c>
      <c r="C17" s="26">
        <v>350</v>
      </c>
      <c r="D17" s="26">
        <v>300</v>
      </c>
      <c r="E17" s="55"/>
      <c r="F17" s="70"/>
      <c r="G17" s="95" t="s">
        <v>86</v>
      </c>
      <c r="H17" s="13"/>
      <c r="I17" s="23"/>
      <c r="J17" s="21"/>
      <c r="K17" s="17"/>
      <c r="L17" s="18"/>
      <c r="M17" s="19"/>
      <c r="N17" s="21"/>
      <c r="O17" s="8"/>
      <c r="Q17" s="10" t="s">
        <v>101</v>
      </c>
    </row>
    <row r="18" spans="1:17" s="10" customFormat="1" ht="18" customHeight="1" thickBot="1">
      <c r="A18" s="77" t="s">
        <v>79</v>
      </c>
      <c r="B18" s="50" t="s">
        <v>15</v>
      </c>
      <c r="C18" s="26">
        <v>350</v>
      </c>
      <c r="D18" s="26">
        <v>300</v>
      </c>
      <c r="E18" s="55"/>
      <c r="F18" s="70"/>
      <c r="G18" s="95" t="s">
        <v>88</v>
      </c>
      <c r="H18" s="13"/>
      <c r="I18" s="23"/>
      <c r="J18" s="21"/>
      <c r="K18" s="17"/>
      <c r="L18" s="18"/>
      <c r="M18" s="19"/>
      <c r="N18" s="21"/>
      <c r="O18" s="8"/>
      <c r="Q18" s="10" t="s">
        <v>102</v>
      </c>
    </row>
    <row r="19" spans="1:17" s="10" customFormat="1" ht="18" customHeight="1" thickBot="1">
      <c r="A19" s="77" t="s">
        <v>80</v>
      </c>
      <c r="B19" s="50" t="s">
        <v>15</v>
      </c>
      <c r="C19" s="26">
        <v>600</v>
      </c>
      <c r="D19" s="26">
        <v>350</v>
      </c>
      <c r="E19" s="55"/>
      <c r="F19" s="70"/>
      <c r="G19" s="95" t="s">
        <v>89</v>
      </c>
      <c r="H19" s="13"/>
      <c r="I19" s="23"/>
      <c r="J19" s="21"/>
      <c r="K19" s="17"/>
      <c r="L19" s="18"/>
      <c r="M19" s="19"/>
      <c r="N19" s="21"/>
      <c r="O19" s="8"/>
      <c r="Q19" s="10" t="s">
        <v>103</v>
      </c>
    </row>
    <row r="20" spans="1:17" s="10" customFormat="1" ht="18" customHeight="1" thickBot="1">
      <c r="A20" s="77" t="s">
        <v>81</v>
      </c>
      <c r="B20" s="50" t="s">
        <v>15</v>
      </c>
      <c r="C20" s="26">
        <v>650</v>
      </c>
      <c r="D20" s="26">
        <v>400</v>
      </c>
      <c r="E20" s="70"/>
      <c r="F20" s="70"/>
      <c r="G20" s="95" t="s">
        <v>90</v>
      </c>
      <c r="H20" s="13"/>
      <c r="I20" s="23"/>
      <c r="J20" s="21"/>
      <c r="K20" s="17"/>
      <c r="L20" s="18"/>
      <c r="M20" s="19"/>
      <c r="N20" s="21"/>
      <c r="O20" s="8"/>
      <c r="Q20" s="10" t="s">
        <v>104</v>
      </c>
    </row>
    <row r="21" spans="1:17" s="10" customFormat="1" ht="18" customHeight="1" thickBot="1">
      <c r="A21" s="77" t="s">
        <v>82</v>
      </c>
      <c r="B21" s="50" t="s">
        <v>15</v>
      </c>
      <c r="C21" s="26">
        <v>900</v>
      </c>
      <c r="D21" s="26">
        <v>500</v>
      </c>
      <c r="E21" s="70"/>
      <c r="F21" s="70"/>
      <c r="G21" s="95" t="s">
        <v>87</v>
      </c>
      <c r="H21" s="13"/>
      <c r="I21" s="23"/>
      <c r="J21" s="21"/>
      <c r="K21" s="17"/>
      <c r="L21" s="18"/>
      <c r="M21" s="19"/>
      <c r="N21" s="21"/>
      <c r="O21" s="8"/>
      <c r="Q21" s="10" t="s">
        <v>105</v>
      </c>
    </row>
    <row r="22" spans="1:17" s="10" customFormat="1" ht="18" customHeight="1">
      <c r="A22" s="77" t="s">
        <v>83</v>
      </c>
      <c r="B22" s="50" t="s">
        <v>15</v>
      </c>
      <c r="C22" s="26">
        <v>1000</v>
      </c>
      <c r="D22" s="26">
        <v>350</v>
      </c>
      <c r="E22" s="70"/>
      <c r="F22" s="70"/>
      <c r="G22" s="95" t="s">
        <v>91</v>
      </c>
      <c r="H22" s="13"/>
      <c r="I22" s="23"/>
      <c r="J22" s="21"/>
      <c r="K22" s="17"/>
      <c r="L22" s="18"/>
      <c r="M22" s="19"/>
      <c r="N22" s="21"/>
      <c r="O22" s="8"/>
      <c r="Q22" s="10" t="s">
        <v>106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5"/>
  <sheetViews>
    <sheetView zoomScaleNormal="100" zoomScaleSheetLayoutView="100" workbookViewId="0">
      <selection activeCell="H36" sqref="H36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20" t="s">
        <v>64</v>
      </c>
      <c r="F1" s="121"/>
      <c r="G1" s="121"/>
      <c r="H1" s="121" t="str">
        <f>'1. 소켓인수검사'!R2</f>
        <v>26.06.29 행복산업_쌍용건설_공항시설관리(주)-반얀트리 부산</v>
      </c>
      <c r="I1" s="121"/>
      <c r="J1" s="121"/>
      <c r="K1" s="121"/>
      <c r="L1" s="121"/>
      <c r="M1" s="121"/>
      <c r="N1" s="121"/>
      <c r="O1" s="126"/>
    </row>
    <row r="2" spans="1:15" ht="16.5" customHeight="1">
      <c r="A2" s="1"/>
      <c r="B2" s="1"/>
      <c r="C2" s="1"/>
      <c r="D2" s="1"/>
      <c r="E2" s="122"/>
      <c r="F2" s="123"/>
      <c r="G2" s="123"/>
      <c r="H2" s="123"/>
      <c r="I2" s="123"/>
      <c r="J2" s="123"/>
      <c r="K2" s="123"/>
      <c r="L2" s="123"/>
      <c r="M2" s="123"/>
      <c r="N2" s="123"/>
      <c r="O2" s="127"/>
    </row>
    <row r="3" spans="1:15" ht="16.5" customHeight="1">
      <c r="A3" s="1"/>
      <c r="B3" s="1"/>
      <c r="C3" s="1"/>
      <c r="D3" s="1"/>
      <c r="E3" s="124"/>
      <c r="F3" s="125"/>
      <c r="G3" s="125"/>
      <c r="H3" s="125"/>
      <c r="I3" s="125"/>
      <c r="J3" s="125"/>
      <c r="K3" s="125"/>
      <c r="L3" s="125"/>
      <c r="M3" s="125"/>
      <c r="N3" s="125"/>
      <c r="O3" s="128"/>
    </row>
    <row r="4" spans="1:15" ht="8.1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</row>
    <row r="5" spans="1:15" ht="26.45" customHeight="1">
      <c r="A5" s="130" t="s">
        <v>52</v>
      </c>
      <c r="B5" s="131" t="s">
        <v>62</v>
      </c>
      <c r="C5" s="119" t="s">
        <v>4</v>
      </c>
      <c r="D5" s="119"/>
      <c r="E5" s="119" t="s">
        <v>23</v>
      </c>
      <c r="F5" s="116" t="s">
        <v>50</v>
      </c>
      <c r="G5" s="114" t="s">
        <v>19</v>
      </c>
      <c r="H5" s="115"/>
      <c r="I5" s="115"/>
      <c r="J5" s="134"/>
      <c r="K5" s="114" t="s">
        <v>33</v>
      </c>
      <c r="L5" s="115"/>
      <c r="M5" s="115"/>
      <c r="N5" s="115"/>
      <c r="O5" s="116" t="s">
        <v>2</v>
      </c>
    </row>
    <row r="6" spans="1:15" ht="16.5" customHeight="1">
      <c r="A6" s="130"/>
      <c r="B6" s="132"/>
      <c r="C6" s="119" t="s">
        <v>59</v>
      </c>
      <c r="D6" s="119" t="s">
        <v>57</v>
      </c>
      <c r="E6" s="119"/>
      <c r="F6" s="117"/>
      <c r="G6" s="119" t="s">
        <v>59</v>
      </c>
      <c r="H6" s="119"/>
      <c r="I6" s="119" t="s">
        <v>57</v>
      </c>
      <c r="J6" s="119"/>
      <c r="K6" s="119" t="s">
        <v>61</v>
      </c>
      <c r="L6" s="119"/>
      <c r="M6" s="114" t="s">
        <v>58</v>
      </c>
      <c r="N6" s="115"/>
      <c r="O6" s="117"/>
    </row>
    <row r="7" spans="1:15">
      <c r="A7" s="130"/>
      <c r="B7" s="133"/>
      <c r="C7" s="119"/>
      <c r="D7" s="119"/>
      <c r="E7" s="119"/>
      <c r="F7" s="118"/>
      <c r="G7" s="78" t="s">
        <v>4</v>
      </c>
      <c r="H7" s="78" t="s">
        <v>30</v>
      </c>
      <c r="I7" s="81" t="s">
        <v>4</v>
      </c>
      <c r="J7" s="80" t="s">
        <v>30</v>
      </c>
      <c r="K7" s="78" t="s">
        <v>4</v>
      </c>
      <c r="L7" s="78" t="s">
        <v>50</v>
      </c>
      <c r="M7" s="78" t="s">
        <v>4</v>
      </c>
      <c r="N7" s="79" t="s">
        <v>50</v>
      </c>
      <c r="O7" s="118"/>
    </row>
    <row r="8" spans="1:15">
      <c r="A8" s="82" t="str">
        <f>'1. 소켓인수검사'!A9</f>
        <v>01</v>
      </c>
      <c r="B8" s="83" t="s">
        <v>15</v>
      </c>
      <c r="C8" s="53">
        <f>'1. 소켓인수검사'!C9</f>
        <v>250</v>
      </c>
      <c r="D8" s="53">
        <f>'1. 소켓인수검사'!D9</f>
        <v>200</v>
      </c>
      <c r="E8" s="47"/>
      <c r="F8" s="53">
        <v>1</v>
      </c>
      <c r="G8" s="84">
        <f>C8-5</f>
        <v>245</v>
      </c>
      <c r="H8" s="53">
        <f t="shared" ref="H8:H21" si="0">F8*4</f>
        <v>4</v>
      </c>
      <c r="I8" s="85">
        <f t="shared" ref="I8:I21" si="1">D8-30</f>
        <v>170</v>
      </c>
      <c r="J8" s="53">
        <f t="shared" ref="J8:J21" si="2">F8*4</f>
        <v>4</v>
      </c>
      <c r="K8" s="86">
        <f t="shared" ref="K8:K21" si="3">C8+60</f>
        <v>310</v>
      </c>
      <c r="L8" s="53">
        <v>2</v>
      </c>
      <c r="M8" s="86">
        <f>D8</f>
        <v>200</v>
      </c>
      <c r="N8" s="53">
        <v>2</v>
      </c>
      <c r="O8" s="48"/>
    </row>
    <row r="9" spans="1:15">
      <c r="A9" s="87" t="str">
        <f>'1. 소켓인수검사'!A10</f>
        <v>02</v>
      </c>
      <c r="B9" s="88" t="s">
        <v>15</v>
      </c>
      <c r="C9" s="54">
        <f>'1. 소켓인수검사'!C10</f>
        <v>250</v>
      </c>
      <c r="D9" s="54">
        <f>'1. 소켓인수검사'!D10</f>
        <v>200</v>
      </c>
      <c r="E9" s="36"/>
      <c r="F9" s="54">
        <v>1</v>
      </c>
      <c r="G9" s="89">
        <f t="shared" ref="G9:G21" si="4">C9-5</f>
        <v>245</v>
      </c>
      <c r="H9" s="54">
        <f t="shared" si="0"/>
        <v>4</v>
      </c>
      <c r="I9" s="90">
        <f t="shared" si="1"/>
        <v>170</v>
      </c>
      <c r="J9" s="54">
        <f t="shared" si="2"/>
        <v>4</v>
      </c>
      <c r="K9" s="91">
        <f t="shared" si="3"/>
        <v>310</v>
      </c>
      <c r="L9" s="54">
        <v>2</v>
      </c>
      <c r="M9" s="91">
        <f t="shared" ref="M9:M21" si="5">D9</f>
        <v>200</v>
      </c>
      <c r="N9" s="54">
        <v>2</v>
      </c>
      <c r="O9" s="92"/>
    </row>
    <row r="10" spans="1:15">
      <c r="A10" s="87" t="str">
        <f>'1. 소켓인수검사'!A11</f>
        <v>03</v>
      </c>
      <c r="B10" s="88" t="s">
        <v>15</v>
      </c>
      <c r="C10" s="54">
        <f>'1. 소켓인수검사'!C11</f>
        <v>250</v>
      </c>
      <c r="D10" s="54">
        <f>'1. 소켓인수검사'!D11</f>
        <v>200</v>
      </c>
      <c r="E10" s="36"/>
      <c r="F10" s="54">
        <v>1</v>
      </c>
      <c r="G10" s="89">
        <f t="shared" si="4"/>
        <v>245</v>
      </c>
      <c r="H10" s="54">
        <f t="shared" si="0"/>
        <v>4</v>
      </c>
      <c r="I10" s="90">
        <f t="shared" si="1"/>
        <v>170</v>
      </c>
      <c r="J10" s="54">
        <f t="shared" si="2"/>
        <v>4</v>
      </c>
      <c r="K10" s="91">
        <f t="shared" si="3"/>
        <v>310</v>
      </c>
      <c r="L10" s="54">
        <v>2</v>
      </c>
      <c r="M10" s="91">
        <f t="shared" si="5"/>
        <v>200</v>
      </c>
      <c r="N10" s="54">
        <v>2</v>
      </c>
      <c r="O10" s="92"/>
    </row>
    <row r="11" spans="1:15">
      <c r="A11" s="87" t="str">
        <f>'1. 소켓인수검사'!A12</f>
        <v>04</v>
      </c>
      <c r="B11" s="88" t="s">
        <v>15</v>
      </c>
      <c r="C11" s="54">
        <f>'1. 소켓인수검사'!C12</f>
        <v>250</v>
      </c>
      <c r="D11" s="54">
        <f>'1. 소켓인수검사'!D12</f>
        <v>200</v>
      </c>
      <c r="E11" s="36"/>
      <c r="F11" s="54">
        <v>1</v>
      </c>
      <c r="G11" s="89">
        <f t="shared" si="4"/>
        <v>245</v>
      </c>
      <c r="H11" s="54">
        <f t="shared" si="0"/>
        <v>4</v>
      </c>
      <c r="I11" s="90">
        <f t="shared" si="1"/>
        <v>170</v>
      </c>
      <c r="J11" s="54">
        <f t="shared" si="2"/>
        <v>4</v>
      </c>
      <c r="K11" s="91">
        <f t="shared" si="3"/>
        <v>310</v>
      </c>
      <c r="L11" s="54">
        <v>2</v>
      </c>
      <c r="M11" s="91">
        <f t="shared" si="5"/>
        <v>200</v>
      </c>
      <c r="N11" s="54">
        <v>2</v>
      </c>
      <c r="O11" s="92"/>
    </row>
    <row r="12" spans="1:15">
      <c r="A12" s="87" t="str">
        <f>'1. 소켓인수검사'!A13</f>
        <v>05</v>
      </c>
      <c r="B12" s="88" t="s">
        <v>15</v>
      </c>
      <c r="C12" s="54">
        <f>'1. 소켓인수검사'!C13</f>
        <v>250</v>
      </c>
      <c r="D12" s="54">
        <f>'1. 소켓인수검사'!D13</f>
        <v>250</v>
      </c>
      <c r="E12" s="36"/>
      <c r="F12" s="54">
        <v>1</v>
      </c>
      <c r="G12" s="89">
        <f t="shared" si="4"/>
        <v>245</v>
      </c>
      <c r="H12" s="54">
        <f t="shared" si="0"/>
        <v>4</v>
      </c>
      <c r="I12" s="90">
        <f t="shared" si="1"/>
        <v>220</v>
      </c>
      <c r="J12" s="54">
        <f t="shared" si="2"/>
        <v>4</v>
      </c>
      <c r="K12" s="91">
        <f t="shared" si="3"/>
        <v>310</v>
      </c>
      <c r="L12" s="54">
        <v>2</v>
      </c>
      <c r="M12" s="91">
        <f t="shared" si="5"/>
        <v>250</v>
      </c>
      <c r="N12" s="54">
        <v>2</v>
      </c>
      <c r="O12" s="92"/>
    </row>
    <row r="13" spans="1:15">
      <c r="A13" s="87" t="str">
        <f>'1. 소켓인수검사'!A14</f>
        <v>06</v>
      </c>
      <c r="B13" s="88" t="s">
        <v>15</v>
      </c>
      <c r="C13" s="54">
        <f>'1. 소켓인수검사'!C14</f>
        <v>250</v>
      </c>
      <c r="D13" s="54">
        <f>'1. 소켓인수검사'!D14</f>
        <v>250</v>
      </c>
      <c r="E13" s="36"/>
      <c r="F13" s="54">
        <v>1</v>
      </c>
      <c r="G13" s="89">
        <f t="shared" si="4"/>
        <v>245</v>
      </c>
      <c r="H13" s="54">
        <f t="shared" si="0"/>
        <v>4</v>
      </c>
      <c r="I13" s="90">
        <f t="shared" si="1"/>
        <v>220</v>
      </c>
      <c r="J13" s="54">
        <f t="shared" si="2"/>
        <v>4</v>
      </c>
      <c r="K13" s="91">
        <f t="shared" si="3"/>
        <v>310</v>
      </c>
      <c r="L13" s="54">
        <v>2</v>
      </c>
      <c r="M13" s="91">
        <f t="shared" si="5"/>
        <v>250</v>
      </c>
      <c r="N13" s="54">
        <v>2</v>
      </c>
      <c r="O13" s="92"/>
    </row>
    <row r="14" spans="1:15">
      <c r="A14" s="87" t="str">
        <f>'1. 소켓인수검사'!A15</f>
        <v>07</v>
      </c>
      <c r="B14" s="88" t="s">
        <v>15</v>
      </c>
      <c r="C14" s="54">
        <f>'1. 소켓인수검사'!C15</f>
        <v>300</v>
      </c>
      <c r="D14" s="54">
        <f>'1. 소켓인수검사'!D15</f>
        <v>250</v>
      </c>
      <c r="E14" s="36"/>
      <c r="F14" s="54">
        <v>1</v>
      </c>
      <c r="G14" s="89">
        <f t="shared" si="4"/>
        <v>295</v>
      </c>
      <c r="H14" s="54">
        <f t="shared" si="0"/>
        <v>4</v>
      </c>
      <c r="I14" s="90">
        <f t="shared" si="1"/>
        <v>220</v>
      </c>
      <c r="J14" s="54">
        <f t="shared" si="2"/>
        <v>4</v>
      </c>
      <c r="K14" s="91">
        <f t="shared" si="3"/>
        <v>360</v>
      </c>
      <c r="L14" s="54">
        <v>2</v>
      </c>
      <c r="M14" s="91">
        <f t="shared" si="5"/>
        <v>250</v>
      </c>
      <c r="N14" s="54">
        <v>2</v>
      </c>
      <c r="O14" s="92"/>
    </row>
    <row r="15" spans="1:15">
      <c r="A15" s="87" t="str">
        <f>'1. 소켓인수검사'!A16</f>
        <v>08</v>
      </c>
      <c r="B15" s="88" t="s">
        <v>15</v>
      </c>
      <c r="C15" s="54">
        <f>'1. 소켓인수검사'!C16</f>
        <v>350</v>
      </c>
      <c r="D15" s="54">
        <f>'1. 소켓인수검사'!D16</f>
        <v>300</v>
      </c>
      <c r="E15" s="36"/>
      <c r="F15" s="54">
        <v>1</v>
      </c>
      <c r="G15" s="89">
        <f t="shared" si="4"/>
        <v>345</v>
      </c>
      <c r="H15" s="54">
        <f t="shared" si="0"/>
        <v>4</v>
      </c>
      <c r="I15" s="90">
        <f t="shared" si="1"/>
        <v>270</v>
      </c>
      <c r="J15" s="54">
        <f t="shared" si="2"/>
        <v>4</v>
      </c>
      <c r="K15" s="91">
        <f t="shared" si="3"/>
        <v>410</v>
      </c>
      <c r="L15" s="54">
        <v>2</v>
      </c>
      <c r="M15" s="91">
        <f t="shared" si="5"/>
        <v>300</v>
      </c>
      <c r="N15" s="54">
        <v>2</v>
      </c>
      <c r="O15" s="92"/>
    </row>
    <row r="16" spans="1:15">
      <c r="A16" s="87" t="str">
        <f>'1. 소켓인수검사'!A17</f>
        <v>09</v>
      </c>
      <c r="B16" s="88" t="s">
        <v>15</v>
      </c>
      <c r="C16" s="54">
        <f>'1. 소켓인수검사'!C17</f>
        <v>350</v>
      </c>
      <c r="D16" s="54">
        <f>'1. 소켓인수검사'!D17</f>
        <v>300</v>
      </c>
      <c r="E16" s="36"/>
      <c r="F16" s="54">
        <v>1</v>
      </c>
      <c r="G16" s="89">
        <f t="shared" si="4"/>
        <v>345</v>
      </c>
      <c r="H16" s="54">
        <f t="shared" si="0"/>
        <v>4</v>
      </c>
      <c r="I16" s="90">
        <f t="shared" si="1"/>
        <v>270</v>
      </c>
      <c r="J16" s="54">
        <f t="shared" si="2"/>
        <v>4</v>
      </c>
      <c r="K16" s="91">
        <f t="shared" si="3"/>
        <v>410</v>
      </c>
      <c r="L16" s="54">
        <v>2</v>
      </c>
      <c r="M16" s="91">
        <f t="shared" si="5"/>
        <v>300</v>
      </c>
      <c r="N16" s="54">
        <v>2</v>
      </c>
      <c r="O16" s="92"/>
    </row>
    <row r="17" spans="1:15">
      <c r="A17" s="87" t="str">
        <f>'1. 소켓인수검사'!A18</f>
        <v>10</v>
      </c>
      <c r="B17" s="88" t="s">
        <v>15</v>
      </c>
      <c r="C17" s="54">
        <f>'1. 소켓인수검사'!C18</f>
        <v>350</v>
      </c>
      <c r="D17" s="54">
        <f>'1. 소켓인수검사'!D18</f>
        <v>300</v>
      </c>
      <c r="E17" s="36"/>
      <c r="F17" s="54">
        <v>1</v>
      </c>
      <c r="G17" s="89">
        <f t="shared" si="4"/>
        <v>345</v>
      </c>
      <c r="H17" s="54">
        <f t="shared" si="0"/>
        <v>4</v>
      </c>
      <c r="I17" s="90">
        <f t="shared" si="1"/>
        <v>270</v>
      </c>
      <c r="J17" s="54">
        <f t="shared" si="2"/>
        <v>4</v>
      </c>
      <c r="K17" s="91">
        <f t="shared" si="3"/>
        <v>410</v>
      </c>
      <c r="L17" s="54">
        <v>2</v>
      </c>
      <c r="M17" s="91">
        <f t="shared" si="5"/>
        <v>300</v>
      </c>
      <c r="N17" s="54">
        <v>2</v>
      </c>
      <c r="O17" s="92"/>
    </row>
    <row r="18" spans="1:15">
      <c r="A18" s="87" t="str">
        <f>'1. 소켓인수검사'!A19</f>
        <v>11</v>
      </c>
      <c r="B18" s="88" t="s">
        <v>15</v>
      </c>
      <c r="C18" s="54">
        <f>'1. 소켓인수검사'!C19</f>
        <v>600</v>
      </c>
      <c r="D18" s="54">
        <f>'1. 소켓인수검사'!D19</f>
        <v>350</v>
      </c>
      <c r="E18" s="36"/>
      <c r="F18" s="54">
        <v>1</v>
      </c>
      <c r="G18" s="89">
        <f t="shared" si="4"/>
        <v>595</v>
      </c>
      <c r="H18" s="54">
        <f t="shared" si="0"/>
        <v>4</v>
      </c>
      <c r="I18" s="90">
        <f t="shared" si="1"/>
        <v>320</v>
      </c>
      <c r="J18" s="54">
        <f t="shared" si="2"/>
        <v>4</v>
      </c>
      <c r="K18" s="91">
        <f t="shared" si="3"/>
        <v>660</v>
      </c>
      <c r="L18" s="54">
        <v>2</v>
      </c>
      <c r="M18" s="91">
        <f t="shared" si="5"/>
        <v>350</v>
      </c>
      <c r="N18" s="54">
        <v>2</v>
      </c>
      <c r="O18" s="92"/>
    </row>
    <row r="19" spans="1:15">
      <c r="A19" s="87" t="str">
        <f>'1. 소켓인수검사'!A20</f>
        <v>12</v>
      </c>
      <c r="B19" s="88" t="s">
        <v>15</v>
      </c>
      <c r="C19" s="54">
        <f>'1. 소켓인수검사'!C20</f>
        <v>650</v>
      </c>
      <c r="D19" s="54">
        <f>'1. 소켓인수검사'!D20</f>
        <v>400</v>
      </c>
      <c r="E19" s="36"/>
      <c r="F19" s="54">
        <v>1</v>
      </c>
      <c r="G19" s="89">
        <f t="shared" si="4"/>
        <v>645</v>
      </c>
      <c r="H19" s="54">
        <f t="shared" si="0"/>
        <v>4</v>
      </c>
      <c r="I19" s="90">
        <f t="shared" si="1"/>
        <v>370</v>
      </c>
      <c r="J19" s="54">
        <f t="shared" si="2"/>
        <v>4</v>
      </c>
      <c r="K19" s="91">
        <f t="shared" si="3"/>
        <v>710</v>
      </c>
      <c r="L19" s="54">
        <v>2</v>
      </c>
      <c r="M19" s="91">
        <f t="shared" si="5"/>
        <v>400</v>
      </c>
      <c r="N19" s="54">
        <v>2</v>
      </c>
      <c r="O19" s="92"/>
    </row>
    <row r="20" spans="1:15">
      <c r="A20" s="87" t="str">
        <f>'1. 소켓인수검사'!A21</f>
        <v>13</v>
      </c>
      <c r="B20" s="88" t="s">
        <v>15</v>
      </c>
      <c r="C20" s="54">
        <f>'1. 소켓인수검사'!C21</f>
        <v>900</v>
      </c>
      <c r="D20" s="54">
        <f>'1. 소켓인수검사'!D21</f>
        <v>500</v>
      </c>
      <c r="E20" s="36"/>
      <c r="F20" s="54">
        <v>1</v>
      </c>
      <c r="G20" s="89">
        <f t="shared" si="4"/>
        <v>895</v>
      </c>
      <c r="H20" s="54">
        <f t="shared" si="0"/>
        <v>4</v>
      </c>
      <c r="I20" s="90">
        <f t="shared" si="1"/>
        <v>470</v>
      </c>
      <c r="J20" s="54">
        <f t="shared" si="2"/>
        <v>4</v>
      </c>
      <c r="K20" s="91">
        <f t="shared" si="3"/>
        <v>960</v>
      </c>
      <c r="L20" s="54">
        <v>2</v>
      </c>
      <c r="M20" s="91">
        <f t="shared" si="5"/>
        <v>500</v>
      </c>
      <c r="N20" s="54">
        <v>2</v>
      </c>
      <c r="O20" s="92"/>
    </row>
    <row r="21" spans="1:15">
      <c r="A21" s="87" t="str">
        <f>'1. 소켓인수검사'!A22</f>
        <v>14</v>
      </c>
      <c r="B21" s="88" t="s">
        <v>15</v>
      </c>
      <c r="C21" s="54">
        <f>'1. 소켓인수검사'!C22</f>
        <v>1000</v>
      </c>
      <c r="D21" s="54">
        <f>'1. 소켓인수검사'!D22</f>
        <v>350</v>
      </c>
      <c r="E21" s="36"/>
      <c r="F21" s="54">
        <v>1</v>
      </c>
      <c r="G21" s="89">
        <f t="shared" si="4"/>
        <v>995</v>
      </c>
      <c r="H21" s="54">
        <f t="shared" si="0"/>
        <v>4</v>
      </c>
      <c r="I21" s="90">
        <f t="shared" si="1"/>
        <v>320</v>
      </c>
      <c r="J21" s="54">
        <f t="shared" si="2"/>
        <v>4</v>
      </c>
      <c r="K21" s="91">
        <f t="shared" si="3"/>
        <v>1060</v>
      </c>
      <c r="L21" s="54">
        <v>2</v>
      </c>
      <c r="M21" s="91">
        <f t="shared" si="5"/>
        <v>350</v>
      </c>
      <c r="N21" s="54">
        <v>2</v>
      </c>
      <c r="O21" s="92"/>
    </row>
    <row r="22" spans="1:15" ht="8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 t="s">
        <v>44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22:O22"/>
    <mergeCell ref="A23:C25"/>
    <mergeCell ref="D23:O25"/>
    <mergeCell ref="K5:N5"/>
    <mergeCell ref="O5:O7"/>
    <mergeCell ref="C6:C7"/>
    <mergeCell ref="D6:D7"/>
    <mergeCell ref="G6:H6"/>
    <mergeCell ref="I6:J6"/>
    <mergeCell ref="K6:L6"/>
    <mergeCell ref="M6:N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24"/>
  <sheetViews>
    <sheetView zoomScaleNormal="100" zoomScaleSheetLayoutView="100" workbookViewId="0">
      <selection activeCell="L33" sqref="L33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" t="s">
        <v>84</v>
      </c>
      <c r="F1" s="137"/>
      <c r="G1" s="142" t="str">
        <f>'1. 소켓인수검사'!R2</f>
        <v>26.06.29 행복산업_쌍용건설_공항시설관리(주)-반얀트리 부산</v>
      </c>
      <c r="H1" s="142"/>
      <c r="I1" s="142"/>
      <c r="J1" s="142"/>
      <c r="K1" s="143"/>
    </row>
    <row r="2" spans="1:11" ht="16.5" customHeight="1">
      <c r="A2" s="1"/>
      <c r="B2" s="1"/>
      <c r="C2" s="1"/>
      <c r="D2" s="1"/>
      <c r="E2" s="138"/>
      <c r="F2" s="139"/>
      <c r="G2" s="144"/>
      <c r="H2" s="144"/>
      <c r="I2" s="144"/>
      <c r="J2" s="144"/>
      <c r="K2" s="145"/>
    </row>
    <row r="3" spans="1:11" ht="16.5" customHeight="1">
      <c r="A3" s="1"/>
      <c r="B3" s="1"/>
      <c r="C3" s="1"/>
      <c r="D3" s="1"/>
      <c r="E3" s="140"/>
      <c r="F3" s="141"/>
      <c r="G3" s="146"/>
      <c r="H3" s="146"/>
      <c r="I3" s="146"/>
      <c r="J3" s="146"/>
      <c r="K3" s="147"/>
    </row>
    <row r="4" spans="1:11" ht="8.1" customHeight="1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</row>
    <row r="5" spans="1:11" ht="26.45" customHeight="1">
      <c r="A5" s="149" t="s">
        <v>52</v>
      </c>
      <c r="B5" s="150" t="s">
        <v>62</v>
      </c>
      <c r="C5" s="153" t="s">
        <v>4</v>
      </c>
      <c r="D5" s="153"/>
      <c r="E5" s="153" t="s">
        <v>23</v>
      </c>
      <c r="F5" s="154" t="s">
        <v>50</v>
      </c>
      <c r="G5" s="135" t="s">
        <v>33</v>
      </c>
      <c r="H5" s="136"/>
      <c r="I5" s="136"/>
      <c r="J5" s="136"/>
      <c r="K5" s="154" t="s">
        <v>2</v>
      </c>
    </row>
    <row r="6" spans="1:11" ht="16.5" customHeight="1">
      <c r="A6" s="149"/>
      <c r="B6" s="151"/>
      <c r="C6" s="153" t="s">
        <v>59</v>
      </c>
      <c r="D6" s="153" t="s">
        <v>57</v>
      </c>
      <c r="E6" s="153"/>
      <c r="F6" s="155"/>
      <c r="G6" s="153" t="s">
        <v>61</v>
      </c>
      <c r="H6" s="153"/>
      <c r="I6" s="135" t="s">
        <v>58</v>
      </c>
      <c r="J6" s="136"/>
      <c r="K6" s="155"/>
    </row>
    <row r="7" spans="1:11">
      <c r="A7" s="149"/>
      <c r="B7" s="152"/>
      <c r="C7" s="153"/>
      <c r="D7" s="153"/>
      <c r="E7" s="153"/>
      <c r="F7" s="156"/>
      <c r="G7" s="15" t="s">
        <v>4</v>
      </c>
      <c r="H7" s="15" t="s">
        <v>50</v>
      </c>
      <c r="I7" s="15" t="s">
        <v>4</v>
      </c>
      <c r="J7" s="16" t="s">
        <v>50</v>
      </c>
      <c r="K7" s="156"/>
    </row>
    <row r="8" spans="1:11">
      <c r="A8" s="71" t="str">
        <f>'1. 소켓인수검사'!A9</f>
        <v>01</v>
      </c>
      <c r="B8" s="50" t="s">
        <v>15</v>
      </c>
      <c r="C8" s="46">
        <f>'1. 소켓인수검사'!C9</f>
        <v>250</v>
      </c>
      <c r="D8" s="46">
        <f>'1. 소켓인수검사'!D9</f>
        <v>200</v>
      </c>
      <c r="E8" s="47"/>
      <c r="F8" s="46">
        <v>1</v>
      </c>
      <c r="G8" s="72">
        <f t="shared" ref="G8:G11" si="0">C8+60</f>
        <v>310</v>
      </c>
      <c r="H8" s="46">
        <v>2</v>
      </c>
      <c r="I8" s="72">
        <f>D8</f>
        <v>200</v>
      </c>
      <c r="J8" s="46">
        <v>2</v>
      </c>
      <c r="K8" s="48"/>
    </row>
    <row r="9" spans="1:11">
      <c r="A9" s="73" t="str">
        <f>'1. 소켓인수검사'!A10</f>
        <v>02</v>
      </c>
      <c r="B9" s="50" t="s">
        <v>15</v>
      </c>
      <c r="C9" s="35">
        <f>'1. 소켓인수검사'!C10</f>
        <v>250</v>
      </c>
      <c r="D9" s="35">
        <f>'1. 소켓인수검사'!D10</f>
        <v>200</v>
      </c>
      <c r="E9" s="36"/>
      <c r="F9" s="35">
        <v>1</v>
      </c>
      <c r="G9" s="52">
        <f t="shared" si="0"/>
        <v>310</v>
      </c>
      <c r="H9" s="35">
        <v>2</v>
      </c>
      <c r="I9" s="52">
        <f t="shared" ref="I9:I21" si="1">D9</f>
        <v>200</v>
      </c>
      <c r="J9" s="35">
        <v>2</v>
      </c>
      <c r="K9" s="51"/>
    </row>
    <row r="10" spans="1:11">
      <c r="A10" s="73" t="str">
        <f>'1. 소켓인수검사'!A11</f>
        <v>03</v>
      </c>
      <c r="B10" s="50" t="s">
        <v>15</v>
      </c>
      <c r="C10" s="35">
        <f>'1. 소켓인수검사'!C11</f>
        <v>250</v>
      </c>
      <c r="D10" s="35">
        <f>'1. 소켓인수검사'!D11</f>
        <v>200</v>
      </c>
      <c r="E10" s="36"/>
      <c r="F10" s="35">
        <v>1</v>
      </c>
      <c r="G10" s="52">
        <f t="shared" si="0"/>
        <v>310</v>
      </c>
      <c r="H10" s="35">
        <v>2</v>
      </c>
      <c r="I10" s="52">
        <f t="shared" si="1"/>
        <v>200</v>
      </c>
      <c r="J10" s="35">
        <v>2</v>
      </c>
      <c r="K10" s="51"/>
    </row>
    <row r="11" spans="1:11">
      <c r="A11" s="73" t="str">
        <f>'1. 소켓인수검사'!A12</f>
        <v>04</v>
      </c>
      <c r="B11" s="50" t="s">
        <v>15</v>
      </c>
      <c r="C11" s="35">
        <f>'1. 소켓인수검사'!C12</f>
        <v>250</v>
      </c>
      <c r="D11" s="35">
        <f>'1. 소켓인수검사'!D12</f>
        <v>200</v>
      </c>
      <c r="E11" s="36"/>
      <c r="F11" s="35">
        <v>1</v>
      </c>
      <c r="G11" s="52">
        <f t="shared" si="0"/>
        <v>310</v>
      </c>
      <c r="H11" s="35">
        <v>2</v>
      </c>
      <c r="I11" s="52">
        <f t="shared" si="1"/>
        <v>200</v>
      </c>
      <c r="J11" s="35">
        <v>2</v>
      </c>
      <c r="K11" s="51"/>
    </row>
    <row r="12" spans="1:11">
      <c r="A12" s="73" t="str">
        <f>'1. 소켓인수검사'!A13</f>
        <v>05</v>
      </c>
      <c r="B12" s="50" t="s">
        <v>15</v>
      </c>
      <c r="C12" s="35">
        <f>'1. 소켓인수검사'!C13</f>
        <v>250</v>
      </c>
      <c r="D12" s="35">
        <f>'1. 소켓인수검사'!D13</f>
        <v>250</v>
      </c>
      <c r="E12" s="36"/>
      <c r="F12" s="35">
        <v>1</v>
      </c>
      <c r="G12" s="52">
        <f t="shared" ref="G12:G19" si="2">C12+60</f>
        <v>310</v>
      </c>
      <c r="H12" s="35">
        <v>2</v>
      </c>
      <c r="I12" s="52">
        <f t="shared" si="1"/>
        <v>250</v>
      </c>
      <c r="J12" s="35">
        <v>2</v>
      </c>
      <c r="K12" s="51"/>
    </row>
    <row r="13" spans="1:11">
      <c r="A13" s="73" t="str">
        <f>'1. 소켓인수검사'!A14</f>
        <v>06</v>
      </c>
      <c r="B13" s="50" t="s">
        <v>15</v>
      </c>
      <c r="C13" s="35">
        <f>'1. 소켓인수검사'!C14</f>
        <v>250</v>
      </c>
      <c r="D13" s="35">
        <f>'1. 소켓인수검사'!D14</f>
        <v>250</v>
      </c>
      <c r="E13" s="36"/>
      <c r="F13" s="35">
        <v>1</v>
      </c>
      <c r="G13" s="52">
        <f t="shared" si="2"/>
        <v>310</v>
      </c>
      <c r="H13" s="35">
        <v>2</v>
      </c>
      <c r="I13" s="52">
        <f t="shared" si="1"/>
        <v>250</v>
      </c>
      <c r="J13" s="35">
        <v>2</v>
      </c>
      <c r="K13" s="51"/>
    </row>
    <row r="14" spans="1:11">
      <c r="A14" s="73" t="str">
        <f>'1. 소켓인수검사'!A15</f>
        <v>07</v>
      </c>
      <c r="B14" s="50" t="s">
        <v>15</v>
      </c>
      <c r="C14" s="35">
        <f>'1. 소켓인수검사'!C15</f>
        <v>300</v>
      </c>
      <c r="D14" s="35">
        <f>'1. 소켓인수검사'!D15</f>
        <v>250</v>
      </c>
      <c r="E14" s="36"/>
      <c r="F14" s="35">
        <v>1</v>
      </c>
      <c r="G14" s="52">
        <f t="shared" si="2"/>
        <v>360</v>
      </c>
      <c r="H14" s="35">
        <v>2</v>
      </c>
      <c r="I14" s="52">
        <f t="shared" si="1"/>
        <v>250</v>
      </c>
      <c r="J14" s="35">
        <v>2</v>
      </c>
      <c r="K14" s="51"/>
    </row>
    <row r="15" spans="1:11">
      <c r="A15" s="73" t="str">
        <f>'1. 소켓인수검사'!A16</f>
        <v>08</v>
      </c>
      <c r="B15" s="50" t="s">
        <v>15</v>
      </c>
      <c r="C15" s="35">
        <f>'1. 소켓인수검사'!C16</f>
        <v>350</v>
      </c>
      <c r="D15" s="35">
        <f>'1. 소켓인수검사'!D16</f>
        <v>300</v>
      </c>
      <c r="E15" s="36"/>
      <c r="F15" s="35">
        <v>1</v>
      </c>
      <c r="G15" s="52">
        <f t="shared" si="2"/>
        <v>410</v>
      </c>
      <c r="H15" s="35">
        <v>2</v>
      </c>
      <c r="I15" s="52">
        <f t="shared" si="1"/>
        <v>300</v>
      </c>
      <c r="J15" s="35">
        <v>2</v>
      </c>
      <c r="K15" s="51"/>
    </row>
    <row r="16" spans="1:11">
      <c r="A16" s="73" t="str">
        <f>'1. 소켓인수검사'!A17</f>
        <v>09</v>
      </c>
      <c r="B16" s="50" t="s">
        <v>15</v>
      </c>
      <c r="C16" s="35">
        <f>'1. 소켓인수검사'!C17</f>
        <v>350</v>
      </c>
      <c r="D16" s="35">
        <f>'1. 소켓인수검사'!D17</f>
        <v>300</v>
      </c>
      <c r="E16" s="36"/>
      <c r="F16" s="35">
        <v>1</v>
      </c>
      <c r="G16" s="52">
        <f t="shared" si="2"/>
        <v>410</v>
      </c>
      <c r="H16" s="35">
        <v>2</v>
      </c>
      <c r="I16" s="52">
        <f t="shared" si="1"/>
        <v>300</v>
      </c>
      <c r="J16" s="35">
        <v>2</v>
      </c>
      <c r="K16" s="51"/>
    </row>
    <row r="17" spans="1:11">
      <c r="A17" s="73" t="str">
        <f>'1. 소켓인수검사'!A18</f>
        <v>10</v>
      </c>
      <c r="B17" s="50" t="s">
        <v>15</v>
      </c>
      <c r="C17" s="35">
        <f>'1. 소켓인수검사'!C18</f>
        <v>350</v>
      </c>
      <c r="D17" s="35">
        <f>'1. 소켓인수검사'!D18</f>
        <v>300</v>
      </c>
      <c r="E17" s="36"/>
      <c r="F17" s="35">
        <v>1</v>
      </c>
      <c r="G17" s="52">
        <f t="shared" si="2"/>
        <v>410</v>
      </c>
      <c r="H17" s="35">
        <v>2</v>
      </c>
      <c r="I17" s="52">
        <f t="shared" si="1"/>
        <v>300</v>
      </c>
      <c r="J17" s="35">
        <v>2</v>
      </c>
      <c r="K17" s="51"/>
    </row>
    <row r="18" spans="1:11">
      <c r="A18" s="73" t="str">
        <f>'1. 소켓인수검사'!A19</f>
        <v>11</v>
      </c>
      <c r="B18" s="50" t="s">
        <v>15</v>
      </c>
      <c r="C18" s="35">
        <f>'1. 소켓인수검사'!C19</f>
        <v>600</v>
      </c>
      <c r="D18" s="35">
        <f>'1. 소켓인수검사'!D19</f>
        <v>350</v>
      </c>
      <c r="E18" s="36"/>
      <c r="F18" s="35">
        <v>1</v>
      </c>
      <c r="G18" s="52">
        <f t="shared" si="2"/>
        <v>660</v>
      </c>
      <c r="H18" s="35">
        <v>2</v>
      </c>
      <c r="I18" s="52">
        <f t="shared" si="1"/>
        <v>350</v>
      </c>
      <c r="J18" s="35">
        <v>2</v>
      </c>
      <c r="K18" s="51"/>
    </row>
    <row r="19" spans="1:11">
      <c r="A19" s="73" t="str">
        <f>'1. 소켓인수검사'!A20</f>
        <v>12</v>
      </c>
      <c r="B19" s="50" t="s">
        <v>15</v>
      </c>
      <c r="C19" s="35">
        <f>'1. 소켓인수검사'!C20</f>
        <v>650</v>
      </c>
      <c r="D19" s="35">
        <f>'1. 소켓인수검사'!D20</f>
        <v>400</v>
      </c>
      <c r="E19" s="36"/>
      <c r="F19" s="35">
        <v>1</v>
      </c>
      <c r="G19" s="52">
        <f t="shared" si="2"/>
        <v>710</v>
      </c>
      <c r="H19" s="35">
        <v>2</v>
      </c>
      <c r="I19" s="52">
        <f t="shared" si="1"/>
        <v>400</v>
      </c>
      <c r="J19" s="35">
        <v>2</v>
      </c>
      <c r="K19" s="51"/>
    </row>
    <row r="20" spans="1:11">
      <c r="A20" s="73" t="str">
        <f>'1. 소켓인수검사'!A21</f>
        <v>13</v>
      </c>
      <c r="B20" s="50" t="s">
        <v>15</v>
      </c>
      <c r="C20" s="35">
        <f>'1. 소켓인수검사'!C21</f>
        <v>900</v>
      </c>
      <c r="D20" s="35">
        <f>'1. 소켓인수검사'!D21</f>
        <v>500</v>
      </c>
      <c r="E20" s="36"/>
      <c r="F20" s="35">
        <v>1</v>
      </c>
      <c r="G20" s="52">
        <f t="shared" ref="G20:G21" si="3">C20+60</f>
        <v>960</v>
      </c>
      <c r="H20" s="35">
        <v>2</v>
      </c>
      <c r="I20" s="52">
        <f t="shared" si="1"/>
        <v>500</v>
      </c>
      <c r="J20" s="35">
        <v>2</v>
      </c>
      <c r="K20" s="51"/>
    </row>
    <row r="21" spans="1:11">
      <c r="A21" s="73" t="str">
        <f>'1. 소켓인수검사'!A22</f>
        <v>14</v>
      </c>
      <c r="B21" s="50" t="s">
        <v>15</v>
      </c>
      <c r="C21" s="35">
        <f>'1. 소켓인수검사'!C22</f>
        <v>1000</v>
      </c>
      <c r="D21" s="35">
        <f>'1. 소켓인수검사'!D22</f>
        <v>350</v>
      </c>
      <c r="E21" s="36"/>
      <c r="F21" s="35">
        <v>1</v>
      </c>
      <c r="G21" s="52">
        <f t="shared" si="3"/>
        <v>1060</v>
      </c>
      <c r="H21" s="35">
        <v>2</v>
      </c>
      <c r="I21" s="52">
        <f t="shared" si="1"/>
        <v>350</v>
      </c>
      <c r="J21" s="35">
        <v>2</v>
      </c>
      <c r="K21" s="51"/>
    </row>
    <row r="22" spans="1:11">
      <c r="A22" s="1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7">
    <mergeCell ref="G6:H6"/>
    <mergeCell ref="I6:J6"/>
    <mergeCell ref="E1:F3"/>
    <mergeCell ref="G1:K3"/>
    <mergeCell ref="A22:C24"/>
    <mergeCell ref="D22:K24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9"/>
  <sheetViews>
    <sheetView zoomScaleNormal="100" zoomScaleSheetLayoutView="100" workbookViewId="0">
      <selection activeCell="Q37" sqref="Q37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157" t="s">
        <v>65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9"/>
    </row>
    <row r="2" spans="1:16" ht="16.5" customHeight="1">
      <c r="A2" s="1"/>
      <c r="B2" s="1"/>
      <c r="C2" s="1"/>
      <c r="D2" s="1"/>
      <c r="E2" s="160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2"/>
    </row>
    <row r="3" spans="1:16" ht="16.5" customHeight="1">
      <c r="A3" s="1"/>
      <c r="B3" s="1"/>
      <c r="C3" s="1"/>
      <c r="D3" s="1"/>
      <c r="E3" s="160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2"/>
    </row>
    <row r="4" spans="1:16" ht="16.5" customHeight="1">
      <c r="A4" s="1" t="s">
        <v>16</v>
      </c>
      <c r="B4" s="1"/>
      <c r="C4" s="166"/>
      <c r="D4" s="167"/>
      <c r="E4" s="163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5"/>
    </row>
    <row r="5" spans="1:16">
      <c r="A5" s="1" t="s">
        <v>25</v>
      </c>
      <c r="B5" s="1"/>
      <c r="C5" s="1"/>
      <c r="D5" s="1"/>
      <c r="E5" s="6" t="s">
        <v>31</v>
      </c>
      <c r="F5" s="1"/>
      <c r="G5" s="1"/>
      <c r="H5" s="1" t="s">
        <v>55</v>
      </c>
      <c r="I5" s="1"/>
      <c r="J5" s="1"/>
      <c r="K5" s="1" t="s">
        <v>51</v>
      </c>
      <c r="L5" s="1"/>
      <c r="M5" s="1"/>
      <c r="N5" s="168" t="str">
        <f>'1. 소켓인수검사'!R2</f>
        <v>26.06.29 행복산업_쌍용건설_공항시설관리(주)-반얀트리 부산</v>
      </c>
      <c r="O5" s="168"/>
      <c r="P5" s="168"/>
    </row>
    <row r="6" spans="1:16">
      <c r="A6" s="1"/>
      <c r="B6" s="1"/>
      <c r="C6" s="1"/>
      <c r="D6" s="1"/>
      <c r="E6" s="6" t="s">
        <v>28</v>
      </c>
      <c r="F6" s="1"/>
      <c r="G6" s="1"/>
      <c r="H6" s="1"/>
      <c r="I6" s="1"/>
      <c r="J6" s="1"/>
      <c r="K6" s="1"/>
      <c r="L6" s="1"/>
      <c r="M6" s="1"/>
      <c r="N6" s="168"/>
      <c r="O6" s="168"/>
      <c r="P6" s="168"/>
    </row>
    <row r="7" spans="1:16" ht="8.1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</row>
    <row r="8" spans="1:16">
      <c r="A8" s="169" t="s">
        <v>52</v>
      </c>
      <c r="B8" s="171" t="s">
        <v>4</v>
      </c>
      <c r="C8" s="171"/>
      <c r="D8" s="171" t="s">
        <v>27</v>
      </c>
      <c r="E8" s="171" t="s">
        <v>23</v>
      </c>
      <c r="F8" s="171" t="s">
        <v>56</v>
      </c>
      <c r="G8" s="171" t="s">
        <v>26</v>
      </c>
      <c r="H8" s="171"/>
      <c r="I8" s="171"/>
      <c r="J8" s="171"/>
      <c r="K8" s="171"/>
      <c r="L8" s="171"/>
      <c r="M8" s="171"/>
      <c r="N8" s="171"/>
      <c r="O8" s="171"/>
      <c r="P8" s="173" t="s">
        <v>2</v>
      </c>
    </row>
    <row r="9" spans="1:16" ht="16.5" customHeight="1">
      <c r="A9" s="170"/>
      <c r="B9" s="172" t="s">
        <v>59</v>
      </c>
      <c r="C9" s="172" t="s">
        <v>57</v>
      </c>
      <c r="D9" s="172"/>
      <c r="E9" s="172"/>
      <c r="F9" s="172"/>
      <c r="G9" s="172" t="s">
        <v>53</v>
      </c>
      <c r="H9" s="172" t="s">
        <v>59</v>
      </c>
      <c r="I9" s="172"/>
      <c r="J9" s="172" t="s">
        <v>10</v>
      </c>
      <c r="K9" s="172" t="s">
        <v>57</v>
      </c>
      <c r="L9" s="172"/>
      <c r="M9" s="172"/>
      <c r="N9" s="172"/>
      <c r="O9" s="172" t="s">
        <v>10</v>
      </c>
      <c r="P9" s="174"/>
    </row>
    <row r="10" spans="1:16">
      <c r="A10" s="170"/>
      <c r="B10" s="172"/>
      <c r="C10" s="172"/>
      <c r="D10" s="172"/>
      <c r="E10" s="172"/>
      <c r="F10" s="172"/>
      <c r="G10" s="172"/>
      <c r="H10" s="25" t="s">
        <v>4</v>
      </c>
      <c r="I10" s="25" t="s">
        <v>30</v>
      </c>
      <c r="J10" s="172"/>
      <c r="K10" s="172" t="s">
        <v>4</v>
      </c>
      <c r="L10" s="172"/>
      <c r="M10" s="172"/>
      <c r="N10" s="25" t="s">
        <v>30</v>
      </c>
      <c r="O10" s="172"/>
      <c r="P10" s="174"/>
    </row>
    <row r="11" spans="1:16">
      <c r="A11" s="24" t="str">
        <f>'1. 소켓인수검사'!A9</f>
        <v>01</v>
      </c>
      <c r="B11" s="26">
        <f>'1. 소켓인수검사'!C9</f>
        <v>250</v>
      </c>
      <c r="C11" s="26">
        <f>'1. 소켓인수검사'!D9</f>
        <v>200</v>
      </c>
      <c r="D11" s="27">
        <v>1</v>
      </c>
      <c r="E11" s="28"/>
      <c r="F11" s="27">
        <v>1.6</v>
      </c>
      <c r="G11" s="27"/>
      <c r="H11" s="27">
        <f>B11-1</f>
        <v>249</v>
      </c>
      <c r="I11" s="27">
        <f t="shared" ref="I11:I12" si="0">D11*4</f>
        <v>4</v>
      </c>
      <c r="J11" s="27"/>
      <c r="K11" s="175">
        <f t="shared" ref="K11:K12" si="1">C11-30</f>
        <v>170</v>
      </c>
      <c r="L11" s="175"/>
      <c r="M11" s="175"/>
      <c r="N11" s="27">
        <f t="shared" ref="N11:N12" si="2">D11*4</f>
        <v>4</v>
      </c>
      <c r="O11" s="27"/>
      <c r="P11" s="29"/>
    </row>
    <row r="12" spans="1:16">
      <c r="A12" s="24" t="str">
        <f>'1. 소켓인수검사'!A10</f>
        <v>02</v>
      </c>
      <c r="B12" s="26">
        <f>'1. 소켓인수검사'!C10</f>
        <v>250</v>
      </c>
      <c r="C12" s="26">
        <f>'1. 소켓인수검사'!D10</f>
        <v>200</v>
      </c>
      <c r="D12" s="27">
        <v>1</v>
      </c>
      <c r="E12" s="28"/>
      <c r="F12" s="27">
        <v>1.6</v>
      </c>
      <c r="G12" s="27"/>
      <c r="H12" s="27">
        <f t="shared" ref="H12" si="3">B12-1</f>
        <v>249</v>
      </c>
      <c r="I12" s="27">
        <f t="shared" si="0"/>
        <v>4</v>
      </c>
      <c r="J12" s="27"/>
      <c r="K12" s="175">
        <f t="shared" si="1"/>
        <v>170</v>
      </c>
      <c r="L12" s="175"/>
      <c r="M12" s="175"/>
      <c r="N12" s="27">
        <f t="shared" si="2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250</v>
      </c>
      <c r="C13" s="26">
        <f>'1. 소켓인수검사'!D11</f>
        <v>200</v>
      </c>
      <c r="D13" s="27">
        <v>1</v>
      </c>
      <c r="E13" s="28"/>
      <c r="F13" s="27">
        <v>1.6</v>
      </c>
      <c r="G13" s="27"/>
      <c r="H13" s="27">
        <f t="shared" ref="H13:H24" si="4">B13-1</f>
        <v>249</v>
      </c>
      <c r="I13" s="27">
        <f t="shared" ref="I13:I24" si="5">D13*4</f>
        <v>4</v>
      </c>
      <c r="J13" s="27"/>
      <c r="K13" s="175">
        <f t="shared" ref="K13:K24" si="6">C13-30</f>
        <v>170</v>
      </c>
      <c r="L13" s="175"/>
      <c r="M13" s="175"/>
      <c r="N13" s="27">
        <f t="shared" ref="N13:N24" si="7">D13*4</f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250</v>
      </c>
      <c r="C14" s="26">
        <f>'1. 소켓인수검사'!D12</f>
        <v>200</v>
      </c>
      <c r="D14" s="27">
        <v>1</v>
      </c>
      <c r="E14" s="28"/>
      <c r="F14" s="27">
        <v>1.6</v>
      </c>
      <c r="G14" s="27"/>
      <c r="H14" s="27">
        <f t="shared" si="4"/>
        <v>249</v>
      </c>
      <c r="I14" s="27">
        <f t="shared" si="5"/>
        <v>4</v>
      </c>
      <c r="J14" s="27"/>
      <c r="K14" s="175">
        <f t="shared" si="6"/>
        <v>170</v>
      </c>
      <c r="L14" s="175"/>
      <c r="M14" s="175"/>
      <c r="N14" s="27">
        <f t="shared" si="7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250</v>
      </c>
      <c r="C15" s="26">
        <f>'1. 소켓인수검사'!D13</f>
        <v>250</v>
      </c>
      <c r="D15" s="27">
        <v>1</v>
      </c>
      <c r="E15" s="28"/>
      <c r="F15" s="27">
        <v>1.6</v>
      </c>
      <c r="G15" s="27"/>
      <c r="H15" s="27">
        <f t="shared" si="4"/>
        <v>249</v>
      </c>
      <c r="I15" s="27">
        <f t="shared" si="5"/>
        <v>4</v>
      </c>
      <c r="J15" s="27"/>
      <c r="K15" s="175">
        <f t="shared" si="6"/>
        <v>220</v>
      </c>
      <c r="L15" s="175"/>
      <c r="M15" s="175"/>
      <c r="N15" s="27">
        <f t="shared" si="7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250</v>
      </c>
      <c r="C16" s="26">
        <f>'1. 소켓인수검사'!D14</f>
        <v>250</v>
      </c>
      <c r="D16" s="27">
        <v>1</v>
      </c>
      <c r="E16" s="28"/>
      <c r="F16" s="27">
        <v>1.6</v>
      </c>
      <c r="G16" s="27"/>
      <c r="H16" s="27">
        <f t="shared" si="4"/>
        <v>249</v>
      </c>
      <c r="I16" s="27">
        <f t="shared" si="5"/>
        <v>4</v>
      </c>
      <c r="J16" s="27"/>
      <c r="K16" s="175">
        <f t="shared" si="6"/>
        <v>220</v>
      </c>
      <c r="L16" s="175"/>
      <c r="M16" s="175"/>
      <c r="N16" s="27">
        <f t="shared" si="7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300</v>
      </c>
      <c r="C17" s="26">
        <f>'1. 소켓인수검사'!D15</f>
        <v>250</v>
      </c>
      <c r="D17" s="27">
        <v>1</v>
      </c>
      <c r="E17" s="28"/>
      <c r="F17" s="27">
        <v>1.6</v>
      </c>
      <c r="G17" s="27"/>
      <c r="H17" s="27">
        <f t="shared" si="4"/>
        <v>299</v>
      </c>
      <c r="I17" s="27">
        <f t="shared" si="5"/>
        <v>4</v>
      </c>
      <c r="J17" s="27"/>
      <c r="K17" s="175">
        <f t="shared" si="6"/>
        <v>220</v>
      </c>
      <c r="L17" s="175"/>
      <c r="M17" s="175"/>
      <c r="N17" s="27">
        <f t="shared" si="7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350</v>
      </c>
      <c r="C18" s="26">
        <f>'1. 소켓인수검사'!D16</f>
        <v>300</v>
      </c>
      <c r="D18" s="27">
        <v>1</v>
      </c>
      <c r="E18" s="28"/>
      <c r="F18" s="27">
        <v>1.6</v>
      </c>
      <c r="G18" s="27"/>
      <c r="H18" s="27">
        <f t="shared" si="4"/>
        <v>349</v>
      </c>
      <c r="I18" s="27">
        <f t="shared" si="5"/>
        <v>4</v>
      </c>
      <c r="J18" s="27"/>
      <c r="K18" s="175">
        <f t="shared" si="6"/>
        <v>270</v>
      </c>
      <c r="L18" s="175"/>
      <c r="M18" s="175"/>
      <c r="N18" s="27">
        <f t="shared" si="7"/>
        <v>4</v>
      </c>
      <c r="O18" s="27"/>
      <c r="P18" s="31"/>
    </row>
    <row r="19" spans="1:16">
      <c r="A19" s="24" t="str">
        <f>'1. 소켓인수검사'!A17</f>
        <v>09</v>
      </c>
      <c r="B19" s="26">
        <f>'1. 소켓인수검사'!C17</f>
        <v>350</v>
      </c>
      <c r="C19" s="26">
        <f>'1. 소켓인수검사'!D17</f>
        <v>300</v>
      </c>
      <c r="D19" s="27">
        <v>1</v>
      </c>
      <c r="E19" s="28"/>
      <c r="F19" s="27">
        <v>1.6</v>
      </c>
      <c r="G19" s="27"/>
      <c r="H19" s="27">
        <f t="shared" si="4"/>
        <v>349</v>
      </c>
      <c r="I19" s="27">
        <f t="shared" si="5"/>
        <v>4</v>
      </c>
      <c r="J19" s="27"/>
      <c r="K19" s="175">
        <f t="shared" si="6"/>
        <v>270</v>
      </c>
      <c r="L19" s="175"/>
      <c r="M19" s="175"/>
      <c r="N19" s="27">
        <f t="shared" si="7"/>
        <v>4</v>
      </c>
      <c r="O19" s="27"/>
      <c r="P19" s="31"/>
    </row>
    <row r="20" spans="1:16">
      <c r="A20" s="24" t="str">
        <f>'1. 소켓인수검사'!A18</f>
        <v>10</v>
      </c>
      <c r="B20" s="26">
        <f>'1. 소켓인수검사'!C18</f>
        <v>350</v>
      </c>
      <c r="C20" s="26">
        <f>'1. 소켓인수검사'!D18</f>
        <v>300</v>
      </c>
      <c r="D20" s="27">
        <v>1</v>
      </c>
      <c r="E20" s="28"/>
      <c r="F20" s="27">
        <v>1.6</v>
      </c>
      <c r="G20" s="27"/>
      <c r="H20" s="27">
        <f t="shared" si="4"/>
        <v>349</v>
      </c>
      <c r="I20" s="27">
        <f t="shared" si="5"/>
        <v>4</v>
      </c>
      <c r="J20" s="27"/>
      <c r="K20" s="175">
        <f t="shared" si="6"/>
        <v>270</v>
      </c>
      <c r="L20" s="175"/>
      <c r="M20" s="175"/>
      <c r="N20" s="27">
        <f t="shared" si="7"/>
        <v>4</v>
      </c>
      <c r="O20" s="27"/>
      <c r="P20" s="32"/>
    </row>
    <row r="21" spans="1:16">
      <c r="A21" s="24" t="str">
        <f>'1. 소켓인수검사'!A19</f>
        <v>11</v>
      </c>
      <c r="B21" s="26">
        <f>'1. 소켓인수검사'!C19</f>
        <v>600</v>
      </c>
      <c r="C21" s="26">
        <f>'1. 소켓인수검사'!D19</f>
        <v>350</v>
      </c>
      <c r="D21" s="27">
        <v>1</v>
      </c>
      <c r="E21" s="28"/>
      <c r="F21" s="27">
        <v>1.6</v>
      </c>
      <c r="G21" s="27"/>
      <c r="H21" s="27">
        <f t="shared" si="4"/>
        <v>599</v>
      </c>
      <c r="I21" s="27">
        <f t="shared" si="5"/>
        <v>4</v>
      </c>
      <c r="J21" s="27"/>
      <c r="K21" s="175">
        <f t="shared" si="6"/>
        <v>320</v>
      </c>
      <c r="L21" s="175"/>
      <c r="M21" s="175"/>
      <c r="N21" s="27">
        <f t="shared" si="7"/>
        <v>4</v>
      </c>
      <c r="O21" s="27"/>
      <c r="P21" s="32"/>
    </row>
    <row r="22" spans="1:16">
      <c r="A22" s="24" t="str">
        <f>'1. 소켓인수검사'!A20</f>
        <v>12</v>
      </c>
      <c r="B22" s="26">
        <f>'1. 소켓인수검사'!C20</f>
        <v>650</v>
      </c>
      <c r="C22" s="26">
        <f>'1. 소켓인수검사'!D20</f>
        <v>400</v>
      </c>
      <c r="D22" s="27">
        <v>1</v>
      </c>
      <c r="E22" s="28"/>
      <c r="F22" s="27">
        <v>1.6</v>
      </c>
      <c r="G22" s="27"/>
      <c r="H22" s="27">
        <f t="shared" si="4"/>
        <v>649</v>
      </c>
      <c r="I22" s="27">
        <f t="shared" si="5"/>
        <v>4</v>
      </c>
      <c r="J22" s="27"/>
      <c r="K22" s="175">
        <f t="shared" si="6"/>
        <v>370</v>
      </c>
      <c r="L22" s="175"/>
      <c r="M22" s="175"/>
      <c r="N22" s="27">
        <f t="shared" si="7"/>
        <v>4</v>
      </c>
      <c r="O22" s="27"/>
      <c r="P22" s="32"/>
    </row>
    <row r="23" spans="1:16">
      <c r="A23" s="24" t="str">
        <f>'1. 소켓인수검사'!A21</f>
        <v>13</v>
      </c>
      <c r="B23" s="26">
        <f>'1. 소켓인수검사'!C21</f>
        <v>900</v>
      </c>
      <c r="C23" s="26">
        <f>'1. 소켓인수검사'!D21</f>
        <v>500</v>
      </c>
      <c r="D23" s="27">
        <v>1</v>
      </c>
      <c r="E23" s="28"/>
      <c r="F23" s="27">
        <v>1.6</v>
      </c>
      <c r="G23" s="27"/>
      <c r="H23" s="27">
        <f t="shared" si="4"/>
        <v>899</v>
      </c>
      <c r="I23" s="27">
        <f t="shared" si="5"/>
        <v>4</v>
      </c>
      <c r="J23" s="27"/>
      <c r="K23" s="175">
        <f t="shared" si="6"/>
        <v>470</v>
      </c>
      <c r="L23" s="175"/>
      <c r="M23" s="175"/>
      <c r="N23" s="27">
        <f t="shared" si="7"/>
        <v>4</v>
      </c>
      <c r="O23" s="27"/>
      <c r="P23" s="32"/>
    </row>
    <row r="24" spans="1:16">
      <c r="A24" s="24" t="str">
        <f>'1. 소켓인수검사'!A22</f>
        <v>14</v>
      </c>
      <c r="B24" s="26">
        <f>'1. 소켓인수검사'!C22</f>
        <v>1000</v>
      </c>
      <c r="C24" s="26">
        <f>'1. 소켓인수검사'!D22</f>
        <v>350</v>
      </c>
      <c r="D24" s="27">
        <v>1</v>
      </c>
      <c r="E24" s="28"/>
      <c r="F24" s="27">
        <v>1.6</v>
      </c>
      <c r="G24" s="27"/>
      <c r="H24" s="27">
        <f t="shared" si="4"/>
        <v>999</v>
      </c>
      <c r="I24" s="27">
        <f t="shared" si="5"/>
        <v>4</v>
      </c>
      <c r="J24" s="27"/>
      <c r="K24" s="175">
        <f t="shared" si="6"/>
        <v>320</v>
      </c>
      <c r="L24" s="175"/>
      <c r="M24" s="175"/>
      <c r="N24" s="27">
        <f t="shared" si="7"/>
        <v>4</v>
      </c>
      <c r="O24" s="27"/>
      <c r="P24" s="32"/>
    </row>
    <row r="25" spans="1:16" ht="8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76" t="s">
        <v>45</v>
      </c>
      <c r="B26" s="176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</row>
    <row r="27" spans="1:16">
      <c r="A27" s="176"/>
      <c r="B27" s="176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</row>
    <row r="28" spans="1:16">
      <c r="A28" s="176"/>
      <c r="B28" s="176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</row>
    <row r="29" spans="1:16">
      <c r="A29" s="176"/>
      <c r="B29" s="176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</row>
  </sheetData>
  <mergeCells count="45">
    <mergeCell ref="A26:B29"/>
    <mergeCell ref="C26:P29"/>
    <mergeCell ref="K21:M21"/>
    <mergeCell ref="K22:M22"/>
    <mergeCell ref="K23:M23"/>
    <mergeCell ref="K24:M24"/>
    <mergeCell ref="A25:P25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33"/>
  <sheetViews>
    <sheetView zoomScaleNormal="100" zoomScaleSheetLayoutView="100" workbookViewId="0">
      <pane ySplit="9" topLeftCell="A10" activePane="bottomLeft" state="frozen"/>
      <selection pane="bottomLeft" activeCell="AC4" sqref="AC4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178" t="s">
        <v>43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9"/>
      <c r="R1" s="180"/>
      <c r="S1" s="14"/>
    </row>
    <row r="2" spans="1:19">
      <c r="A2" s="1"/>
      <c r="B2" s="1"/>
      <c r="C2" s="1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/>
      <c r="R2" s="181"/>
      <c r="S2" s="182"/>
    </row>
    <row r="3" spans="1:19" ht="24" customHeight="1">
      <c r="A3" s="1"/>
      <c r="B3" s="1"/>
      <c r="C3" s="1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9"/>
      <c r="R3" s="181"/>
      <c r="S3" s="182"/>
    </row>
    <row r="4" spans="1:19">
      <c r="A4" s="1" t="s">
        <v>16</v>
      </c>
      <c r="B4" s="1"/>
      <c r="C4" s="1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9"/>
      <c r="R4" s="181"/>
      <c r="S4" s="182"/>
    </row>
    <row r="5" spans="1:19">
      <c r="A5" s="1" t="s">
        <v>25</v>
      </c>
      <c r="B5" s="1"/>
      <c r="C5" s="1"/>
      <c r="D5" s="2" t="s">
        <v>31</v>
      </c>
      <c r="E5" s="183"/>
      <c r="F5" s="184"/>
      <c r="G5" s="185" t="s">
        <v>55</v>
      </c>
      <c r="H5" s="187"/>
      <c r="I5" s="188"/>
      <c r="J5" s="188"/>
      <c r="K5" s="189"/>
      <c r="L5" s="185" t="s">
        <v>20</v>
      </c>
      <c r="M5" s="58"/>
      <c r="N5" s="58"/>
      <c r="O5" s="185" t="s">
        <v>20</v>
      </c>
      <c r="P5" s="192" t="str">
        <f>'1. 소켓인수검사'!R2</f>
        <v>26.06.29 행복산업_쌍용건설_공항시설관리(주)-반얀트리 부산</v>
      </c>
      <c r="Q5" s="193"/>
      <c r="R5" s="193"/>
      <c r="S5" s="194"/>
    </row>
    <row r="6" spans="1:19">
      <c r="A6" s="1"/>
      <c r="B6" s="1"/>
      <c r="C6" s="1"/>
      <c r="D6" s="2" t="s">
        <v>28</v>
      </c>
      <c r="E6" s="183"/>
      <c r="F6" s="184"/>
      <c r="G6" s="186"/>
      <c r="H6" s="190"/>
      <c r="I6" s="148"/>
      <c r="J6" s="148"/>
      <c r="K6" s="191"/>
      <c r="L6" s="186"/>
      <c r="M6" s="59"/>
      <c r="N6" s="59"/>
      <c r="O6" s="186"/>
      <c r="P6" s="195"/>
      <c r="Q6" s="196"/>
      <c r="R6" s="196"/>
      <c r="S6" s="197"/>
    </row>
    <row r="7" spans="1:19" ht="8.1" customHeight="1">
      <c r="A7" s="190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91"/>
    </row>
    <row r="8" spans="1:19" ht="16.5" customHeight="1">
      <c r="A8" s="107" t="s">
        <v>52</v>
      </c>
      <c r="B8" s="199" t="s">
        <v>59</v>
      </c>
      <c r="C8" s="199" t="s">
        <v>57</v>
      </c>
      <c r="D8" s="199" t="s">
        <v>62</v>
      </c>
      <c r="E8" s="199" t="s">
        <v>47</v>
      </c>
      <c r="F8" s="199" t="s">
        <v>54</v>
      </c>
      <c r="G8" s="199" t="s">
        <v>22</v>
      </c>
      <c r="H8" s="199"/>
      <c r="I8" s="199"/>
      <c r="J8" s="199" t="s">
        <v>0</v>
      </c>
      <c r="K8" s="199"/>
      <c r="L8" s="199"/>
      <c r="M8" s="199" t="s">
        <v>0</v>
      </c>
      <c r="N8" s="199"/>
      <c r="O8" s="199"/>
      <c r="P8" s="199" t="s">
        <v>0</v>
      </c>
      <c r="Q8" s="199"/>
      <c r="R8" s="199"/>
      <c r="S8" s="201"/>
    </row>
    <row r="9" spans="1:19" ht="33" customHeight="1">
      <c r="A9" s="198"/>
      <c r="B9" s="200"/>
      <c r="C9" s="200"/>
      <c r="D9" s="200"/>
      <c r="E9" s="200"/>
      <c r="F9" s="200"/>
      <c r="G9" s="61" t="s">
        <v>32</v>
      </c>
      <c r="H9" s="61" t="s">
        <v>50</v>
      </c>
      <c r="I9" s="61" t="s">
        <v>49</v>
      </c>
      <c r="J9" s="61" t="s">
        <v>18</v>
      </c>
      <c r="K9" s="61" t="s">
        <v>50</v>
      </c>
      <c r="L9" s="61" t="s">
        <v>49</v>
      </c>
      <c r="M9" s="61" t="s">
        <v>24</v>
      </c>
      <c r="N9" s="61" t="s">
        <v>50</v>
      </c>
      <c r="O9" s="61" t="s">
        <v>49</v>
      </c>
      <c r="P9" s="61" t="s">
        <v>21</v>
      </c>
      <c r="Q9" s="61" t="s">
        <v>50</v>
      </c>
      <c r="R9" s="200" t="s">
        <v>49</v>
      </c>
      <c r="S9" s="202"/>
    </row>
    <row r="10" spans="1:19">
      <c r="A10" s="49" t="str">
        <f>'1. 소켓인수검사'!A9</f>
        <v>01</v>
      </c>
      <c r="B10" s="35">
        <f>'1. 소켓인수검사'!C9</f>
        <v>250</v>
      </c>
      <c r="C10" s="35">
        <f>'1. 소켓인수검사'!D9</f>
        <v>200</v>
      </c>
      <c r="D10" s="50" t="s">
        <v>15</v>
      </c>
      <c r="E10" s="56">
        <f>B10*C10/1000000</f>
        <v>0.05</v>
      </c>
      <c r="F10" s="56">
        <f>(B10+C10)*2/1000</f>
        <v>0.9</v>
      </c>
      <c r="G10" s="26">
        <f>(F10+0.4)</f>
        <v>1.3</v>
      </c>
      <c r="H10" s="26">
        <v>4</v>
      </c>
      <c r="I10" s="57">
        <f>G10*H10</f>
        <v>5.2</v>
      </c>
      <c r="J10" s="26"/>
      <c r="K10" s="26"/>
      <c r="L10" s="26"/>
      <c r="M10" s="26"/>
      <c r="N10" s="26"/>
      <c r="O10" s="26"/>
      <c r="P10" s="26"/>
      <c r="Q10" s="26"/>
      <c r="R10" s="203"/>
      <c r="S10" s="204"/>
    </row>
    <row r="11" spans="1:19">
      <c r="A11" s="49" t="str">
        <f>'1. 소켓인수검사'!A10</f>
        <v>02</v>
      </c>
      <c r="B11" s="35">
        <f>'1. 소켓인수검사'!C10</f>
        <v>250</v>
      </c>
      <c r="C11" s="35">
        <f>'1. 소켓인수검사'!D10</f>
        <v>200</v>
      </c>
      <c r="D11" s="50" t="s">
        <v>15</v>
      </c>
      <c r="E11" s="56">
        <f t="shared" ref="E11:E23" si="0">B11*C11/1000000</f>
        <v>0.05</v>
      </c>
      <c r="F11" s="56">
        <f t="shared" ref="F11:F23" si="1">(B11+C11)*2/1000</f>
        <v>0.9</v>
      </c>
      <c r="G11" s="26">
        <f>(F11+0.4)</f>
        <v>1.3</v>
      </c>
      <c r="H11" s="26">
        <v>4</v>
      </c>
      <c r="I11" s="57">
        <f>G11*H11</f>
        <v>5.2</v>
      </c>
      <c r="J11" s="26"/>
      <c r="K11" s="26"/>
      <c r="L11" s="26"/>
      <c r="M11" s="26"/>
      <c r="N11" s="26"/>
      <c r="O11" s="26"/>
      <c r="P11" s="26"/>
      <c r="Q11" s="26"/>
      <c r="R11" s="203"/>
      <c r="S11" s="204"/>
    </row>
    <row r="12" spans="1:19">
      <c r="A12" s="49" t="str">
        <f>'1. 소켓인수검사'!A11</f>
        <v>03</v>
      </c>
      <c r="B12" s="35">
        <f>'1. 소켓인수검사'!C11</f>
        <v>250</v>
      </c>
      <c r="C12" s="35">
        <f>'1. 소켓인수검사'!D11</f>
        <v>200</v>
      </c>
      <c r="D12" s="50" t="s">
        <v>15</v>
      </c>
      <c r="E12" s="56">
        <f t="shared" si="0"/>
        <v>0.05</v>
      </c>
      <c r="F12" s="56">
        <f t="shared" si="1"/>
        <v>0.9</v>
      </c>
      <c r="G12" s="26">
        <f t="shared" ref="G12:G23" si="2">(F12+0.4)</f>
        <v>1.3</v>
      </c>
      <c r="H12" s="26">
        <v>4</v>
      </c>
      <c r="I12" s="57">
        <f t="shared" ref="I12:I22" si="3">G12*H12</f>
        <v>5.2</v>
      </c>
      <c r="J12" s="26"/>
      <c r="K12" s="26"/>
      <c r="L12" s="26"/>
      <c r="M12" s="26"/>
      <c r="N12" s="26"/>
      <c r="O12" s="26"/>
      <c r="P12" s="26"/>
      <c r="Q12" s="26"/>
      <c r="R12" s="203"/>
      <c r="S12" s="204"/>
    </row>
    <row r="13" spans="1:19">
      <c r="A13" s="49" t="str">
        <f>'1. 소켓인수검사'!A12</f>
        <v>04</v>
      </c>
      <c r="B13" s="35">
        <f>'1. 소켓인수검사'!C12</f>
        <v>250</v>
      </c>
      <c r="C13" s="35">
        <f>'1. 소켓인수검사'!D12</f>
        <v>200</v>
      </c>
      <c r="D13" s="50" t="s">
        <v>15</v>
      </c>
      <c r="E13" s="56">
        <f t="shared" si="0"/>
        <v>0.05</v>
      </c>
      <c r="F13" s="56">
        <f t="shared" si="1"/>
        <v>0.9</v>
      </c>
      <c r="G13" s="26">
        <f t="shared" si="2"/>
        <v>1.3</v>
      </c>
      <c r="H13" s="26">
        <v>4</v>
      </c>
      <c r="I13" s="57">
        <f t="shared" si="3"/>
        <v>5.2</v>
      </c>
      <c r="J13" s="26"/>
      <c r="K13" s="26"/>
      <c r="L13" s="26"/>
      <c r="M13" s="26"/>
      <c r="N13" s="26"/>
      <c r="O13" s="26"/>
      <c r="P13" s="26"/>
      <c r="Q13" s="26"/>
      <c r="R13" s="203"/>
      <c r="S13" s="204"/>
    </row>
    <row r="14" spans="1:19">
      <c r="A14" s="49" t="str">
        <f>'1. 소켓인수검사'!A13</f>
        <v>05</v>
      </c>
      <c r="B14" s="35">
        <f>'1. 소켓인수검사'!C13</f>
        <v>250</v>
      </c>
      <c r="C14" s="35">
        <f>'1. 소켓인수검사'!D13</f>
        <v>250</v>
      </c>
      <c r="D14" s="50" t="s">
        <v>15</v>
      </c>
      <c r="E14" s="56">
        <f t="shared" si="0"/>
        <v>6.25E-2</v>
      </c>
      <c r="F14" s="56">
        <f t="shared" si="1"/>
        <v>1</v>
      </c>
      <c r="G14" s="26">
        <f t="shared" si="2"/>
        <v>1.4</v>
      </c>
      <c r="H14" s="26">
        <v>4</v>
      </c>
      <c r="I14" s="57">
        <f t="shared" si="3"/>
        <v>5.6</v>
      </c>
      <c r="J14" s="26"/>
      <c r="K14" s="26"/>
      <c r="L14" s="26"/>
      <c r="M14" s="26"/>
      <c r="N14" s="26"/>
      <c r="O14" s="26"/>
      <c r="P14" s="26"/>
      <c r="Q14" s="26"/>
      <c r="R14" s="203"/>
      <c r="S14" s="204"/>
    </row>
    <row r="15" spans="1:19">
      <c r="A15" s="49" t="str">
        <f>'1. 소켓인수검사'!A14</f>
        <v>06</v>
      </c>
      <c r="B15" s="35">
        <f>'1. 소켓인수검사'!C14</f>
        <v>250</v>
      </c>
      <c r="C15" s="35">
        <f>'1. 소켓인수검사'!D14</f>
        <v>250</v>
      </c>
      <c r="D15" s="50" t="s">
        <v>15</v>
      </c>
      <c r="E15" s="56">
        <f t="shared" si="0"/>
        <v>6.25E-2</v>
      </c>
      <c r="F15" s="56">
        <f t="shared" si="1"/>
        <v>1</v>
      </c>
      <c r="G15" s="26">
        <f t="shared" si="2"/>
        <v>1.4</v>
      </c>
      <c r="H15" s="26">
        <v>4</v>
      </c>
      <c r="I15" s="57">
        <f t="shared" si="3"/>
        <v>5.6</v>
      </c>
      <c r="J15" s="26"/>
      <c r="K15" s="26"/>
      <c r="L15" s="26"/>
      <c r="M15" s="26"/>
      <c r="N15" s="26"/>
      <c r="O15" s="26"/>
      <c r="P15" s="26"/>
      <c r="Q15" s="26"/>
      <c r="R15" s="203"/>
      <c r="S15" s="204"/>
    </row>
    <row r="16" spans="1:19">
      <c r="A16" s="49" t="str">
        <f>'1. 소켓인수검사'!A15</f>
        <v>07</v>
      </c>
      <c r="B16" s="35">
        <f>'1. 소켓인수검사'!C15</f>
        <v>300</v>
      </c>
      <c r="C16" s="35">
        <f>'1. 소켓인수검사'!D15</f>
        <v>250</v>
      </c>
      <c r="D16" s="50" t="s">
        <v>15</v>
      </c>
      <c r="E16" s="56">
        <f t="shared" si="0"/>
        <v>7.4999999999999997E-2</v>
      </c>
      <c r="F16" s="56">
        <f t="shared" si="1"/>
        <v>1.1000000000000001</v>
      </c>
      <c r="G16" s="26">
        <f t="shared" si="2"/>
        <v>1.5</v>
      </c>
      <c r="H16" s="26">
        <v>4</v>
      </c>
      <c r="I16" s="57">
        <f t="shared" si="3"/>
        <v>6</v>
      </c>
      <c r="J16" s="26"/>
      <c r="K16" s="26"/>
      <c r="L16" s="26"/>
      <c r="M16" s="26"/>
      <c r="N16" s="26"/>
      <c r="O16" s="26"/>
      <c r="P16" s="26"/>
      <c r="Q16" s="26"/>
      <c r="R16" s="203"/>
      <c r="S16" s="204"/>
    </row>
    <row r="17" spans="1:19">
      <c r="A17" s="49" t="str">
        <f>'1. 소켓인수검사'!A16</f>
        <v>08</v>
      </c>
      <c r="B17" s="35">
        <f>'1. 소켓인수검사'!C16</f>
        <v>350</v>
      </c>
      <c r="C17" s="35">
        <f>'1. 소켓인수검사'!D16</f>
        <v>300</v>
      </c>
      <c r="D17" s="50" t="s">
        <v>15</v>
      </c>
      <c r="E17" s="56">
        <f t="shared" si="0"/>
        <v>0.105</v>
      </c>
      <c r="F17" s="56">
        <f t="shared" si="1"/>
        <v>1.3</v>
      </c>
      <c r="G17" s="26">
        <f t="shared" si="2"/>
        <v>1.7000000000000002</v>
      </c>
      <c r="H17" s="26">
        <v>4</v>
      </c>
      <c r="I17" s="57">
        <f t="shared" si="3"/>
        <v>6.8000000000000007</v>
      </c>
      <c r="J17" s="26"/>
      <c r="K17" s="26"/>
      <c r="L17" s="26"/>
      <c r="M17" s="26"/>
      <c r="N17" s="26"/>
      <c r="O17" s="26"/>
      <c r="P17" s="26"/>
      <c r="Q17" s="26"/>
      <c r="R17" s="203"/>
      <c r="S17" s="204"/>
    </row>
    <row r="18" spans="1:19">
      <c r="A18" s="49" t="str">
        <f>'1. 소켓인수검사'!A17</f>
        <v>09</v>
      </c>
      <c r="B18" s="35">
        <f>'1. 소켓인수검사'!C17</f>
        <v>350</v>
      </c>
      <c r="C18" s="35">
        <f>'1. 소켓인수검사'!D17</f>
        <v>300</v>
      </c>
      <c r="D18" s="50" t="s">
        <v>15</v>
      </c>
      <c r="E18" s="56">
        <f t="shared" si="0"/>
        <v>0.105</v>
      </c>
      <c r="F18" s="56">
        <f t="shared" si="1"/>
        <v>1.3</v>
      </c>
      <c r="G18" s="26">
        <f t="shared" si="2"/>
        <v>1.7000000000000002</v>
      </c>
      <c r="H18" s="26">
        <v>4</v>
      </c>
      <c r="I18" s="57">
        <f t="shared" si="3"/>
        <v>6.8000000000000007</v>
      </c>
      <c r="J18" s="26"/>
      <c r="K18" s="26"/>
      <c r="L18" s="26"/>
      <c r="M18" s="26"/>
      <c r="N18" s="26"/>
      <c r="O18" s="26"/>
      <c r="P18" s="26"/>
      <c r="Q18" s="26"/>
      <c r="R18" s="203"/>
      <c r="S18" s="204"/>
    </row>
    <row r="19" spans="1:19">
      <c r="A19" s="49" t="str">
        <f>'1. 소켓인수검사'!A18</f>
        <v>10</v>
      </c>
      <c r="B19" s="35">
        <f>'1. 소켓인수검사'!C18</f>
        <v>350</v>
      </c>
      <c r="C19" s="35">
        <f>'1. 소켓인수검사'!D18</f>
        <v>300</v>
      </c>
      <c r="D19" s="50" t="s">
        <v>15</v>
      </c>
      <c r="E19" s="56">
        <f t="shared" si="0"/>
        <v>0.105</v>
      </c>
      <c r="F19" s="56">
        <f t="shared" si="1"/>
        <v>1.3</v>
      </c>
      <c r="G19" s="26">
        <f t="shared" si="2"/>
        <v>1.7000000000000002</v>
      </c>
      <c r="H19" s="26">
        <v>4</v>
      </c>
      <c r="I19" s="57">
        <f t="shared" si="3"/>
        <v>6.8000000000000007</v>
      </c>
      <c r="J19" s="26"/>
      <c r="K19" s="26"/>
      <c r="L19" s="26"/>
      <c r="M19" s="26"/>
      <c r="N19" s="26"/>
      <c r="O19" s="26"/>
      <c r="P19" s="26"/>
      <c r="Q19" s="26"/>
      <c r="R19" s="203"/>
      <c r="S19" s="204"/>
    </row>
    <row r="20" spans="1:19">
      <c r="A20" s="49" t="str">
        <f>'1. 소켓인수검사'!A19</f>
        <v>11</v>
      </c>
      <c r="B20" s="35">
        <f>'1. 소켓인수검사'!C19</f>
        <v>600</v>
      </c>
      <c r="C20" s="35">
        <f>'1. 소켓인수검사'!D19</f>
        <v>350</v>
      </c>
      <c r="D20" s="50" t="s">
        <v>15</v>
      </c>
      <c r="E20" s="56">
        <f t="shared" si="0"/>
        <v>0.21</v>
      </c>
      <c r="F20" s="56">
        <f t="shared" si="1"/>
        <v>1.9</v>
      </c>
      <c r="G20" s="26">
        <f t="shared" si="2"/>
        <v>2.2999999999999998</v>
      </c>
      <c r="H20" s="26">
        <v>4</v>
      </c>
      <c r="I20" s="57">
        <f t="shared" si="3"/>
        <v>9.1999999999999993</v>
      </c>
      <c r="J20" s="26"/>
      <c r="K20" s="26"/>
      <c r="L20" s="26"/>
      <c r="M20" s="26"/>
      <c r="N20" s="26"/>
      <c r="O20" s="26"/>
      <c r="P20" s="26"/>
      <c r="Q20" s="26"/>
      <c r="R20" s="203"/>
      <c r="S20" s="204"/>
    </row>
    <row r="21" spans="1:19">
      <c r="A21" s="49" t="str">
        <f>'1. 소켓인수검사'!A20</f>
        <v>12</v>
      </c>
      <c r="B21" s="35">
        <f>'1. 소켓인수검사'!C20</f>
        <v>650</v>
      </c>
      <c r="C21" s="35">
        <f>'1. 소켓인수검사'!D20</f>
        <v>400</v>
      </c>
      <c r="D21" s="50" t="s">
        <v>15</v>
      </c>
      <c r="E21" s="56">
        <f t="shared" si="0"/>
        <v>0.26</v>
      </c>
      <c r="F21" s="56">
        <f t="shared" si="1"/>
        <v>2.1</v>
      </c>
      <c r="G21" s="26">
        <f t="shared" si="2"/>
        <v>2.5</v>
      </c>
      <c r="H21" s="26">
        <v>4</v>
      </c>
      <c r="I21" s="57">
        <f t="shared" si="3"/>
        <v>10</v>
      </c>
      <c r="J21" s="26"/>
      <c r="K21" s="26"/>
      <c r="L21" s="26"/>
      <c r="M21" s="26"/>
      <c r="N21" s="26"/>
      <c r="O21" s="26"/>
      <c r="P21" s="26"/>
      <c r="Q21" s="26"/>
      <c r="R21" s="203"/>
      <c r="S21" s="204"/>
    </row>
    <row r="22" spans="1:19">
      <c r="A22" s="49" t="str">
        <f>'1. 소켓인수검사'!A21</f>
        <v>13</v>
      </c>
      <c r="B22" s="35">
        <f>'1. 소켓인수검사'!C21</f>
        <v>900</v>
      </c>
      <c r="C22" s="35">
        <f>'1. 소켓인수검사'!D21</f>
        <v>500</v>
      </c>
      <c r="D22" s="50" t="s">
        <v>15</v>
      </c>
      <c r="E22" s="56">
        <f t="shared" si="0"/>
        <v>0.45</v>
      </c>
      <c r="F22" s="56">
        <f t="shared" si="1"/>
        <v>2.8</v>
      </c>
      <c r="G22" s="26">
        <f t="shared" si="2"/>
        <v>3.1999999999999997</v>
      </c>
      <c r="H22" s="26">
        <v>4</v>
      </c>
      <c r="I22" s="57">
        <f t="shared" si="3"/>
        <v>12.799999999999999</v>
      </c>
      <c r="J22" s="26"/>
      <c r="K22" s="26"/>
      <c r="L22" s="26"/>
      <c r="M22" s="26"/>
      <c r="N22" s="26"/>
      <c r="O22" s="26"/>
      <c r="P22" s="26"/>
      <c r="Q22" s="26"/>
      <c r="R22" s="203"/>
      <c r="S22" s="204"/>
    </row>
    <row r="23" spans="1:19">
      <c r="A23" s="49" t="str">
        <f>'1. 소켓인수검사'!A22</f>
        <v>14</v>
      </c>
      <c r="B23" s="35">
        <f>'1. 소켓인수검사'!C22</f>
        <v>1000</v>
      </c>
      <c r="C23" s="35">
        <f>'1. 소켓인수검사'!D22</f>
        <v>350</v>
      </c>
      <c r="D23" s="50" t="s">
        <v>15</v>
      </c>
      <c r="E23" s="56">
        <f t="shared" si="0"/>
        <v>0.35</v>
      </c>
      <c r="F23" s="56">
        <f t="shared" si="1"/>
        <v>2.7</v>
      </c>
      <c r="G23" s="26">
        <f t="shared" si="2"/>
        <v>3.1</v>
      </c>
      <c r="H23" s="26">
        <f>2*2</f>
        <v>4</v>
      </c>
      <c r="I23" s="57">
        <f>G23*H23</f>
        <v>12.4</v>
      </c>
      <c r="J23" s="26"/>
      <c r="K23" s="26"/>
      <c r="L23" s="26"/>
      <c r="M23" s="26"/>
      <c r="N23" s="26"/>
      <c r="O23" s="26"/>
      <c r="P23" s="26"/>
      <c r="Q23" s="26"/>
      <c r="R23" s="203"/>
      <c r="S23" s="204"/>
    </row>
    <row r="24" spans="1:19">
      <c r="A24" s="205" t="s">
        <v>3</v>
      </c>
      <c r="B24" s="206"/>
      <c r="C24" s="206"/>
      <c r="D24" s="206"/>
      <c r="E24" s="206"/>
      <c r="F24" s="207"/>
      <c r="G24" s="33"/>
      <c r="H24" s="43"/>
      <c r="I24" s="65">
        <f>SUM(I10:I23)</f>
        <v>102.8</v>
      </c>
      <c r="J24" s="33"/>
      <c r="K24" s="33"/>
      <c r="L24" s="65">
        <f>SUM(L10:L23)</f>
        <v>0</v>
      </c>
      <c r="M24" s="33"/>
      <c r="N24" s="33"/>
      <c r="O24" s="65">
        <f>SUM(O10:O23)</f>
        <v>0</v>
      </c>
      <c r="P24" s="33"/>
      <c r="Q24" s="33"/>
      <c r="R24" s="208">
        <f>SUM(R10:S23)</f>
        <v>0</v>
      </c>
      <c r="S24" s="209"/>
    </row>
    <row r="25" spans="1:19" ht="17.25" customHeight="1">
      <c r="A25" s="212" t="s">
        <v>13</v>
      </c>
      <c r="B25" s="213"/>
      <c r="C25" s="213"/>
      <c r="D25" s="213"/>
      <c r="E25" s="213"/>
      <c r="F25" s="214"/>
      <c r="G25" s="215">
        <f>I24/20</f>
        <v>5.14</v>
      </c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7"/>
    </row>
    <row r="26" spans="1:19">
      <c r="A26" s="212" t="s">
        <v>12</v>
      </c>
      <c r="B26" s="213"/>
      <c r="C26" s="213"/>
      <c r="D26" s="213"/>
      <c r="E26" s="213"/>
      <c r="F26" s="214"/>
      <c r="G26" s="215">
        <f>L24/3.6</f>
        <v>0</v>
      </c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7"/>
    </row>
    <row r="27" spans="1:19">
      <c r="A27" s="218" t="s">
        <v>69</v>
      </c>
      <c r="B27" s="213"/>
      <c r="C27" s="213"/>
      <c r="D27" s="213"/>
      <c r="E27" s="213"/>
      <c r="F27" s="214"/>
      <c r="G27" s="215">
        <f>O24/7.4</f>
        <v>0</v>
      </c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7"/>
    </row>
    <row r="28" spans="1:19">
      <c r="A28" s="212" t="s">
        <v>14</v>
      </c>
      <c r="B28" s="213"/>
      <c r="C28" s="213"/>
      <c r="D28" s="213"/>
      <c r="E28" s="213"/>
      <c r="F28" s="214"/>
      <c r="G28" s="215">
        <f>R24/3.6</f>
        <v>0</v>
      </c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7"/>
    </row>
    <row r="29" spans="1:19" ht="8.1" customHeight="1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</row>
    <row r="30" spans="1:19">
      <c r="A30" s="1" t="s">
        <v>45</v>
      </c>
      <c r="B30" s="1"/>
      <c r="C30" s="210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</row>
    <row r="31" spans="1:19">
      <c r="A31" s="1"/>
      <c r="B31" s="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</row>
    <row r="32" spans="1:19">
      <c r="A32" s="1"/>
      <c r="B32" s="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</row>
    <row r="33" spans="1:19">
      <c r="A33" s="1"/>
      <c r="B33" s="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</row>
  </sheetData>
  <mergeCells count="53">
    <mergeCell ref="A30:B33"/>
    <mergeCell ref="C30:S33"/>
    <mergeCell ref="A25:F25"/>
    <mergeCell ref="G25:S25"/>
    <mergeCell ref="A26:F26"/>
    <mergeCell ref="G26:S26"/>
    <mergeCell ref="A27:F27"/>
    <mergeCell ref="G27:S27"/>
    <mergeCell ref="A28:F28"/>
    <mergeCell ref="G28:S28"/>
    <mergeCell ref="A29:S29"/>
    <mergeCell ref="R20:S20"/>
    <mergeCell ref="R21:S21"/>
    <mergeCell ref="R22:S22"/>
    <mergeCell ref="R23:S23"/>
    <mergeCell ref="A24:F24"/>
    <mergeCell ref="R24:S24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8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T42" sqref="T42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75" t="s">
        <v>6</v>
      </c>
      <c r="F1" s="223" t="s">
        <v>66</v>
      </c>
      <c r="G1" s="223"/>
      <c r="H1" s="223"/>
      <c r="I1" s="223"/>
      <c r="J1" s="223"/>
      <c r="K1" s="142" t="str">
        <f>'1. 소켓인수검사'!R2</f>
        <v>26.06.29 행복산업_쌍용건설_공항시설관리(주)-반얀트리 부산</v>
      </c>
      <c r="L1" s="142"/>
      <c r="M1" s="142"/>
      <c r="N1" s="142"/>
      <c r="O1" s="142"/>
      <c r="P1" s="142"/>
      <c r="Q1" s="142"/>
      <c r="R1" s="142"/>
      <c r="S1" s="142"/>
      <c r="T1" s="142"/>
      <c r="U1" s="143"/>
    </row>
    <row r="2" spans="1:21" ht="16.5" customHeight="1">
      <c r="A2" s="1"/>
      <c r="B2" s="1"/>
      <c r="C2" s="1"/>
      <c r="D2" s="1"/>
      <c r="E2" s="74"/>
      <c r="F2" s="224"/>
      <c r="G2" s="224"/>
      <c r="H2" s="224"/>
      <c r="I2" s="224"/>
      <c r="J2" s="22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24" customHeight="1">
      <c r="A3" s="1"/>
      <c r="B3" s="1"/>
      <c r="C3" s="1"/>
      <c r="D3" s="1"/>
      <c r="E3" s="76"/>
      <c r="F3" s="225"/>
      <c r="G3" s="225"/>
      <c r="H3" s="225"/>
      <c r="I3" s="225"/>
      <c r="J3" s="225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7"/>
    </row>
    <row r="4" spans="1:21" ht="8.1" customHeight="1">
      <c r="A4" s="190"/>
      <c r="B4" s="148"/>
      <c r="C4" s="148"/>
      <c r="D4" s="148"/>
      <c r="E4" s="148"/>
      <c r="F4" s="148"/>
      <c r="G4" s="148"/>
      <c r="H4" s="190"/>
      <c r="I4" s="148"/>
      <c r="J4" s="148"/>
      <c r="K4" s="148"/>
      <c r="L4" s="148"/>
      <c r="M4" s="148"/>
      <c r="N4" s="148"/>
      <c r="O4" s="148"/>
      <c r="P4" s="148"/>
      <c r="Q4" s="3"/>
      <c r="S4" s="3"/>
      <c r="T4" s="3"/>
      <c r="U4" s="3"/>
    </row>
    <row r="5" spans="1:21" ht="16.5" customHeight="1">
      <c r="A5" s="107" t="s">
        <v>52</v>
      </c>
      <c r="B5" s="229" t="s">
        <v>35</v>
      </c>
      <c r="C5" s="199" t="s">
        <v>59</v>
      </c>
      <c r="D5" s="199" t="s">
        <v>57</v>
      </c>
      <c r="E5" s="199" t="s">
        <v>23</v>
      </c>
      <c r="F5" s="199" t="s">
        <v>47</v>
      </c>
      <c r="G5" s="199" t="s">
        <v>54</v>
      </c>
      <c r="H5" s="199" t="s">
        <v>39</v>
      </c>
      <c r="I5" s="199" t="s">
        <v>22</v>
      </c>
      <c r="J5" s="199"/>
      <c r="K5" s="199" t="s">
        <v>0</v>
      </c>
      <c r="L5" s="199"/>
      <c r="M5" s="199" t="s">
        <v>0</v>
      </c>
      <c r="N5" s="199"/>
      <c r="O5" s="199" t="s">
        <v>0</v>
      </c>
      <c r="P5" s="199"/>
      <c r="Q5" s="231" t="s">
        <v>46</v>
      </c>
      <c r="R5" s="231"/>
      <c r="S5" s="232" t="s">
        <v>29</v>
      </c>
      <c r="T5" s="232" t="s">
        <v>51</v>
      </c>
      <c r="U5" s="219" t="s">
        <v>17</v>
      </c>
    </row>
    <row r="6" spans="1:21" ht="26.45" customHeight="1">
      <c r="A6" s="198"/>
      <c r="B6" s="230"/>
      <c r="C6" s="200"/>
      <c r="D6" s="200"/>
      <c r="E6" s="200"/>
      <c r="F6" s="200"/>
      <c r="G6" s="200"/>
      <c r="H6" s="200"/>
      <c r="I6" s="61" t="s">
        <v>7</v>
      </c>
      <c r="J6" s="34" t="s">
        <v>50</v>
      </c>
      <c r="K6" s="61" t="s">
        <v>67</v>
      </c>
      <c r="L6" s="34" t="s">
        <v>50</v>
      </c>
      <c r="M6" s="61" t="s">
        <v>34</v>
      </c>
      <c r="N6" s="34" t="s">
        <v>50</v>
      </c>
      <c r="O6" s="61" t="s">
        <v>36</v>
      </c>
      <c r="P6" s="34" t="s">
        <v>50</v>
      </c>
      <c r="Q6" s="61" t="s">
        <v>48</v>
      </c>
      <c r="R6" s="34" t="s">
        <v>60</v>
      </c>
      <c r="S6" s="233"/>
      <c r="T6" s="233"/>
      <c r="U6" s="220"/>
    </row>
    <row r="7" spans="1:21">
      <c r="A7" s="49" t="str">
        <f>'1. 소켓인수검사'!A9</f>
        <v>01</v>
      </c>
      <c r="B7" s="62" t="s">
        <v>41</v>
      </c>
      <c r="C7" s="35">
        <f>'1. 소켓인수검사'!C9</f>
        <v>250</v>
      </c>
      <c r="D7" s="35">
        <f>'1. 소켓인수검사'!D9</f>
        <v>200</v>
      </c>
      <c r="E7" s="36"/>
      <c r="F7" s="37">
        <f>C7*D7/1000000</f>
        <v>0.05</v>
      </c>
      <c r="G7" s="37">
        <f>(C7+D7)*2/1000</f>
        <v>0.9</v>
      </c>
      <c r="H7" s="42">
        <v>1</v>
      </c>
      <c r="I7" s="61">
        <f>(G7+0.4)</f>
        <v>1.3</v>
      </c>
      <c r="J7" s="34">
        <v>4</v>
      </c>
      <c r="K7" s="26"/>
      <c r="L7" s="34"/>
      <c r="M7" s="26"/>
      <c r="N7" s="34"/>
      <c r="O7" s="26"/>
      <c r="P7" s="34"/>
      <c r="Q7" s="38">
        <f>(((C7+60)+250+(D7+60))*2/1000)*2</f>
        <v>3.28</v>
      </c>
      <c r="R7" s="93">
        <f>Q7</f>
        <v>3.28</v>
      </c>
      <c r="S7" s="39" t="s">
        <v>8</v>
      </c>
      <c r="T7" s="40" t="s">
        <v>11</v>
      </c>
      <c r="U7" s="41" t="str">
        <f>'1. 소켓인수검사'!G9</f>
        <v>지하3층 환기덕트</v>
      </c>
    </row>
    <row r="8" spans="1:21">
      <c r="A8" s="49" t="str">
        <f>'1. 소켓인수검사'!A10</f>
        <v>02</v>
      </c>
      <c r="B8" s="62" t="s">
        <v>40</v>
      </c>
      <c r="C8" s="35">
        <f>'1. 소켓인수검사'!C10</f>
        <v>250</v>
      </c>
      <c r="D8" s="35">
        <f>'1. 소켓인수검사'!D10</f>
        <v>200</v>
      </c>
      <c r="E8" s="36"/>
      <c r="F8" s="37">
        <f t="shared" ref="F8:F9" si="0">C8*D8/1000000</f>
        <v>0.05</v>
      </c>
      <c r="G8" s="37">
        <f t="shared" ref="G8:G9" si="1">(C8+D8)*2/1000</f>
        <v>0.9</v>
      </c>
      <c r="H8" s="42">
        <v>1</v>
      </c>
      <c r="I8" s="61">
        <f>(G8+0.4)</f>
        <v>1.3</v>
      </c>
      <c r="J8" s="34">
        <v>4</v>
      </c>
      <c r="K8" s="26"/>
      <c r="L8" s="34"/>
      <c r="M8" s="26"/>
      <c r="N8" s="34"/>
      <c r="O8" s="26"/>
      <c r="P8" s="34"/>
      <c r="Q8" s="38">
        <f t="shared" ref="Q8:Q20" si="2">(((C8+60)+250+(D8+60))*2/1000)*2</f>
        <v>3.28</v>
      </c>
      <c r="R8" s="93">
        <f>Q8</f>
        <v>3.28</v>
      </c>
      <c r="S8" s="39" t="s">
        <v>8</v>
      </c>
      <c r="T8" s="40" t="s">
        <v>11</v>
      </c>
      <c r="U8" s="41" t="str">
        <f>'1. 소켓인수검사'!G10</f>
        <v>지하3층 공조덕트</v>
      </c>
    </row>
    <row r="9" spans="1:21">
      <c r="A9" s="49" t="str">
        <f>'1. 소켓인수검사'!A11</f>
        <v>03</v>
      </c>
      <c r="B9" s="62" t="s">
        <v>38</v>
      </c>
      <c r="C9" s="35">
        <f>'1. 소켓인수검사'!C11</f>
        <v>250</v>
      </c>
      <c r="D9" s="35">
        <f>'1. 소켓인수검사'!D11</f>
        <v>200</v>
      </c>
      <c r="E9" s="36"/>
      <c r="F9" s="37">
        <f t="shared" si="0"/>
        <v>0.05</v>
      </c>
      <c r="G9" s="37">
        <f t="shared" si="1"/>
        <v>0.9</v>
      </c>
      <c r="H9" s="42">
        <v>1</v>
      </c>
      <c r="I9" s="61">
        <f>(G9+0.4)</f>
        <v>1.3</v>
      </c>
      <c r="J9" s="34">
        <v>4</v>
      </c>
      <c r="K9" s="26"/>
      <c r="L9" s="34"/>
      <c r="M9" s="26"/>
      <c r="N9" s="34"/>
      <c r="O9" s="26"/>
      <c r="P9" s="34"/>
      <c r="Q9" s="38">
        <f t="shared" si="2"/>
        <v>3.28</v>
      </c>
      <c r="R9" s="93">
        <f>Q9</f>
        <v>3.28</v>
      </c>
      <c r="S9" s="39" t="s">
        <v>8</v>
      </c>
      <c r="T9" s="40" t="s">
        <v>11</v>
      </c>
      <c r="U9" s="41" t="str">
        <f>'1. 소켓인수검사'!G11</f>
        <v>지하3층 공조덕트</v>
      </c>
    </row>
    <row r="10" spans="1:21">
      <c r="A10" s="49" t="str">
        <f>'1. 소켓인수검사'!A12</f>
        <v>04</v>
      </c>
      <c r="B10" s="62" t="s">
        <v>38</v>
      </c>
      <c r="C10" s="35">
        <f>'1. 소켓인수검사'!C12</f>
        <v>250</v>
      </c>
      <c r="D10" s="35">
        <f>'1. 소켓인수검사'!D12</f>
        <v>200</v>
      </c>
      <c r="E10" s="36"/>
      <c r="F10" s="37">
        <f t="shared" ref="F10:F20" si="3">C10*D10/1000000</f>
        <v>0.05</v>
      </c>
      <c r="G10" s="37">
        <f t="shared" ref="G10:G20" si="4">(C10+D10)*2/1000</f>
        <v>0.9</v>
      </c>
      <c r="H10" s="42">
        <v>1</v>
      </c>
      <c r="I10" s="61">
        <f t="shared" ref="I10:I20" si="5">(G10+0.4)</f>
        <v>1.3</v>
      </c>
      <c r="J10" s="34">
        <v>4</v>
      </c>
      <c r="K10" s="26"/>
      <c r="L10" s="34"/>
      <c r="M10" s="26"/>
      <c r="N10" s="34"/>
      <c r="O10" s="26"/>
      <c r="P10" s="34"/>
      <c r="Q10" s="38">
        <f t="shared" si="2"/>
        <v>3.28</v>
      </c>
      <c r="R10" s="93">
        <f t="shared" ref="R10:R20" si="6">Q10</f>
        <v>3.28</v>
      </c>
      <c r="S10" s="39" t="s">
        <v>8</v>
      </c>
      <c r="T10" s="40" t="s">
        <v>11</v>
      </c>
      <c r="U10" s="41" t="str">
        <f>'1. 소켓인수검사'!G12</f>
        <v>지하3층 공조덕트</v>
      </c>
    </row>
    <row r="11" spans="1:21">
      <c r="A11" s="49" t="str">
        <f>'1. 소켓인수검사'!A13</f>
        <v>05</v>
      </c>
      <c r="B11" s="62" t="s">
        <v>38</v>
      </c>
      <c r="C11" s="35">
        <f>'1. 소켓인수검사'!C13</f>
        <v>250</v>
      </c>
      <c r="D11" s="35">
        <f>'1. 소켓인수검사'!D13</f>
        <v>250</v>
      </c>
      <c r="E11" s="36"/>
      <c r="F11" s="37">
        <f t="shared" si="3"/>
        <v>6.25E-2</v>
      </c>
      <c r="G11" s="37">
        <f t="shared" si="4"/>
        <v>1</v>
      </c>
      <c r="H11" s="42">
        <v>1</v>
      </c>
      <c r="I11" s="61">
        <f t="shared" si="5"/>
        <v>1.4</v>
      </c>
      <c r="J11" s="34">
        <v>4</v>
      </c>
      <c r="K11" s="26"/>
      <c r="L11" s="34"/>
      <c r="M11" s="26"/>
      <c r="N11" s="34"/>
      <c r="O11" s="26"/>
      <c r="P11" s="34"/>
      <c r="Q11" s="38">
        <f t="shared" si="2"/>
        <v>3.48</v>
      </c>
      <c r="R11" s="93">
        <f t="shared" si="6"/>
        <v>3.48</v>
      </c>
      <c r="S11" s="39" t="s">
        <v>8</v>
      </c>
      <c r="T11" s="40" t="s">
        <v>11</v>
      </c>
      <c r="U11" s="41" t="str">
        <f>'1. 소켓인수검사'!G13</f>
        <v>지하3층 공조덕트</v>
      </c>
    </row>
    <row r="12" spans="1:21">
      <c r="A12" s="49" t="str">
        <f>'1. 소켓인수검사'!A14</f>
        <v>06</v>
      </c>
      <c r="B12" s="62" t="s">
        <v>38</v>
      </c>
      <c r="C12" s="35">
        <f>'1. 소켓인수검사'!C14</f>
        <v>250</v>
      </c>
      <c r="D12" s="35">
        <f>'1. 소켓인수검사'!D14</f>
        <v>250</v>
      </c>
      <c r="E12" s="36"/>
      <c r="F12" s="37">
        <f t="shared" si="3"/>
        <v>6.25E-2</v>
      </c>
      <c r="G12" s="37">
        <f t="shared" si="4"/>
        <v>1</v>
      </c>
      <c r="H12" s="42">
        <v>1</v>
      </c>
      <c r="I12" s="61">
        <f t="shared" si="5"/>
        <v>1.4</v>
      </c>
      <c r="J12" s="34">
        <v>4</v>
      </c>
      <c r="K12" s="26"/>
      <c r="L12" s="34"/>
      <c r="M12" s="26"/>
      <c r="N12" s="34"/>
      <c r="O12" s="26"/>
      <c r="P12" s="34"/>
      <c r="Q12" s="38">
        <f t="shared" si="2"/>
        <v>3.48</v>
      </c>
      <c r="R12" s="93">
        <f t="shared" si="6"/>
        <v>3.48</v>
      </c>
      <c r="S12" s="39" t="s">
        <v>8</v>
      </c>
      <c r="T12" s="40" t="s">
        <v>11</v>
      </c>
      <c r="U12" s="41" t="str">
        <f>'1. 소켓인수검사'!G14</f>
        <v>지하3층 공조덕트</v>
      </c>
    </row>
    <row r="13" spans="1:21">
      <c r="A13" s="49" t="str">
        <f>'1. 소켓인수검사'!A15</f>
        <v>07</v>
      </c>
      <c r="B13" s="62" t="s">
        <v>38</v>
      </c>
      <c r="C13" s="35">
        <f>'1. 소켓인수검사'!C15</f>
        <v>300</v>
      </c>
      <c r="D13" s="35">
        <f>'1. 소켓인수검사'!D15</f>
        <v>250</v>
      </c>
      <c r="E13" s="36"/>
      <c r="F13" s="37">
        <f t="shared" si="3"/>
        <v>7.4999999999999997E-2</v>
      </c>
      <c r="G13" s="37">
        <f t="shared" si="4"/>
        <v>1.1000000000000001</v>
      </c>
      <c r="H13" s="42">
        <v>1</v>
      </c>
      <c r="I13" s="61">
        <f t="shared" si="5"/>
        <v>1.5</v>
      </c>
      <c r="J13" s="34">
        <v>4</v>
      </c>
      <c r="K13" s="26"/>
      <c r="L13" s="34"/>
      <c r="M13" s="26"/>
      <c r="N13" s="34"/>
      <c r="O13" s="26"/>
      <c r="P13" s="34"/>
      <c r="Q13" s="38">
        <f t="shared" si="2"/>
        <v>3.68</v>
      </c>
      <c r="R13" s="93">
        <f t="shared" si="6"/>
        <v>3.68</v>
      </c>
      <c r="S13" s="39" t="s">
        <v>8</v>
      </c>
      <c r="T13" s="40" t="s">
        <v>11</v>
      </c>
      <c r="U13" s="41" t="str">
        <f>'1. 소켓인수검사'!G15</f>
        <v>지하3층 환기덕트</v>
      </c>
    </row>
    <row r="14" spans="1:21">
      <c r="A14" s="49" t="str">
        <f>'1. 소켓인수검사'!A16</f>
        <v>08</v>
      </c>
      <c r="B14" s="62" t="s">
        <v>38</v>
      </c>
      <c r="C14" s="35">
        <f>'1. 소켓인수검사'!C16</f>
        <v>350</v>
      </c>
      <c r="D14" s="35">
        <f>'1. 소켓인수검사'!D16</f>
        <v>300</v>
      </c>
      <c r="E14" s="36"/>
      <c r="F14" s="37">
        <f t="shared" si="3"/>
        <v>0.105</v>
      </c>
      <c r="G14" s="37">
        <f t="shared" si="4"/>
        <v>1.3</v>
      </c>
      <c r="H14" s="42">
        <v>1</v>
      </c>
      <c r="I14" s="61">
        <f t="shared" si="5"/>
        <v>1.7000000000000002</v>
      </c>
      <c r="J14" s="34">
        <v>4</v>
      </c>
      <c r="K14" s="26"/>
      <c r="L14" s="34"/>
      <c r="M14" s="26"/>
      <c r="N14" s="34"/>
      <c r="O14" s="26"/>
      <c r="P14" s="34"/>
      <c r="Q14" s="38">
        <f t="shared" si="2"/>
        <v>4.08</v>
      </c>
      <c r="R14" s="93">
        <f t="shared" si="6"/>
        <v>4.08</v>
      </c>
      <c r="S14" s="39" t="s">
        <v>8</v>
      </c>
      <c r="T14" s="40" t="s">
        <v>11</v>
      </c>
      <c r="U14" s="41" t="str">
        <f>'1. 소켓인수검사'!G16</f>
        <v>지하3층 공조덕트</v>
      </c>
    </row>
    <row r="15" spans="1:21">
      <c r="A15" s="49" t="str">
        <f>'1. 소켓인수검사'!A17</f>
        <v>09</v>
      </c>
      <c r="B15" s="62" t="s">
        <v>38</v>
      </c>
      <c r="C15" s="35">
        <f>'1. 소켓인수검사'!C17</f>
        <v>350</v>
      </c>
      <c r="D15" s="35">
        <f>'1. 소켓인수검사'!D17</f>
        <v>300</v>
      </c>
      <c r="E15" s="36"/>
      <c r="F15" s="37">
        <f t="shared" si="3"/>
        <v>0.105</v>
      </c>
      <c r="G15" s="37">
        <f t="shared" si="4"/>
        <v>1.3</v>
      </c>
      <c r="H15" s="42">
        <v>1</v>
      </c>
      <c r="I15" s="61">
        <f t="shared" si="5"/>
        <v>1.7000000000000002</v>
      </c>
      <c r="J15" s="34">
        <v>4</v>
      </c>
      <c r="K15" s="26"/>
      <c r="L15" s="34"/>
      <c r="M15" s="26"/>
      <c r="N15" s="34"/>
      <c r="O15" s="26"/>
      <c r="P15" s="34"/>
      <c r="Q15" s="38">
        <f t="shared" si="2"/>
        <v>4.08</v>
      </c>
      <c r="R15" s="93">
        <f t="shared" si="6"/>
        <v>4.08</v>
      </c>
      <c r="S15" s="39" t="s">
        <v>8</v>
      </c>
      <c r="T15" s="40" t="s">
        <v>11</v>
      </c>
      <c r="U15" s="41" t="str">
        <f>'1. 소켓인수검사'!G17</f>
        <v>지하3층 공조덕트</v>
      </c>
    </row>
    <row r="16" spans="1:21">
      <c r="A16" s="49" t="str">
        <f>'1. 소켓인수검사'!A18</f>
        <v>10</v>
      </c>
      <c r="B16" s="62" t="s">
        <v>38</v>
      </c>
      <c r="C16" s="35">
        <f>'1. 소켓인수검사'!C18</f>
        <v>350</v>
      </c>
      <c r="D16" s="35">
        <f>'1. 소켓인수검사'!D18</f>
        <v>300</v>
      </c>
      <c r="E16" s="36"/>
      <c r="F16" s="37">
        <f t="shared" si="3"/>
        <v>0.105</v>
      </c>
      <c r="G16" s="37">
        <f t="shared" si="4"/>
        <v>1.3</v>
      </c>
      <c r="H16" s="42">
        <v>1</v>
      </c>
      <c r="I16" s="61">
        <f t="shared" si="5"/>
        <v>1.7000000000000002</v>
      </c>
      <c r="J16" s="34">
        <v>4</v>
      </c>
      <c r="K16" s="26"/>
      <c r="L16" s="34"/>
      <c r="M16" s="26"/>
      <c r="N16" s="34"/>
      <c r="O16" s="26"/>
      <c r="P16" s="34"/>
      <c r="Q16" s="38">
        <f t="shared" si="2"/>
        <v>4.08</v>
      </c>
      <c r="R16" s="93">
        <f t="shared" si="6"/>
        <v>4.08</v>
      </c>
      <c r="S16" s="39" t="s">
        <v>8</v>
      </c>
      <c r="T16" s="40" t="s">
        <v>11</v>
      </c>
      <c r="U16" s="41" t="str">
        <f>'1. 소켓인수검사'!G18</f>
        <v>옥탑층 버티고 환기덕트</v>
      </c>
    </row>
    <row r="17" spans="1:21">
      <c r="A17" s="49" t="str">
        <f>'1. 소켓인수검사'!A19</f>
        <v>11</v>
      </c>
      <c r="B17" s="62" t="s">
        <v>38</v>
      </c>
      <c r="C17" s="35">
        <f>'1. 소켓인수검사'!C19</f>
        <v>600</v>
      </c>
      <c r="D17" s="35">
        <f>'1. 소켓인수검사'!D19</f>
        <v>350</v>
      </c>
      <c r="E17" s="36"/>
      <c r="F17" s="37">
        <f t="shared" si="3"/>
        <v>0.21</v>
      </c>
      <c r="G17" s="37">
        <f t="shared" si="4"/>
        <v>1.9</v>
      </c>
      <c r="H17" s="42">
        <v>1</v>
      </c>
      <c r="I17" s="61">
        <f t="shared" si="5"/>
        <v>2.2999999999999998</v>
      </c>
      <c r="J17" s="34">
        <v>4</v>
      </c>
      <c r="K17" s="26"/>
      <c r="L17" s="34"/>
      <c r="M17" s="26"/>
      <c r="N17" s="34"/>
      <c r="O17" s="26"/>
      <c r="P17" s="34"/>
      <c r="Q17" s="38">
        <f t="shared" si="2"/>
        <v>5.28</v>
      </c>
      <c r="R17" s="93">
        <f t="shared" si="6"/>
        <v>5.28</v>
      </c>
      <c r="S17" s="39" t="s">
        <v>8</v>
      </c>
      <c r="T17" s="40" t="s">
        <v>11</v>
      </c>
      <c r="U17" s="41" t="str">
        <f>'1. 소켓인수검사'!G19</f>
        <v>옥탑층 버티고 주방급기</v>
      </c>
    </row>
    <row r="18" spans="1:21">
      <c r="A18" s="49" t="str">
        <f>'1. 소켓인수검사'!A20</f>
        <v>12</v>
      </c>
      <c r="B18" s="62" t="s">
        <v>38</v>
      </c>
      <c r="C18" s="35">
        <f>'1. 소켓인수검사'!C20</f>
        <v>650</v>
      </c>
      <c r="D18" s="35">
        <f>'1. 소켓인수검사'!D20</f>
        <v>400</v>
      </c>
      <c r="E18" s="36"/>
      <c r="F18" s="37">
        <f t="shared" si="3"/>
        <v>0.26</v>
      </c>
      <c r="G18" s="37">
        <f t="shared" si="4"/>
        <v>2.1</v>
      </c>
      <c r="H18" s="42">
        <v>1</v>
      </c>
      <c r="I18" s="61">
        <f t="shared" si="5"/>
        <v>2.5</v>
      </c>
      <c r="J18" s="34">
        <v>4</v>
      </c>
      <c r="K18" s="26"/>
      <c r="L18" s="34"/>
      <c r="M18" s="26"/>
      <c r="N18" s="34"/>
      <c r="O18" s="26"/>
      <c r="P18" s="34"/>
      <c r="Q18" s="38">
        <f t="shared" si="2"/>
        <v>5.68</v>
      </c>
      <c r="R18" s="93">
        <f t="shared" si="6"/>
        <v>5.68</v>
      </c>
      <c r="S18" s="39" t="s">
        <v>8</v>
      </c>
      <c r="T18" s="40" t="s">
        <v>11</v>
      </c>
      <c r="U18" s="41" t="str">
        <f>'1. 소켓인수검사'!G20</f>
        <v>11층 환기덕트</v>
      </c>
    </row>
    <row r="19" spans="1:21">
      <c r="A19" s="49" t="str">
        <f>'1. 소켓인수검사'!A21</f>
        <v>13</v>
      </c>
      <c r="B19" s="62" t="s">
        <v>38</v>
      </c>
      <c r="C19" s="35">
        <f>'1. 소켓인수검사'!C21</f>
        <v>900</v>
      </c>
      <c r="D19" s="35">
        <f>'1. 소켓인수검사'!D21</f>
        <v>500</v>
      </c>
      <c r="E19" s="36"/>
      <c r="F19" s="37">
        <f t="shared" si="3"/>
        <v>0.45</v>
      </c>
      <c r="G19" s="37">
        <f t="shared" si="4"/>
        <v>2.8</v>
      </c>
      <c r="H19" s="42">
        <v>1</v>
      </c>
      <c r="I19" s="61">
        <f t="shared" si="5"/>
        <v>3.1999999999999997</v>
      </c>
      <c r="J19" s="34">
        <v>4</v>
      </c>
      <c r="K19" s="26"/>
      <c r="L19" s="34"/>
      <c r="M19" s="26"/>
      <c r="N19" s="34"/>
      <c r="O19" s="26"/>
      <c r="P19" s="34"/>
      <c r="Q19" s="38">
        <f t="shared" si="2"/>
        <v>7.08</v>
      </c>
      <c r="R19" s="93">
        <f t="shared" si="6"/>
        <v>7.08</v>
      </c>
      <c r="S19" s="39" t="s">
        <v>8</v>
      </c>
      <c r="T19" s="40" t="s">
        <v>11</v>
      </c>
      <c r="U19" s="41" t="str">
        <f>'1. 소켓인수검사'!G21</f>
        <v>지하3층 환기덕트</v>
      </c>
    </row>
    <row r="20" spans="1:21">
      <c r="A20" s="49" t="str">
        <f>'1. 소켓인수검사'!A22</f>
        <v>14</v>
      </c>
      <c r="B20" s="62" t="s">
        <v>38</v>
      </c>
      <c r="C20" s="35">
        <f>'1. 소켓인수검사'!C22</f>
        <v>1000</v>
      </c>
      <c r="D20" s="35">
        <f>'1. 소켓인수검사'!D22</f>
        <v>350</v>
      </c>
      <c r="E20" s="36"/>
      <c r="F20" s="37">
        <f t="shared" si="3"/>
        <v>0.35</v>
      </c>
      <c r="G20" s="37">
        <f t="shared" si="4"/>
        <v>2.7</v>
      </c>
      <c r="H20" s="42">
        <v>1</v>
      </c>
      <c r="I20" s="61">
        <f t="shared" si="5"/>
        <v>3.1</v>
      </c>
      <c r="J20" s="34">
        <v>4</v>
      </c>
      <c r="K20" s="26"/>
      <c r="L20" s="34"/>
      <c r="M20" s="26"/>
      <c r="N20" s="34"/>
      <c r="O20" s="26"/>
      <c r="P20" s="34"/>
      <c r="Q20" s="38">
        <f t="shared" si="2"/>
        <v>6.88</v>
      </c>
      <c r="R20" s="93">
        <f t="shared" si="6"/>
        <v>6.88</v>
      </c>
      <c r="S20" s="39" t="s">
        <v>8</v>
      </c>
      <c r="T20" s="40" t="s">
        <v>11</v>
      </c>
      <c r="U20" s="41" t="str">
        <f>'1. 소켓인수검사'!G22</f>
        <v>옥탑층 버티고 주방배기</v>
      </c>
    </row>
    <row r="21" spans="1:21">
      <c r="A21" s="221" t="s">
        <v>5</v>
      </c>
      <c r="B21" s="222"/>
      <c r="C21" s="222"/>
      <c r="D21" s="60"/>
      <c r="E21" s="45"/>
      <c r="F21" s="45"/>
      <c r="G21" s="45"/>
      <c r="H21" s="44">
        <f>SUM(H7:H20)</f>
        <v>14</v>
      </c>
      <c r="I21" s="66"/>
      <c r="J21" s="44">
        <f>SUM(J7:J20)</f>
        <v>56</v>
      </c>
      <c r="K21" s="66"/>
      <c r="L21" s="44">
        <f>SUM(L7:L20)</f>
        <v>0</v>
      </c>
      <c r="M21" s="66"/>
      <c r="N21" s="44">
        <f>SUM(N7:N20)</f>
        <v>0</v>
      </c>
      <c r="O21" s="66"/>
      <c r="P21" s="44">
        <f>SUM(P7:P20)</f>
        <v>0</v>
      </c>
      <c r="Q21" s="66">
        <f>SUM(Q7:Q20)</f>
        <v>60.919999999999995</v>
      </c>
      <c r="R21" s="44">
        <f>SUM(R7:R20)</f>
        <v>60.919999999999995</v>
      </c>
      <c r="S21" s="63"/>
      <c r="T21" s="63"/>
      <c r="U21" s="64"/>
    </row>
    <row r="22" spans="1:21" ht="8.1" customHeight="1">
      <c r="A22" s="227"/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4"/>
    </row>
    <row r="23" spans="1:21">
      <c r="A23" s="1" t="s">
        <v>45</v>
      </c>
      <c r="B23" s="1"/>
      <c r="C23" s="1"/>
      <c r="D23" s="187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9"/>
    </row>
    <row r="24" spans="1:21">
      <c r="A24" s="1"/>
      <c r="B24" s="1"/>
      <c r="C24" s="1"/>
      <c r="D24" s="226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8"/>
    </row>
    <row r="25" spans="1:21">
      <c r="A25" s="1"/>
      <c r="B25" s="1"/>
      <c r="C25" s="1"/>
      <c r="D25" s="226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8"/>
    </row>
    <row r="26" spans="1:21">
      <c r="A26" s="1"/>
      <c r="B26" s="1"/>
      <c r="C26" s="1"/>
      <c r="D26" s="226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8"/>
    </row>
    <row r="27" spans="1:21">
      <c r="A27" s="1"/>
      <c r="B27" s="1"/>
      <c r="C27" s="1"/>
      <c r="D27" s="226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8"/>
    </row>
    <row r="28" spans="1:21">
      <c r="A28" s="1"/>
      <c r="B28" s="1"/>
      <c r="C28" s="1"/>
      <c r="D28" s="190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91"/>
    </row>
  </sheetData>
  <mergeCells count="24">
    <mergeCell ref="A22:P22"/>
    <mergeCell ref="A23:C28"/>
    <mergeCell ref="Q5:R5"/>
    <mergeCell ref="S5:S6"/>
    <mergeCell ref="T5:T6"/>
    <mergeCell ref="K5:L5"/>
    <mergeCell ref="O5:P5"/>
    <mergeCell ref="M5:N5"/>
    <mergeCell ref="U5:U6"/>
    <mergeCell ref="A21:C21"/>
    <mergeCell ref="F1:J3"/>
    <mergeCell ref="K1:U3"/>
    <mergeCell ref="D23:U28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7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2026-06-30T09:56:44Z</cp:lastPrinted>
  <dcterms:created xsi:type="dcterms:W3CDTF">2025-03-13T00:09:10Z</dcterms:created>
  <dcterms:modified xsi:type="dcterms:W3CDTF">2026-06-30T10:01:22Z</dcterms:modified>
  <cp:version>1200.0100.01</cp:version>
</cp:coreProperties>
</file>