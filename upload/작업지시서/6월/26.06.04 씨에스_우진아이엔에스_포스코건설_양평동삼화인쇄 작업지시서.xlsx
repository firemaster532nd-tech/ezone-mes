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B10EAF84-C4A5-42CF-9AB6-8A38B42DE2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</sheets>
  <definedNames>
    <definedName name="_xlnm.Print_Area" localSheetId="0">'1. 소켓인수검사'!$A$1:$P$53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10" l="1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8" i="10"/>
  <c r="R7" i="10"/>
  <c r="H1" i="12" l="1"/>
  <c r="D52" i="12"/>
  <c r="I52" i="12" s="1"/>
  <c r="C52" i="12"/>
  <c r="G52" i="12" s="1"/>
  <c r="D51" i="12"/>
  <c r="I51" i="12" s="1"/>
  <c r="C51" i="12"/>
  <c r="D50" i="12"/>
  <c r="M50" i="12" s="1"/>
  <c r="C50" i="12"/>
  <c r="K50" i="12" s="1"/>
  <c r="D49" i="12"/>
  <c r="C49" i="12"/>
  <c r="G49" i="12" s="1"/>
  <c r="D48" i="12"/>
  <c r="I48" i="12" s="1"/>
  <c r="C48" i="12"/>
  <c r="G48" i="12" s="1"/>
  <c r="D47" i="12"/>
  <c r="M47" i="12" s="1"/>
  <c r="C47" i="12"/>
  <c r="G47" i="12" s="1"/>
  <c r="D46" i="12"/>
  <c r="I46" i="12" s="1"/>
  <c r="C46" i="12"/>
  <c r="K46" i="12" s="1"/>
  <c r="D45" i="12"/>
  <c r="M45" i="12" s="1"/>
  <c r="C45" i="12"/>
  <c r="G45" i="12" s="1"/>
  <c r="D44" i="12"/>
  <c r="I44" i="12" s="1"/>
  <c r="C44" i="12"/>
  <c r="D43" i="12"/>
  <c r="M43" i="12" s="1"/>
  <c r="C43" i="12"/>
  <c r="K43" i="12" s="1"/>
  <c r="D42" i="12"/>
  <c r="I42" i="12" s="1"/>
  <c r="C42" i="12"/>
  <c r="G42" i="12" s="1"/>
  <c r="D41" i="12"/>
  <c r="M41" i="12" s="1"/>
  <c r="C41" i="12"/>
  <c r="K41" i="12" s="1"/>
  <c r="D40" i="12"/>
  <c r="M40" i="12" s="1"/>
  <c r="C40" i="12"/>
  <c r="D39" i="12"/>
  <c r="I39" i="12" s="1"/>
  <c r="C39" i="12"/>
  <c r="K39" i="12" s="1"/>
  <c r="D38" i="12"/>
  <c r="M38" i="12" s="1"/>
  <c r="C38" i="12"/>
  <c r="K38" i="12" s="1"/>
  <c r="D37" i="12"/>
  <c r="M37" i="12" s="1"/>
  <c r="C37" i="12"/>
  <c r="G37" i="12" s="1"/>
  <c r="D36" i="12"/>
  <c r="I36" i="12" s="1"/>
  <c r="C36" i="12"/>
  <c r="D35" i="12"/>
  <c r="I35" i="12" s="1"/>
  <c r="C35" i="12"/>
  <c r="K35" i="12" s="1"/>
  <c r="D34" i="12"/>
  <c r="M34" i="12" s="1"/>
  <c r="C34" i="12"/>
  <c r="K34" i="12" s="1"/>
  <c r="D33" i="12"/>
  <c r="I33" i="12" s="1"/>
  <c r="C33" i="12"/>
  <c r="K33" i="12" s="1"/>
  <c r="D32" i="12"/>
  <c r="I32" i="12" s="1"/>
  <c r="C32" i="12"/>
  <c r="D31" i="12"/>
  <c r="M31" i="12" s="1"/>
  <c r="C31" i="12"/>
  <c r="K31" i="12" s="1"/>
  <c r="D30" i="12"/>
  <c r="I30" i="12" s="1"/>
  <c r="C30" i="12"/>
  <c r="G30" i="12" s="1"/>
  <c r="D29" i="12"/>
  <c r="M29" i="12" s="1"/>
  <c r="C29" i="12"/>
  <c r="G29" i="12" s="1"/>
  <c r="D28" i="12"/>
  <c r="M28" i="12" s="1"/>
  <c r="C28" i="12"/>
  <c r="D27" i="12"/>
  <c r="M27" i="12" s="1"/>
  <c r="C27" i="12"/>
  <c r="K27" i="12" s="1"/>
  <c r="D26" i="12"/>
  <c r="I26" i="12" s="1"/>
  <c r="C26" i="12"/>
  <c r="G26" i="12" s="1"/>
  <c r="D25" i="12"/>
  <c r="M25" i="12" s="1"/>
  <c r="C25" i="12"/>
  <c r="G25" i="12" s="1"/>
  <c r="D24" i="12"/>
  <c r="C24" i="12"/>
  <c r="D23" i="12"/>
  <c r="I23" i="12" s="1"/>
  <c r="C23" i="12"/>
  <c r="K23" i="12" s="1"/>
  <c r="D22" i="12"/>
  <c r="I22" i="12" s="1"/>
  <c r="C22" i="12"/>
  <c r="K22" i="12" s="1"/>
  <c r="D21" i="12"/>
  <c r="M21" i="12" s="1"/>
  <c r="C21" i="12"/>
  <c r="K21" i="12" s="1"/>
  <c r="D20" i="12"/>
  <c r="M20" i="12" s="1"/>
  <c r="C20" i="12"/>
  <c r="D19" i="12"/>
  <c r="M19" i="12" s="1"/>
  <c r="C19" i="12"/>
  <c r="K19" i="12" s="1"/>
  <c r="D18" i="12"/>
  <c r="C18" i="12"/>
  <c r="G18" i="12" s="1"/>
  <c r="D17" i="12"/>
  <c r="I17" i="12" s="1"/>
  <c r="C17" i="12"/>
  <c r="K17" i="12" s="1"/>
  <c r="D16" i="12"/>
  <c r="I16" i="12" s="1"/>
  <c r="C16" i="12"/>
  <c r="D15" i="12"/>
  <c r="M15" i="12" s="1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M12" i="12" s="1"/>
  <c r="C12" i="12"/>
  <c r="D11" i="12"/>
  <c r="M11" i="12" s="1"/>
  <c r="C11" i="12"/>
  <c r="G11" i="12" s="1"/>
  <c r="D10" i="12"/>
  <c r="M10" i="12" s="1"/>
  <c r="C10" i="12"/>
  <c r="G10" i="12" s="1"/>
  <c r="D9" i="12"/>
  <c r="M9" i="12" s="1"/>
  <c r="C9" i="12"/>
  <c r="G9" i="12" s="1"/>
  <c r="D8" i="12"/>
  <c r="M8" i="12" s="1"/>
  <c r="C8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52" i="12"/>
  <c r="H52" i="12"/>
  <c r="J51" i="12"/>
  <c r="H51" i="12"/>
  <c r="J50" i="12"/>
  <c r="H50" i="12"/>
  <c r="J49" i="12"/>
  <c r="H49" i="12"/>
  <c r="J48" i="12"/>
  <c r="H48" i="12"/>
  <c r="K47" i="12"/>
  <c r="J47" i="12"/>
  <c r="H47" i="12"/>
  <c r="J46" i="12"/>
  <c r="H46" i="12"/>
  <c r="J45" i="12"/>
  <c r="H45" i="12"/>
  <c r="J44" i="12"/>
  <c r="H44" i="12"/>
  <c r="J43" i="12"/>
  <c r="H43" i="12"/>
  <c r="G43" i="12"/>
  <c r="K42" i="12"/>
  <c r="J42" i="12"/>
  <c r="H42" i="12"/>
  <c r="J41" i="12"/>
  <c r="H41" i="12"/>
  <c r="G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J34" i="12"/>
  <c r="H34" i="12"/>
  <c r="J33" i="12"/>
  <c r="H33" i="12"/>
  <c r="G33" i="12"/>
  <c r="J32" i="12"/>
  <c r="H32" i="12"/>
  <c r="J31" i="12"/>
  <c r="H31" i="12"/>
  <c r="J30" i="12"/>
  <c r="H30" i="12"/>
  <c r="J29" i="12"/>
  <c r="H29" i="12"/>
  <c r="J28" i="12"/>
  <c r="H28" i="12"/>
  <c r="J27" i="12"/>
  <c r="H27" i="12"/>
  <c r="G27" i="12"/>
  <c r="J26" i="12"/>
  <c r="H26" i="12"/>
  <c r="J25" i="12"/>
  <c r="H25" i="12"/>
  <c r="J24" i="12"/>
  <c r="H24" i="12"/>
  <c r="M24" i="12"/>
  <c r="J23" i="12"/>
  <c r="H23" i="12"/>
  <c r="G23" i="12"/>
  <c r="J22" i="12"/>
  <c r="H22" i="12"/>
  <c r="M22" i="12"/>
  <c r="J21" i="12"/>
  <c r="H21" i="12"/>
  <c r="G21" i="12"/>
  <c r="J20" i="12"/>
  <c r="H20" i="12"/>
  <c r="J19" i="12"/>
  <c r="H19" i="12"/>
  <c r="K18" i="12"/>
  <c r="J18" i="12"/>
  <c r="H18" i="12"/>
  <c r="M18" i="12"/>
  <c r="J17" i="12"/>
  <c r="H17" i="12"/>
  <c r="G17" i="12"/>
  <c r="J16" i="12"/>
  <c r="H16" i="12"/>
  <c r="M16" i="12"/>
  <c r="J15" i="12"/>
  <c r="H15" i="12"/>
  <c r="G15" i="12"/>
  <c r="M14" i="12"/>
  <c r="J14" i="12"/>
  <c r="H14" i="12"/>
  <c r="J13" i="12"/>
  <c r="H13" i="12"/>
  <c r="J12" i="12"/>
  <c r="I12" i="12"/>
  <c r="H12" i="12"/>
  <c r="J11" i="12"/>
  <c r="H11" i="12"/>
  <c r="J10" i="12"/>
  <c r="H10" i="12"/>
  <c r="J9" i="12"/>
  <c r="H9" i="12"/>
  <c r="J8" i="12"/>
  <c r="H8" i="12"/>
  <c r="G1" i="2"/>
  <c r="D52" i="2"/>
  <c r="C52" i="2"/>
  <c r="D51" i="2"/>
  <c r="C51" i="2"/>
  <c r="D50" i="2"/>
  <c r="C50" i="2"/>
  <c r="D49" i="2"/>
  <c r="I49" i="2" s="1"/>
  <c r="C49" i="2"/>
  <c r="D48" i="2"/>
  <c r="C48" i="2"/>
  <c r="D47" i="2"/>
  <c r="C47" i="2"/>
  <c r="D46" i="2"/>
  <c r="C46" i="2"/>
  <c r="D45" i="2"/>
  <c r="I45" i="2" s="1"/>
  <c r="C45" i="2"/>
  <c r="D44" i="2"/>
  <c r="I44" i="2" s="1"/>
  <c r="C44" i="2"/>
  <c r="D43" i="2"/>
  <c r="I43" i="2" s="1"/>
  <c r="C43" i="2"/>
  <c r="D42" i="2"/>
  <c r="C42" i="2"/>
  <c r="D41" i="2"/>
  <c r="I41" i="2" s="1"/>
  <c r="C41" i="2"/>
  <c r="D40" i="2"/>
  <c r="I40" i="2" s="1"/>
  <c r="C40" i="2"/>
  <c r="D39" i="2"/>
  <c r="C39" i="2"/>
  <c r="D38" i="2"/>
  <c r="C38" i="2"/>
  <c r="G38" i="2" s="1"/>
  <c r="D37" i="2"/>
  <c r="C37" i="2"/>
  <c r="D36" i="2"/>
  <c r="I36" i="2" s="1"/>
  <c r="C36" i="2"/>
  <c r="D35" i="2"/>
  <c r="I35" i="2" s="1"/>
  <c r="C35" i="2"/>
  <c r="D34" i="2"/>
  <c r="C34" i="2"/>
  <c r="D33" i="2"/>
  <c r="I33" i="2" s="1"/>
  <c r="C33" i="2"/>
  <c r="D32" i="2"/>
  <c r="I32" i="2" s="1"/>
  <c r="C32" i="2"/>
  <c r="D31" i="2"/>
  <c r="I31" i="2" s="1"/>
  <c r="C31" i="2"/>
  <c r="D30" i="2"/>
  <c r="C30" i="2"/>
  <c r="D29" i="2"/>
  <c r="I29" i="2" s="1"/>
  <c r="C29" i="2"/>
  <c r="D28" i="2"/>
  <c r="C28" i="2"/>
  <c r="D27" i="2"/>
  <c r="C27" i="2"/>
  <c r="D26" i="2"/>
  <c r="C26" i="2"/>
  <c r="D25" i="2"/>
  <c r="I25" i="2" s="1"/>
  <c r="C25" i="2"/>
  <c r="D24" i="2"/>
  <c r="I24" i="2" s="1"/>
  <c r="C24" i="2"/>
  <c r="D23" i="2"/>
  <c r="I23" i="2" s="1"/>
  <c r="C23" i="2"/>
  <c r="D22" i="2"/>
  <c r="C22" i="2"/>
  <c r="D21" i="2"/>
  <c r="I21" i="2" s="1"/>
  <c r="C21" i="2"/>
  <c r="D20" i="2"/>
  <c r="I20" i="2" s="1"/>
  <c r="C20" i="2"/>
  <c r="G20" i="2" s="1"/>
  <c r="D19" i="2"/>
  <c r="I19" i="2" s="1"/>
  <c r="C19" i="2"/>
  <c r="D18" i="2"/>
  <c r="C18" i="2"/>
  <c r="D17" i="2"/>
  <c r="I17" i="2" s="1"/>
  <c r="C17" i="2"/>
  <c r="D16" i="2"/>
  <c r="I16" i="2" s="1"/>
  <c r="C16" i="2"/>
  <c r="D15" i="2"/>
  <c r="I15" i="2" s="1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D1" i="1"/>
  <c r="P52" i="10"/>
  <c r="H52" i="10"/>
  <c r="U51" i="10"/>
  <c r="D51" i="10"/>
  <c r="C51" i="10"/>
  <c r="A51" i="10"/>
  <c r="U50" i="10"/>
  <c r="D50" i="10"/>
  <c r="C50" i="10"/>
  <c r="A50" i="10"/>
  <c r="U49" i="10"/>
  <c r="D49" i="10"/>
  <c r="C49" i="10"/>
  <c r="A49" i="10"/>
  <c r="U48" i="10"/>
  <c r="D48" i="10"/>
  <c r="C48" i="10"/>
  <c r="A48" i="10"/>
  <c r="U47" i="10"/>
  <c r="D47" i="10"/>
  <c r="C47" i="10"/>
  <c r="A47" i="10"/>
  <c r="U46" i="10"/>
  <c r="D46" i="10"/>
  <c r="C46" i="10"/>
  <c r="A46" i="10"/>
  <c r="U45" i="10"/>
  <c r="D45" i="10"/>
  <c r="C45" i="10"/>
  <c r="A45" i="10"/>
  <c r="U44" i="10"/>
  <c r="D44" i="10"/>
  <c r="C44" i="10"/>
  <c r="A44" i="10"/>
  <c r="U43" i="10"/>
  <c r="D43" i="10"/>
  <c r="C43" i="10"/>
  <c r="A43" i="10"/>
  <c r="U42" i="10"/>
  <c r="D42" i="10"/>
  <c r="C42" i="10"/>
  <c r="A42" i="10"/>
  <c r="U41" i="10"/>
  <c r="D41" i="10"/>
  <c r="C41" i="10"/>
  <c r="A41" i="10"/>
  <c r="U40" i="10"/>
  <c r="D40" i="10"/>
  <c r="C40" i="10"/>
  <c r="A40" i="10"/>
  <c r="U39" i="10"/>
  <c r="D39" i="10"/>
  <c r="C39" i="10"/>
  <c r="A39" i="10"/>
  <c r="U38" i="10"/>
  <c r="D38" i="10"/>
  <c r="C38" i="10"/>
  <c r="A38" i="10"/>
  <c r="U37" i="10"/>
  <c r="D37" i="10"/>
  <c r="C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54" i="9"/>
  <c r="B54" i="9"/>
  <c r="A54" i="9"/>
  <c r="C53" i="9"/>
  <c r="B53" i="9"/>
  <c r="A53" i="9"/>
  <c r="C52" i="9"/>
  <c r="B52" i="9"/>
  <c r="A52" i="9"/>
  <c r="C51" i="9"/>
  <c r="B51" i="9"/>
  <c r="A51" i="9"/>
  <c r="C50" i="9"/>
  <c r="B50" i="9"/>
  <c r="A50" i="9"/>
  <c r="C49" i="9"/>
  <c r="B49" i="9"/>
  <c r="A49" i="9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H42" i="9"/>
  <c r="C42" i="9"/>
  <c r="B42" i="9"/>
  <c r="A42" i="9"/>
  <c r="H41" i="9"/>
  <c r="C41" i="9"/>
  <c r="B41" i="9"/>
  <c r="A41" i="9"/>
  <c r="H40" i="9"/>
  <c r="C40" i="9"/>
  <c r="B40" i="9"/>
  <c r="A40" i="9"/>
  <c r="H39" i="9"/>
  <c r="C39" i="9"/>
  <c r="B39" i="9"/>
  <c r="A39" i="9"/>
  <c r="H38" i="9"/>
  <c r="C38" i="9"/>
  <c r="B38" i="9"/>
  <c r="A38" i="9"/>
  <c r="H37" i="9"/>
  <c r="C37" i="9"/>
  <c r="B37" i="9"/>
  <c r="A37" i="9"/>
  <c r="H36" i="9"/>
  <c r="C36" i="9"/>
  <c r="B36" i="9"/>
  <c r="A36" i="9"/>
  <c r="H35" i="9"/>
  <c r="C35" i="9"/>
  <c r="B35" i="9"/>
  <c r="A35" i="9"/>
  <c r="H34" i="9"/>
  <c r="C34" i="9"/>
  <c r="B34" i="9"/>
  <c r="A34" i="9"/>
  <c r="H33" i="9"/>
  <c r="C33" i="9"/>
  <c r="B33" i="9"/>
  <c r="A33" i="9"/>
  <c r="H32" i="9"/>
  <c r="C32" i="9"/>
  <c r="B32" i="9"/>
  <c r="A32" i="9"/>
  <c r="H31" i="9"/>
  <c r="C31" i="9"/>
  <c r="B31" i="9"/>
  <c r="A31" i="9"/>
  <c r="H30" i="9"/>
  <c r="C30" i="9"/>
  <c r="B30" i="9"/>
  <c r="A30" i="9"/>
  <c r="H29" i="9"/>
  <c r="C29" i="9"/>
  <c r="B29" i="9"/>
  <c r="A29" i="9"/>
  <c r="H28" i="9"/>
  <c r="C28" i="9"/>
  <c r="B28" i="9"/>
  <c r="A28" i="9"/>
  <c r="H27" i="9"/>
  <c r="C27" i="9"/>
  <c r="B27" i="9"/>
  <c r="A27" i="9"/>
  <c r="H26" i="9"/>
  <c r="C26" i="9"/>
  <c r="B26" i="9"/>
  <c r="A26" i="9"/>
  <c r="H25" i="9"/>
  <c r="C25" i="9"/>
  <c r="B25" i="9"/>
  <c r="A25" i="9"/>
  <c r="H24" i="9"/>
  <c r="C24" i="9"/>
  <c r="B24" i="9"/>
  <c r="A24" i="9"/>
  <c r="H23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55" i="5"/>
  <c r="I55" i="5"/>
  <c r="C55" i="5"/>
  <c r="K55" i="5" s="1"/>
  <c r="B55" i="5"/>
  <c r="H55" i="5" s="1"/>
  <c r="A55" i="5"/>
  <c r="N54" i="5"/>
  <c r="I54" i="5"/>
  <c r="C54" i="5"/>
  <c r="K54" i="5" s="1"/>
  <c r="B54" i="5"/>
  <c r="H54" i="5" s="1"/>
  <c r="A54" i="5"/>
  <c r="N53" i="5"/>
  <c r="I53" i="5"/>
  <c r="C53" i="5"/>
  <c r="K53" i="5" s="1"/>
  <c r="B53" i="5"/>
  <c r="H53" i="5" s="1"/>
  <c r="A53" i="5"/>
  <c r="N52" i="5"/>
  <c r="I52" i="5"/>
  <c r="C52" i="5"/>
  <c r="K52" i="5" s="1"/>
  <c r="B52" i="5"/>
  <c r="H52" i="5" s="1"/>
  <c r="A52" i="5"/>
  <c r="N51" i="5"/>
  <c r="I51" i="5"/>
  <c r="C51" i="5"/>
  <c r="K51" i="5" s="1"/>
  <c r="B51" i="5"/>
  <c r="H51" i="5" s="1"/>
  <c r="A51" i="5"/>
  <c r="N50" i="5"/>
  <c r="I50" i="5"/>
  <c r="C50" i="5"/>
  <c r="K50" i="5" s="1"/>
  <c r="B50" i="5"/>
  <c r="H50" i="5" s="1"/>
  <c r="A50" i="5"/>
  <c r="N49" i="5"/>
  <c r="I49" i="5"/>
  <c r="C49" i="5"/>
  <c r="K49" i="5" s="1"/>
  <c r="B49" i="5"/>
  <c r="H49" i="5" s="1"/>
  <c r="A49" i="5"/>
  <c r="N48" i="5"/>
  <c r="I48" i="5"/>
  <c r="C48" i="5"/>
  <c r="K48" i="5" s="1"/>
  <c r="B48" i="5"/>
  <c r="H48" i="5" s="1"/>
  <c r="A48" i="5"/>
  <c r="N47" i="5"/>
  <c r="I47" i="5"/>
  <c r="C47" i="5"/>
  <c r="K47" i="5" s="1"/>
  <c r="B47" i="5"/>
  <c r="H47" i="5" s="1"/>
  <c r="A47" i="5"/>
  <c r="N46" i="5"/>
  <c r="I46" i="5"/>
  <c r="C46" i="5"/>
  <c r="K46" i="5" s="1"/>
  <c r="B46" i="5"/>
  <c r="H46" i="5" s="1"/>
  <c r="A46" i="5"/>
  <c r="N45" i="5"/>
  <c r="I45" i="5"/>
  <c r="C45" i="5"/>
  <c r="K45" i="5" s="1"/>
  <c r="B45" i="5"/>
  <c r="H45" i="5" s="1"/>
  <c r="A45" i="5"/>
  <c r="N44" i="5"/>
  <c r="I44" i="5"/>
  <c r="C44" i="5"/>
  <c r="K44" i="5" s="1"/>
  <c r="B44" i="5"/>
  <c r="H44" i="5" s="1"/>
  <c r="A44" i="5"/>
  <c r="N43" i="5"/>
  <c r="I43" i="5"/>
  <c r="C43" i="5"/>
  <c r="K43" i="5" s="1"/>
  <c r="B43" i="5"/>
  <c r="H43" i="5" s="1"/>
  <c r="A43" i="5"/>
  <c r="N42" i="5"/>
  <c r="I42" i="5"/>
  <c r="C42" i="5"/>
  <c r="K42" i="5" s="1"/>
  <c r="B42" i="5"/>
  <c r="H42" i="5" s="1"/>
  <c r="A42" i="5"/>
  <c r="N41" i="5"/>
  <c r="I41" i="5"/>
  <c r="C41" i="5"/>
  <c r="K41" i="5" s="1"/>
  <c r="B41" i="5"/>
  <c r="H41" i="5" s="1"/>
  <c r="A41" i="5"/>
  <c r="N40" i="5"/>
  <c r="I40" i="5"/>
  <c r="C40" i="5"/>
  <c r="K40" i="5" s="1"/>
  <c r="B40" i="5"/>
  <c r="H40" i="5" s="1"/>
  <c r="A40" i="5"/>
  <c r="N39" i="5"/>
  <c r="I39" i="5"/>
  <c r="C39" i="5"/>
  <c r="K39" i="5" s="1"/>
  <c r="B39" i="5"/>
  <c r="H39" i="5" s="1"/>
  <c r="A39" i="5"/>
  <c r="N38" i="5"/>
  <c r="I38" i="5"/>
  <c r="C38" i="5"/>
  <c r="K38" i="5" s="1"/>
  <c r="B38" i="5"/>
  <c r="H38" i="5" s="1"/>
  <c r="A38" i="5"/>
  <c r="N37" i="5"/>
  <c r="I37" i="5"/>
  <c r="C37" i="5"/>
  <c r="K37" i="5" s="1"/>
  <c r="B37" i="5"/>
  <c r="H37" i="5" s="1"/>
  <c r="A37" i="5"/>
  <c r="N36" i="5"/>
  <c r="I36" i="5"/>
  <c r="C36" i="5"/>
  <c r="K36" i="5" s="1"/>
  <c r="B36" i="5"/>
  <c r="H36" i="5" s="1"/>
  <c r="A36" i="5"/>
  <c r="N35" i="5"/>
  <c r="I35" i="5"/>
  <c r="C35" i="5"/>
  <c r="K35" i="5" s="1"/>
  <c r="B35" i="5"/>
  <c r="H35" i="5" s="1"/>
  <c r="A35" i="5"/>
  <c r="N34" i="5"/>
  <c r="I34" i="5"/>
  <c r="C34" i="5"/>
  <c r="K34" i="5" s="1"/>
  <c r="B34" i="5"/>
  <c r="H34" i="5" s="1"/>
  <c r="A34" i="5"/>
  <c r="N33" i="5"/>
  <c r="I33" i="5"/>
  <c r="C33" i="5"/>
  <c r="K33" i="5" s="1"/>
  <c r="B33" i="5"/>
  <c r="H33" i="5" s="1"/>
  <c r="A33" i="5"/>
  <c r="N32" i="5"/>
  <c r="I32" i="5"/>
  <c r="C32" i="5"/>
  <c r="K32" i="5" s="1"/>
  <c r="B32" i="5"/>
  <c r="H32" i="5" s="1"/>
  <c r="A32" i="5"/>
  <c r="N31" i="5"/>
  <c r="I31" i="5"/>
  <c r="C31" i="5"/>
  <c r="K31" i="5" s="1"/>
  <c r="B31" i="5"/>
  <c r="H31" i="5" s="1"/>
  <c r="A31" i="5"/>
  <c r="N30" i="5"/>
  <c r="I30" i="5"/>
  <c r="C30" i="5"/>
  <c r="K30" i="5" s="1"/>
  <c r="B30" i="5"/>
  <c r="H30" i="5" s="1"/>
  <c r="A30" i="5"/>
  <c r="N29" i="5"/>
  <c r="I29" i="5"/>
  <c r="C29" i="5"/>
  <c r="K29" i="5" s="1"/>
  <c r="B29" i="5"/>
  <c r="H29" i="5" s="1"/>
  <c r="A29" i="5"/>
  <c r="N28" i="5"/>
  <c r="I28" i="5"/>
  <c r="C28" i="5"/>
  <c r="K28" i="5" s="1"/>
  <c r="B28" i="5"/>
  <c r="H28" i="5" s="1"/>
  <c r="A28" i="5"/>
  <c r="N27" i="5"/>
  <c r="I27" i="5"/>
  <c r="C27" i="5"/>
  <c r="K27" i="5" s="1"/>
  <c r="B27" i="5"/>
  <c r="H27" i="5" s="1"/>
  <c r="A27" i="5"/>
  <c r="N26" i="5"/>
  <c r="I26" i="5"/>
  <c r="C26" i="5"/>
  <c r="K26" i="5" s="1"/>
  <c r="B26" i="5"/>
  <c r="H26" i="5" s="1"/>
  <c r="A26" i="5"/>
  <c r="N25" i="5"/>
  <c r="I25" i="5"/>
  <c r="C25" i="5"/>
  <c r="K25" i="5" s="1"/>
  <c r="B25" i="5"/>
  <c r="H25" i="5" s="1"/>
  <c r="A25" i="5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I39" i="2"/>
  <c r="A39" i="2"/>
  <c r="A38" i="2"/>
  <c r="I37" i="2"/>
  <c r="A37" i="2"/>
  <c r="A36" i="2"/>
  <c r="A35" i="2"/>
  <c r="A34" i="2"/>
  <c r="A33" i="2"/>
  <c r="A32" i="2"/>
  <c r="A31" i="2"/>
  <c r="A30" i="2"/>
  <c r="A29" i="2"/>
  <c r="A28" i="2"/>
  <c r="I27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G19" i="10" l="1"/>
  <c r="I19" i="10" s="1"/>
  <c r="E46" i="9"/>
  <c r="M51" i="12"/>
  <c r="K14" i="12"/>
  <c r="I10" i="12"/>
  <c r="M32" i="12"/>
  <c r="K13" i="12"/>
  <c r="M30" i="12"/>
  <c r="M36" i="12"/>
  <c r="I38" i="12"/>
  <c r="M46" i="12"/>
  <c r="M17" i="12"/>
  <c r="I20" i="12"/>
  <c r="M26" i="12"/>
  <c r="M42" i="12"/>
  <c r="I45" i="12"/>
  <c r="I50" i="12"/>
  <c r="G22" i="12"/>
  <c r="M23" i="12"/>
  <c r="K26" i="12"/>
  <c r="M33" i="12"/>
  <c r="M35" i="12"/>
  <c r="G38" i="12"/>
  <c r="K10" i="12"/>
  <c r="I29" i="12"/>
  <c r="K30" i="12"/>
  <c r="K49" i="12"/>
  <c r="G50" i="12"/>
  <c r="K52" i="12"/>
  <c r="K48" i="12"/>
  <c r="F54" i="9"/>
  <c r="M54" i="9" s="1"/>
  <c r="O54" i="9" s="1"/>
  <c r="F24" i="9"/>
  <c r="G24" i="9" s="1"/>
  <c r="I24" i="9" s="1"/>
  <c r="G35" i="12"/>
  <c r="F29" i="9"/>
  <c r="G29" i="9" s="1"/>
  <c r="I29" i="9" s="1"/>
  <c r="F32" i="9"/>
  <c r="G32" i="9" s="1"/>
  <c r="I32" i="9" s="1"/>
  <c r="F35" i="9"/>
  <c r="G35" i="9" s="1"/>
  <c r="I35" i="9" s="1"/>
  <c r="F40" i="9"/>
  <c r="G40" i="9" s="1"/>
  <c r="I40" i="9" s="1"/>
  <c r="F47" i="9"/>
  <c r="G47" i="9" s="1"/>
  <c r="I47" i="9" s="1"/>
  <c r="Q9" i="10"/>
  <c r="Q15" i="10"/>
  <c r="Q39" i="10"/>
  <c r="Q41" i="10"/>
  <c r="K9" i="12"/>
  <c r="I11" i="12"/>
  <c r="K11" i="12"/>
  <c r="G19" i="12"/>
  <c r="K29" i="12"/>
  <c r="G31" i="12"/>
  <c r="M39" i="12"/>
  <c r="K45" i="12"/>
  <c r="F18" i="9"/>
  <c r="G18" i="9" s="1"/>
  <c r="I18" i="9" s="1"/>
  <c r="F22" i="9"/>
  <c r="G22" i="9" s="1"/>
  <c r="I22" i="9" s="1"/>
  <c r="I27" i="12"/>
  <c r="G39" i="12"/>
  <c r="K25" i="12"/>
  <c r="G34" i="12"/>
  <c r="I43" i="12"/>
  <c r="K37" i="12"/>
  <c r="G46" i="12"/>
  <c r="M13" i="12"/>
  <c r="M44" i="12"/>
  <c r="I19" i="12"/>
  <c r="K16" i="12"/>
  <c r="G16" i="12"/>
  <c r="K32" i="12"/>
  <c r="G32" i="12"/>
  <c r="K51" i="12"/>
  <c r="G51" i="12"/>
  <c r="I9" i="12"/>
  <c r="I25" i="12"/>
  <c r="I41" i="12"/>
  <c r="K28" i="12"/>
  <c r="G28" i="12"/>
  <c r="K8" i="12"/>
  <c r="G8" i="12"/>
  <c r="K24" i="12"/>
  <c r="G24" i="12"/>
  <c r="I28" i="12"/>
  <c r="K40" i="12"/>
  <c r="G40" i="12"/>
  <c r="I15" i="12"/>
  <c r="I18" i="12"/>
  <c r="I31" i="12"/>
  <c r="I34" i="12"/>
  <c r="I47" i="12"/>
  <c r="K12" i="12"/>
  <c r="G12" i="12"/>
  <c r="I21" i="12"/>
  <c r="I37" i="12"/>
  <c r="K44" i="12"/>
  <c r="G44" i="12"/>
  <c r="I8" i="12"/>
  <c r="K20" i="12"/>
  <c r="G20" i="12"/>
  <c r="I24" i="12"/>
  <c r="K36" i="12"/>
  <c r="G36" i="12"/>
  <c r="I40" i="12"/>
  <c r="M49" i="12"/>
  <c r="I49" i="12"/>
  <c r="M48" i="12"/>
  <c r="M52" i="12"/>
  <c r="G42" i="2"/>
  <c r="F42" i="9"/>
  <c r="G42" i="9" s="1"/>
  <c r="I42" i="9" s="1"/>
  <c r="I14" i="2"/>
  <c r="G34" i="2"/>
  <c r="G13" i="2"/>
  <c r="G13" i="10"/>
  <c r="I13" i="10" s="1"/>
  <c r="Q25" i="10"/>
  <c r="Q37" i="10"/>
  <c r="G9" i="2"/>
  <c r="Q17" i="10"/>
  <c r="G37" i="10"/>
  <c r="I37" i="10" s="1"/>
  <c r="G35" i="10"/>
  <c r="I35" i="10" s="1"/>
  <c r="Q7" i="10"/>
  <c r="G47" i="10"/>
  <c r="G27" i="10"/>
  <c r="I27" i="10" s="1"/>
  <c r="Q31" i="10"/>
  <c r="E43" i="9"/>
  <c r="F14" i="9"/>
  <c r="G14" i="9" s="1"/>
  <c r="I14" i="9" s="1"/>
  <c r="E50" i="9"/>
  <c r="E27" i="9"/>
  <c r="F33" i="9"/>
  <c r="G33" i="9" s="1"/>
  <c r="I33" i="9" s="1"/>
  <c r="E21" i="9"/>
  <c r="G30" i="2"/>
  <c r="G17" i="2"/>
  <c r="I28" i="2"/>
  <c r="G26" i="2"/>
  <c r="G45" i="2"/>
  <c r="G49" i="2"/>
  <c r="I42" i="2"/>
  <c r="G23" i="2"/>
  <c r="I46" i="2"/>
  <c r="F36" i="9"/>
  <c r="G36" i="9" s="1"/>
  <c r="I36" i="9" s="1"/>
  <c r="E36" i="9"/>
  <c r="I38" i="2"/>
  <c r="Q21" i="10"/>
  <c r="G21" i="10"/>
  <c r="I21" i="10" s="1"/>
  <c r="I10" i="2"/>
  <c r="G16" i="2"/>
  <c r="G21" i="2"/>
  <c r="G39" i="2"/>
  <c r="G41" i="2"/>
  <c r="I51" i="2"/>
  <c r="G25" i="2"/>
  <c r="G46" i="2"/>
  <c r="I47" i="2"/>
  <c r="I50" i="2"/>
  <c r="I18" i="2"/>
  <c r="G29" i="2"/>
  <c r="I22" i="2"/>
  <c r="G33" i="2"/>
  <c r="I26" i="2"/>
  <c r="G32" i="2"/>
  <c r="G37" i="2"/>
  <c r="G52" i="2"/>
  <c r="G19" i="2"/>
  <c r="I48" i="2"/>
  <c r="G24" i="2"/>
  <c r="G28" i="2"/>
  <c r="G11" i="2"/>
  <c r="G18" i="2"/>
  <c r="I30" i="2"/>
  <c r="G36" i="2"/>
  <c r="G12" i="2"/>
  <c r="G35" i="2"/>
  <c r="G10" i="2"/>
  <c r="I52" i="2"/>
  <c r="G22" i="2"/>
  <c r="I34" i="2"/>
  <c r="G40" i="2"/>
  <c r="G44" i="2"/>
  <c r="G48" i="2"/>
  <c r="G50" i="2"/>
  <c r="Q23" i="10"/>
  <c r="F17" i="9"/>
  <c r="G17" i="9" s="1"/>
  <c r="I17" i="9" s="1"/>
  <c r="F28" i="9"/>
  <c r="G28" i="9" s="1"/>
  <c r="I28" i="9" s="1"/>
  <c r="G51" i="2"/>
  <c r="F13" i="9"/>
  <c r="G13" i="9" s="1"/>
  <c r="I13" i="9" s="1"/>
  <c r="E48" i="9"/>
  <c r="F50" i="10"/>
  <c r="E25" i="9"/>
  <c r="G11" i="10"/>
  <c r="I11" i="10" s="1"/>
  <c r="E34" i="9"/>
  <c r="Q33" i="10"/>
  <c r="Q51" i="10"/>
  <c r="F26" i="9"/>
  <c r="G26" i="9" s="1"/>
  <c r="I26" i="9" s="1"/>
  <c r="F37" i="9"/>
  <c r="G37" i="9" s="1"/>
  <c r="I37" i="9" s="1"/>
  <c r="Q45" i="10"/>
  <c r="G45" i="10"/>
  <c r="I45" i="10" s="1"/>
  <c r="E41" i="9"/>
  <c r="F44" i="9"/>
  <c r="G44" i="9" s="1"/>
  <c r="I44" i="9" s="1"/>
  <c r="E52" i="9"/>
  <c r="Q29" i="10"/>
  <c r="G29" i="10"/>
  <c r="I29" i="10" s="1"/>
  <c r="G43" i="10"/>
  <c r="I43" i="10" s="1"/>
  <c r="Q13" i="10"/>
  <c r="G17" i="10"/>
  <c r="I17" i="10" s="1"/>
  <c r="G33" i="10"/>
  <c r="I33" i="10" s="1"/>
  <c r="G41" i="10"/>
  <c r="I41" i="10" s="1"/>
  <c r="Q50" i="10"/>
  <c r="G9" i="10"/>
  <c r="I9" i="10" s="1"/>
  <c r="G25" i="10"/>
  <c r="I25" i="10" s="1"/>
  <c r="G50" i="10"/>
  <c r="K50" i="10" s="1"/>
  <c r="G7" i="10"/>
  <c r="I7" i="10" s="1"/>
  <c r="Q11" i="10"/>
  <c r="G15" i="10"/>
  <c r="I15" i="10" s="1"/>
  <c r="Q19" i="10"/>
  <c r="G23" i="10"/>
  <c r="I23" i="10" s="1"/>
  <c r="Q27" i="10"/>
  <c r="G31" i="10"/>
  <c r="I31" i="10" s="1"/>
  <c r="Q35" i="10"/>
  <c r="G39" i="10"/>
  <c r="I39" i="10" s="1"/>
  <c r="Q43" i="10"/>
  <c r="F47" i="10"/>
  <c r="Q47" i="10"/>
  <c r="Q49" i="10"/>
  <c r="F51" i="10"/>
  <c r="G51" i="10"/>
  <c r="K51" i="10" s="1"/>
  <c r="N52" i="10"/>
  <c r="E17" i="9"/>
  <c r="E20" i="9"/>
  <c r="F21" i="9"/>
  <c r="G21" i="9" s="1"/>
  <c r="I21" i="9" s="1"/>
  <c r="E22" i="9"/>
  <c r="F27" i="9"/>
  <c r="G27" i="9" s="1"/>
  <c r="I27" i="9" s="1"/>
  <c r="F43" i="9"/>
  <c r="G43" i="9" s="1"/>
  <c r="I43" i="9" s="1"/>
  <c r="E44" i="9"/>
  <c r="F48" i="9"/>
  <c r="G48" i="9" s="1"/>
  <c r="I48" i="9" s="1"/>
  <c r="F52" i="9"/>
  <c r="M52" i="9" s="1"/>
  <c r="O52" i="9" s="1"/>
  <c r="E13" i="9"/>
  <c r="E16" i="9"/>
  <c r="E18" i="9"/>
  <c r="F25" i="9"/>
  <c r="G25" i="9" s="1"/>
  <c r="I25" i="9" s="1"/>
  <c r="E28" i="9"/>
  <c r="E35" i="9"/>
  <c r="F41" i="9"/>
  <c r="G41" i="9" s="1"/>
  <c r="I41" i="9" s="1"/>
  <c r="F10" i="9"/>
  <c r="G10" i="9" s="1"/>
  <c r="I10" i="9" s="1"/>
  <c r="E12" i="9"/>
  <c r="E14" i="9"/>
  <c r="E26" i="9"/>
  <c r="E33" i="9"/>
  <c r="F34" i="9"/>
  <c r="G34" i="9" s="1"/>
  <c r="I34" i="9" s="1"/>
  <c r="E42" i="9"/>
  <c r="E47" i="9"/>
  <c r="F50" i="9"/>
  <c r="M50" i="9" s="1"/>
  <c r="O50" i="9" s="1"/>
  <c r="E54" i="9"/>
  <c r="E15" i="9"/>
  <c r="F15" i="9"/>
  <c r="G15" i="9" s="1"/>
  <c r="I15" i="9" s="1"/>
  <c r="E11" i="9"/>
  <c r="F11" i="9"/>
  <c r="G11" i="9" s="1"/>
  <c r="I11" i="9" s="1"/>
  <c r="F30" i="9"/>
  <c r="G30" i="9" s="1"/>
  <c r="I30" i="9" s="1"/>
  <c r="E30" i="9"/>
  <c r="F38" i="9"/>
  <c r="G38" i="9" s="1"/>
  <c r="I38" i="9" s="1"/>
  <c r="E38" i="9"/>
  <c r="G15" i="2"/>
  <c r="G27" i="2"/>
  <c r="G31" i="2"/>
  <c r="G43" i="2"/>
  <c r="G47" i="2"/>
  <c r="E23" i="9"/>
  <c r="F23" i="9"/>
  <c r="G23" i="9" s="1"/>
  <c r="I23" i="9" s="1"/>
  <c r="E31" i="9"/>
  <c r="F31" i="9"/>
  <c r="G31" i="9" s="1"/>
  <c r="I31" i="9" s="1"/>
  <c r="E39" i="9"/>
  <c r="F39" i="9"/>
  <c r="G39" i="9" s="1"/>
  <c r="I39" i="9" s="1"/>
  <c r="E49" i="9"/>
  <c r="F49" i="9"/>
  <c r="G49" i="9" s="1"/>
  <c r="I49" i="9" s="1"/>
  <c r="E53" i="9"/>
  <c r="F53" i="9"/>
  <c r="M53" i="9" s="1"/>
  <c r="O53" i="9" s="1"/>
  <c r="E19" i="9"/>
  <c r="F19" i="9"/>
  <c r="G19" i="9" s="1"/>
  <c r="I19" i="9" s="1"/>
  <c r="E45" i="9"/>
  <c r="F45" i="9"/>
  <c r="G45" i="9" s="1"/>
  <c r="I45" i="9" s="1"/>
  <c r="E51" i="9"/>
  <c r="F51" i="9"/>
  <c r="M51" i="9" s="1"/>
  <c r="O51" i="9" s="1"/>
  <c r="F12" i="9"/>
  <c r="G12" i="9" s="1"/>
  <c r="I12" i="9" s="1"/>
  <c r="F16" i="9"/>
  <c r="G16" i="9" s="1"/>
  <c r="I16" i="9" s="1"/>
  <c r="F20" i="9"/>
  <c r="G20" i="9" s="1"/>
  <c r="I20" i="9" s="1"/>
  <c r="E29" i="9"/>
  <c r="E37" i="9"/>
  <c r="F46" i="9"/>
  <c r="G46" i="9" s="1"/>
  <c r="I46" i="9" s="1"/>
  <c r="E10" i="9"/>
  <c r="E24" i="9"/>
  <c r="E32" i="9"/>
  <c r="E40" i="9"/>
  <c r="G8" i="10"/>
  <c r="I8" i="10" s="1"/>
  <c r="Q8" i="10"/>
  <c r="F8" i="10"/>
  <c r="G10" i="10"/>
  <c r="I10" i="10" s="1"/>
  <c r="Q10" i="10"/>
  <c r="F10" i="10"/>
  <c r="G12" i="10"/>
  <c r="I12" i="10" s="1"/>
  <c r="Q12" i="10"/>
  <c r="F12" i="10"/>
  <c r="G14" i="10"/>
  <c r="I14" i="10" s="1"/>
  <c r="Q14" i="10"/>
  <c r="F14" i="10"/>
  <c r="G16" i="10"/>
  <c r="I16" i="10" s="1"/>
  <c r="Q16" i="10"/>
  <c r="F16" i="10"/>
  <c r="G18" i="10"/>
  <c r="I18" i="10" s="1"/>
  <c r="Q18" i="10"/>
  <c r="F18" i="10"/>
  <c r="G20" i="10"/>
  <c r="I20" i="10" s="1"/>
  <c r="Q20" i="10"/>
  <c r="F20" i="10"/>
  <c r="G22" i="10"/>
  <c r="I22" i="10" s="1"/>
  <c r="Q22" i="10"/>
  <c r="F22" i="10"/>
  <c r="G24" i="10"/>
  <c r="I24" i="10" s="1"/>
  <c r="Q24" i="10"/>
  <c r="F24" i="10"/>
  <c r="G26" i="10"/>
  <c r="I26" i="10" s="1"/>
  <c r="Q26" i="10"/>
  <c r="F26" i="10"/>
  <c r="G28" i="10"/>
  <c r="I28" i="10" s="1"/>
  <c r="Q28" i="10"/>
  <c r="F28" i="10"/>
  <c r="G30" i="10"/>
  <c r="I30" i="10" s="1"/>
  <c r="Q30" i="10"/>
  <c r="F30" i="10"/>
  <c r="G32" i="10"/>
  <c r="I32" i="10" s="1"/>
  <c r="Q32" i="10"/>
  <c r="F32" i="10"/>
  <c r="G34" i="10"/>
  <c r="I34" i="10" s="1"/>
  <c r="Q34" i="10"/>
  <c r="F34" i="10"/>
  <c r="G36" i="10"/>
  <c r="I36" i="10" s="1"/>
  <c r="Q36" i="10"/>
  <c r="F36" i="10"/>
  <c r="G38" i="10"/>
  <c r="I38" i="10" s="1"/>
  <c r="Q38" i="10"/>
  <c r="F38" i="10"/>
  <c r="G40" i="10"/>
  <c r="I40" i="10" s="1"/>
  <c r="Q40" i="10"/>
  <c r="F40" i="10"/>
  <c r="G42" i="10"/>
  <c r="I42" i="10" s="1"/>
  <c r="Q42" i="10"/>
  <c r="F42" i="10"/>
  <c r="G44" i="10"/>
  <c r="I44" i="10" s="1"/>
  <c r="Q44" i="10"/>
  <c r="F44" i="10"/>
  <c r="G46" i="10"/>
  <c r="I46" i="10" s="1"/>
  <c r="Q46" i="10"/>
  <c r="F46" i="10"/>
  <c r="J52" i="10"/>
  <c r="L52" i="10"/>
  <c r="F7" i="10"/>
  <c r="F9" i="10"/>
  <c r="F11" i="10"/>
  <c r="F13" i="10"/>
  <c r="F15" i="10"/>
  <c r="F17" i="10"/>
  <c r="F19" i="10"/>
  <c r="F21" i="10"/>
  <c r="F23" i="10"/>
  <c r="F25" i="10"/>
  <c r="F27" i="10"/>
  <c r="F29" i="10"/>
  <c r="F31" i="10"/>
  <c r="F33" i="10"/>
  <c r="F35" i="10"/>
  <c r="F37" i="10"/>
  <c r="F39" i="10"/>
  <c r="F41" i="10"/>
  <c r="F43" i="10"/>
  <c r="F45" i="10"/>
  <c r="K47" i="10"/>
  <c r="Q48" i="10"/>
  <c r="G48" i="10"/>
  <c r="F48" i="10"/>
  <c r="G49" i="10"/>
  <c r="F49" i="10"/>
  <c r="O55" i="9" l="1"/>
  <c r="G58" i="9" s="1"/>
  <c r="K49" i="10"/>
  <c r="R52" i="10"/>
  <c r="Q52" i="10"/>
  <c r="K48" i="10"/>
  <c r="I55" i="9" l="1"/>
  <c r="G56" i="9" s="1"/>
  <c r="R55" i="9"/>
  <c r="G59" i="9" s="1"/>
  <c r="L55" i="9"/>
  <c r="G5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4" authorId="0" shapeId="0" xr:uid="{00000000-0006-0000-0000-000007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6" authorId="0" shapeId="0" xr:uid="{00000000-0006-0000-0000-000008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38" authorId="0" shapeId="0" xr:uid="{00000000-0006-0000-0000-00000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40" authorId="0" shapeId="0" xr:uid="{00000000-0006-0000-0000-00000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5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<sst xmlns="http://schemas.openxmlformats.org/spreadsheetml/2006/main" count="595" uniqueCount="172">
  <si>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</si>
  <si>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</si>
  <si>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</si>
  <si>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</si>
  <si>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</si>
  <si>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</si>
  <si>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</si>
  <si>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</si>
  <si>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</si>
  <si>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</si>
  <si>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</si>
  <si>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</si>
  <si>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</si>
  <si>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</si>
  <si>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</si>
  <si>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</si>
  <si>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</si>
  <si>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</si>
  <si>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</si>
  <si>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</si>
  <si>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</si>
  <si>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</si>
  <si>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</si>
  <si>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</si>
  <si>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</si>
  <si>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</si>
  <si>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</si>
  <si>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</si>
  <si>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</si>
  <si>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</si>
  <si>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</si>
  <si>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</si>
  <si>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</si>
  <si>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</si>
  <si>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</si>
  <si>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</si>
  <si>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</si>
  <si>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</si>
  <si>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</si>
  <si>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</si>
  <si>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</si>
  <si>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</si>
  <si>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</si>
  <si>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</si>
  <si>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</si>
  <si>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</si>
  <si>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</si>
  <si>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</si>
  <si>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</si>
  <si>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</si>
  <si>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</si>
  <si>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</si>
  <si>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</si>
  <si>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</si>
  <si>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</si>
  <si>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</si>
  <si>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</si>
  <si>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</si>
  <si>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</si>
  <si>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</si>
  <si>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</si>
  <si>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</si>
  <si>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</si>
  <si>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</si>
  <si>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</si>
  <si>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</si>
  <si>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</si>
  <si>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</si>
  <si>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</si>
  <si>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</si>
  <si>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</si>
  <si>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</si>
  <si>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</si>
  <si>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</si>
  <si>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</si>
  <si>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</si>
  <si>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</si>
  <si>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</si>
  <si>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</si>
  <si>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</si>
  <si>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</si>
  <si>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</si>
  <si>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</si>
  <si>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</si>
  <si>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</si>
  <si>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</si>
  <si>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</si>
  <si>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</si>
  <si>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</si>
  <si>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</si>
  <si>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</si>
  <si>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</si>
  <si>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</si>
  <si>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</si>
  <si>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</si>
  <si>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</si>
  <si>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</si>
  <si>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</si>
  <si>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</si>
  <si>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</si>
  <si>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</si>
  <si>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</si>
  <si>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</si>
  <si>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</si>
  <si>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</si>
  <si>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</si>
  <si>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</si>
  <si>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</si>
  <si>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</si>
  <si>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</si>
  <si>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</si>
  <si>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</si>
  <si>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</si>
  <si>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</si>
  <si>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</si>
  <si>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</si>
  <si>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</si>
  <si>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</si>
  <si>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재단작업지시서차열재</t>
    <phoneticPr fontId="25" type="noConversion"/>
  </si>
  <si>
    <t>B1F</t>
  </si>
  <si>
    <t>B2F</t>
  </si>
  <si>
    <t>B3F</t>
  </si>
  <si>
    <t>B4F</t>
  </si>
  <si>
    <t>제연B4F</t>
  </si>
  <si>
    <t>제연B3~4F</t>
  </si>
  <si>
    <t>제연B2F</t>
  </si>
  <si>
    <t>P347</t>
    <phoneticPr fontId="25" type="noConversion"/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</si>
  <si>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</si>
  <si>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</si>
  <si>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</si>
  <si>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</si>
  <si>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</si>
  <si>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</si>
  <si>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</si>
  <si>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</si>
  <si>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</si>
  <si>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</si>
  <si>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</si>
  <si>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</si>
  <si>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</si>
  <si>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</si>
  <si>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</si>
  <si>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</si>
  <si>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</si>
  <si>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</si>
  <si>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</si>
  <si>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</si>
  <si>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</si>
  <si>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</si>
  <si>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</si>
  <si>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</si>
  <si>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</si>
  <si>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</si>
  <si>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</si>
  <si>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</si>
  <si>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</si>
  <si>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</si>
  <si>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</si>
  <si>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</si>
  <si>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</si>
  <si>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</si>
  <si>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</si>
  <si>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</si>
  <si>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</si>
  <si>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</si>
  <si>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</si>
  <si>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</si>
  <si>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</si>
  <si>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</si>
  <si>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</si>
  <si>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</si>
  <si>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r>
      <t xml:space="preserve">26.06.04 </t>
    </r>
    <r>
      <rPr>
        <sz val="10"/>
        <color rgb="FF000000"/>
        <rFont val="맑은 고딕"/>
        <family val="3"/>
        <charset val="129"/>
      </rPr>
      <t>씨에스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우진아이엔에스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포스코건설</t>
    </r>
    <r>
      <rPr>
        <sz val="10"/>
        <color rgb="FF000000"/>
        <rFont val="Helvetica Neue"/>
        <family val="2"/>
      </rPr>
      <t>_</t>
    </r>
    <r>
      <rPr>
        <sz val="10"/>
        <color rgb="FF000000"/>
        <rFont val="맑은 고딕"/>
        <family val="3"/>
        <charset val="129"/>
      </rPr>
      <t>양평동삼화인쇄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</si>
</sst>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4">
    <xf numFmtId="0" fontId="0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1">
      <alignment vertical="center"/>
    </xf>
    <xf numFmtId="0" fontId="24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2" applyBorder="1" applyAlignment="1">
      <alignment horizontal="center" vertical="center"/>
    </xf>
    <xf numFmtId="176" fontId="24" fillId="0" borderId="7" xfId="2" applyBorder="1" applyAlignment="1">
      <alignment horizontal="center" vertical="center"/>
    </xf>
    <xf numFmtId="176" fontId="24" fillId="0" borderId="8" xfId="2" applyBorder="1" applyAlignment="1">
      <alignment horizontal="center" vertical="center"/>
    </xf>
    <xf numFmtId="176" fontId="24" fillId="0" borderId="12" xfId="2" applyBorder="1" applyAlignment="1">
      <alignment horizontal="center" vertical="center"/>
    </xf>
    <xf numFmtId="176" fontId="24" fillId="0" borderId="10" xfId="2" applyBorder="1" applyAlignment="1">
      <alignment horizontal="center" vertical="center"/>
    </xf>
    <xf numFmtId="176" fontId="24" fillId="0" borderId="13" xfId="2" applyBorder="1" applyAlignment="1">
      <alignment horizontal="center" vertical="center"/>
    </xf>
    <xf numFmtId="176" fontId="24" fillId="0" borderId="14" xfId="2" applyBorder="1" applyAlignment="1">
      <alignment horizontal="center" vertical="center"/>
    </xf>
    <xf numFmtId="0" fontId="24" fillId="0" borderId="17" xfId="1" applyBorder="1" applyAlignment="1">
      <alignment horizontal="center" vertical="center"/>
    </xf>
    <xf numFmtId="0" fontId="6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1" applyBorder="1" applyAlignment="1">
      <alignment horizontal="center" vertical="center" wrapText="1"/>
    </xf>
    <xf numFmtId="0" fontId="7" fillId="0" borderId="18" xfId="3" applyFont="1" applyBorder="1" applyAlignment="1">
      <alignment horizontal="center" vertical="center" wrapText="1"/>
    </xf>
    <xf numFmtId="0" fontId="1" fillId="0" borderId="19" xfId="3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shrinkToFit="1"/>
    </xf>
    <xf numFmtId="0" fontId="1" fillId="0" borderId="19" xfId="3" applyBorder="1" applyAlignment="1">
      <alignment horizontal="center" vertical="center" shrinkToFit="1"/>
    </xf>
    <xf numFmtId="0" fontId="24" fillId="0" borderId="19" xfId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3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3" applyFont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3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2" fillId="2" borderId="19" xfId="3" applyFont="1" applyFill="1" applyBorder="1" applyAlignment="1">
      <alignment horizontal="center" vertical="center" wrapText="1"/>
    </xf>
    <xf numFmtId="0" fontId="14" fillId="6" borderId="18" xfId="3" applyFont="1" applyFill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177" fontId="0" fillId="0" borderId="18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" fillId="10" borderId="0" xfId="3" applyFill="1">
      <alignment vertical="center"/>
    </xf>
    <xf numFmtId="0" fontId="1" fillId="0" borderId="35" xfId="3" applyBorder="1" applyAlignment="1">
      <alignment vertical="top" wrapText="1"/>
    </xf>
    <xf numFmtId="0" fontId="2" fillId="0" borderId="18" xfId="3" applyFont="1" applyBorder="1" applyAlignment="1">
      <alignment horizontal="center" vertical="center" wrapText="1"/>
    </xf>
    <xf numFmtId="0" fontId="2" fillId="0" borderId="19" xfId="3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3" quotePrefix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28" fillId="4" borderId="15" xfId="3" applyFont="1" applyFill="1" applyBorder="1" applyAlignment="1">
      <alignment horizontal="center" vertical="center" wrapText="1"/>
    </xf>
    <xf numFmtId="0" fontId="15" fillId="0" borderId="15" xfId="1" applyFont="1" applyBorder="1" applyAlignment="1">
      <alignment horizontal="center" vertical="center" wrapText="1"/>
    </xf>
    <xf numFmtId="178" fontId="15" fillId="0" borderId="15" xfId="1" applyNumberFormat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28" fillId="4" borderId="18" xfId="3" applyFont="1" applyFill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178" fontId="15" fillId="0" borderId="18" xfId="1" applyNumberFormat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28" fillId="6" borderId="18" xfId="3" applyFont="1" applyFill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3" fillId="0" borderId="26" xfId="3" applyFont="1" applyBorder="1" applyAlignment="1">
      <alignment horizontal="left" vertical="center"/>
    </xf>
    <xf numFmtId="0" fontId="2" fillId="8" borderId="18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35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 wrapText="1"/>
    </xf>
    <xf numFmtId="0" fontId="26" fillId="0" borderId="0" xfId="3" applyFont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shrinkToFit="1"/>
    </xf>
    <xf numFmtId="0" fontId="27" fillId="0" borderId="36" xfId="3" applyFont="1" applyBorder="1" applyAlignment="1">
      <alignment horizontal="center" vertical="center" shrinkToFit="1"/>
    </xf>
    <xf numFmtId="0" fontId="27" fillId="0" borderId="0" xfId="3" applyFont="1" applyAlignment="1">
      <alignment horizontal="center" vertical="center" shrinkToFit="1"/>
    </xf>
    <xf numFmtId="0" fontId="27" fillId="0" borderId="38" xfId="3" applyFont="1" applyBorder="1" applyAlignment="1">
      <alignment horizontal="center" vertical="center" shrinkToFit="1"/>
    </xf>
    <xf numFmtId="0" fontId="27" fillId="0" borderId="34" xfId="3" applyFont="1" applyBorder="1" applyAlignment="1">
      <alignment horizontal="center" vertical="center" shrinkToFit="1"/>
    </xf>
    <xf numFmtId="0" fontId="27" fillId="0" borderId="40" xfId="3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8" borderId="17" xfId="3" applyFill="1" applyBorder="1" applyAlignment="1">
      <alignment horizontal="center" vertical="center" wrapText="1"/>
    </xf>
    <xf numFmtId="0" fontId="2" fillId="8" borderId="15" xfId="3" applyFont="1" applyFill="1" applyBorder="1" applyAlignment="1">
      <alignment horizontal="center" vertical="center" wrapText="1"/>
    </xf>
    <xf numFmtId="0" fontId="2" fillId="8" borderId="16" xfId="3" applyFont="1" applyFill="1" applyBorder="1" applyAlignment="1">
      <alignment horizontal="center" vertical="center" wrapText="1"/>
    </xf>
    <xf numFmtId="0" fontId="2" fillId="8" borderId="19" xfId="3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shrinkToFit="1"/>
    </xf>
    <xf numFmtId="0" fontId="3" fillId="0" borderId="11" xfId="1" applyFont="1" applyBorder="1" applyAlignment="1">
      <alignment horizontal="center" vertical="center" shrinkToFit="1"/>
    </xf>
    <xf numFmtId="0" fontId="3" fillId="0" borderId="30" xfId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 shrinkToFit="1"/>
    </xf>
    <xf numFmtId="0" fontId="3" fillId="0" borderId="25" xfId="1" applyFont="1" applyBorder="1" applyAlignment="1">
      <alignment horizontal="center" vertical="center" shrinkToFit="1"/>
    </xf>
    <xf numFmtId="0" fontId="3" fillId="0" borderId="2" xfId="1" applyFont="1" applyBorder="1" applyAlignment="1">
      <alignment horizontal="center" vertical="center" shrinkToFit="1"/>
    </xf>
    <xf numFmtId="0" fontId="3" fillId="0" borderId="3" xfId="1" applyFont="1" applyBorder="1" applyAlignment="1">
      <alignment horizontal="center" vertical="center" shrinkToFit="1"/>
    </xf>
    <xf numFmtId="0" fontId="3" fillId="0" borderId="31" xfId="1" applyFont="1" applyBorder="1" applyAlignment="1">
      <alignment horizontal="center" vertical="center" shrinkToFit="1"/>
    </xf>
    <xf numFmtId="0" fontId="3" fillId="0" borderId="29" xfId="1" applyFont="1" applyBorder="1" applyAlignment="1">
      <alignment horizontal="center" vertical="center" shrinkToFit="1"/>
    </xf>
    <xf numFmtId="0" fontId="24" fillId="0" borderId="2" xfId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 shrinkToFi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24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78" fontId="24" fillId="0" borderId="18" xfId="1" applyNumberFormat="1" applyBorder="1" applyAlignment="1">
      <alignment horizontal="center" vertical="center" wrapText="1"/>
    </xf>
    <xf numFmtId="0" fontId="24" fillId="0" borderId="21" xfId="1" applyBorder="1" applyAlignment="1">
      <alignment horizontal="center" vertical="center"/>
    </xf>
    <xf numFmtId="0" fontId="24" fillId="0" borderId="17" xfId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20" fillId="0" borderId="24" xfId="1" applyFont="1" applyBorder="1" applyAlignment="1">
      <alignment horizontal="center" vertical="center" shrinkToFit="1"/>
    </xf>
    <xf numFmtId="0" fontId="20" fillId="0" borderId="11" xfId="1" applyFont="1" applyBorder="1" applyAlignment="1">
      <alignment horizontal="center" vertical="center" shrinkToFit="1"/>
    </xf>
    <xf numFmtId="0" fontId="20" fillId="0" borderId="3" xfId="1" applyFont="1" applyBorder="1" applyAlignment="1">
      <alignment horizontal="center" vertical="center" shrinkToFit="1"/>
    </xf>
    <xf numFmtId="0" fontId="20" fillId="0" borderId="30" xfId="1" applyFont="1" applyBorder="1" applyAlignment="1">
      <alignment horizontal="center" vertical="center" shrinkToFit="1"/>
    </xf>
    <xf numFmtId="0" fontId="20" fillId="0" borderId="0" xfId="1" applyFont="1" applyAlignment="1">
      <alignment horizontal="center" vertical="center" shrinkToFit="1"/>
    </xf>
    <xf numFmtId="0" fontId="20" fillId="0" borderId="31" xfId="1" applyFont="1" applyBorder="1" applyAlignment="1">
      <alignment horizontal="center" vertical="center" shrinkToFit="1"/>
    </xf>
    <xf numFmtId="0" fontId="20" fillId="0" borderId="25" xfId="1" applyFont="1" applyBorder="1" applyAlignment="1">
      <alignment horizontal="center" vertical="center" shrinkToFit="1"/>
    </xf>
    <xf numFmtId="0" fontId="20" fillId="0" borderId="2" xfId="1" applyFont="1" applyBorder="1" applyAlignment="1">
      <alignment horizontal="center" vertical="center" shrinkToFit="1"/>
    </xf>
    <xf numFmtId="0" fontId="20" fillId="0" borderId="29" xfId="1" applyFont="1" applyBorder="1" applyAlignment="1">
      <alignment horizontal="center" vertical="center" shrinkToFit="1"/>
    </xf>
    <xf numFmtId="0" fontId="24" fillId="0" borderId="4" xfId="1" applyBorder="1" applyAlignment="1">
      <alignment horizontal="center" vertical="center"/>
    </xf>
    <xf numFmtId="0" fontId="24" fillId="0" borderId="28" xfId="1" applyBorder="1" applyAlignment="1">
      <alignment horizontal="center" vertical="center"/>
    </xf>
    <xf numFmtId="0" fontId="29" fillId="0" borderId="1" xfId="1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42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53"/>
  <sheetViews>
    <sheetView tabSelected="1" view="pageBreakPreview" zoomScale="120" zoomScaleNormal="120" zoomScaleSheetLayoutView="120" workbookViewId="0">
      <pane ySplit="8" topLeftCell="A27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01" t="s">
        <v>71</v>
      </c>
      <c r="B1" s="102"/>
      <c r="C1" s="102"/>
      <c r="D1" s="107" t="str">
        <f>R2</f>
        <v>26.06.04 씨에스_우진아이엔에스_포스코건설_양평동삼화인쇄</v>
      </c>
      <c r="E1" s="107"/>
      <c r="F1" s="107"/>
      <c r="G1" s="108"/>
      <c r="R1" s="8" t="s">
        <v>66</v>
      </c>
    </row>
    <row r="2" spans="1:18" ht="16.5" customHeight="1">
      <c r="A2" s="103"/>
      <c r="B2" s="104"/>
      <c r="C2" s="104"/>
      <c r="D2" s="109"/>
      <c r="E2" s="109"/>
      <c r="F2" s="109"/>
      <c r="G2" s="110"/>
      <c r="R2" s="71" t="s">
        <v>171</v>
      </c>
    </row>
    <row r="3" spans="1:18" ht="16.5" customHeight="1">
      <c r="A3" s="103"/>
      <c r="B3" s="104"/>
      <c r="C3" s="104"/>
      <c r="D3" s="109"/>
      <c r="E3" s="109"/>
      <c r="F3" s="109"/>
      <c r="G3" s="110"/>
    </row>
    <row r="4" spans="1:18" ht="17.25" customHeight="1" thickBot="1">
      <c r="A4" s="105"/>
      <c r="B4" s="106"/>
      <c r="C4" s="106"/>
      <c r="D4" s="111"/>
      <c r="E4" s="111"/>
      <c r="F4" s="111"/>
      <c r="G4" s="112"/>
    </row>
    <row r="5" spans="1:18" ht="6.75" customHeight="1" thickTop="1">
      <c r="A5" s="72"/>
      <c r="B5" s="72"/>
      <c r="C5" s="72"/>
      <c r="D5" s="72"/>
      <c r="E5" s="72"/>
      <c r="F5" s="72"/>
      <c r="G5" s="72"/>
    </row>
    <row r="6" spans="1:18" s="10" customFormat="1" ht="18" customHeight="1" thickBot="1">
      <c r="A6" s="113" t="s">
        <v>1</v>
      </c>
      <c r="B6" s="115" t="s">
        <v>65</v>
      </c>
      <c r="C6" s="115" t="s">
        <v>4</v>
      </c>
      <c r="D6" s="115"/>
      <c r="E6" s="115" t="s">
        <v>43</v>
      </c>
      <c r="F6" s="115" t="s">
        <v>38</v>
      </c>
      <c r="G6" s="116" t="s">
        <v>18</v>
      </c>
      <c r="H6" s="9"/>
      <c r="I6" s="99" t="s">
        <v>10</v>
      </c>
      <c r="J6" s="99"/>
      <c r="K6" s="99"/>
      <c r="L6" s="99"/>
      <c r="M6" s="99"/>
      <c r="N6" s="99"/>
      <c r="O6" s="8"/>
    </row>
    <row r="7" spans="1:18" s="10" customFormat="1" ht="18" customHeight="1">
      <c r="A7" s="114"/>
      <c r="B7" s="100"/>
      <c r="C7" s="100" t="s">
        <v>62</v>
      </c>
      <c r="D7" s="100" t="s">
        <v>60</v>
      </c>
      <c r="E7" s="100"/>
      <c r="F7" s="100"/>
      <c r="G7" s="117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14"/>
      <c r="B8" s="100"/>
      <c r="C8" s="100"/>
      <c r="D8" s="100"/>
      <c r="E8" s="100"/>
      <c r="F8" s="100"/>
      <c r="G8" s="117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81" t="s">
        <v>73</v>
      </c>
      <c r="B9" s="51" t="s">
        <v>16</v>
      </c>
      <c r="C9" s="26">
        <v>150</v>
      </c>
      <c r="D9" s="26">
        <v>150</v>
      </c>
      <c r="E9" s="73"/>
      <c r="F9" s="73"/>
      <c r="G9" s="74" t="s">
        <v>119</v>
      </c>
      <c r="H9" s="13"/>
      <c r="I9" s="23"/>
      <c r="J9" s="21"/>
      <c r="K9" s="17"/>
      <c r="L9" s="18"/>
      <c r="M9" s="19"/>
      <c r="N9" s="21"/>
      <c r="O9" s="8"/>
      <c r="Q9" s="10" t="s">
        <v>126</v>
      </c>
    </row>
    <row r="10" spans="1:18" s="10" customFormat="1" ht="18" customHeight="1" thickBot="1">
      <c r="A10" s="81" t="s">
        <v>74</v>
      </c>
      <c r="B10" s="51" t="s">
        <v>16</v>
      </c>
      <c r="C10" s="26">
        <v>150</v>
      </c>
      <c r="D10" s="26">
        <v>150</v>
      </c>
      <c r="E10" s="58"/>
      <c r="F10" s="73"/>
      <c r="G10" s="74" t="s">
        <v>119</v>
      </c>
      <c r="H10" s="13"/>
      <c r="I10" s="23"/>
      <c r="J10" s="21"/>
      <c r="K10" s="17"/>
      <c r="L10" s="18"/>
      <c r="M10" s="19"/>
      <c r="N10" s="21"/>
      <c r="O10" s="8"/>
      <c r="Q10" s="10" t="s">
        <v>127</v>
      </c>
    </row>
    <row r="11" spans="1:18" s="10" customFormat="1" ht="18" customHeight="1" thickBot="1">
      <c r="A11" s="81" t="s">
        <v>75</v>
      </c>
      <c r="B11" s="51" t="s">
        <v>16</v>
      </c>
      <c r="C11" s="26">
        <v>150</v>
      </c>
      <c r="D11" s="26">
        <v>150</v>
      </c>
      <c r="E11" s="58"/>
      <c r="F11" s="73"/>
      <c r="G11" s="74" t="s">
        <v>120</v>
      </c>
      <c r="H11" s="13"/>
      <c r="I11" s="23"/>
      <c r="J11" s="21"/>
      <c r="K11" s="17"/>
      <c r="L11" s="18"/>
      <c r="M11" s="19"/>
      <c r="N11" s="21"/>
      <c r="O11" s="8"/>
      <c r="Q11" s="10" t="s">
        <v>128</v>
      </c>
    </row>
    <row r="12" spans="1:18" s="10" customFormat="1" ht="18" customHeight="1" thickBot="1">
      <c r="A12" s="81" t="s">
        <v>76</v>
      </c>
      <c r="B12" s="51" t="s">
        <v>16</v>
      </c>
      <c r="C12" s="26">
        <v>200</v>
      </c>
      <c r="D12" s="26">
        <v>150</v>
      </c>
      <c r="E12" s="58"/>
      <c r="F12" s="73"/>
      <c r="G12" s="74" t="s">
        <v>119</v>
      </c>
      <c r="H12" s="13"/>
      <c r="I12" s="23"/>
      <c r="J12" s="21"/>
      <c r="K12" s="17"/>
      <c r="L12" s="18"/>
      <c r="M12" s="19"/>
      <c r="N12" s="21"/>
      <c r="O12" s="8"/>
      <c r="Q12" s="10" t="s">
        <v>129</v>
      </c>
    </row>
    <row r="13" spans="1:18" s="10" customFormat="1" ht="18" customHeight="1" thickBot="1">
      <c r="A13" s="81" t="s">
        <v>77</v>
      </c>
      <c r="B13" s="51" t="s">
        <v>16</v>
      </c>
      <c r="C13" s="26">
        <v>200</v>
      </c>
      <c r="D13" s="26">
        <v>150</v>
      </c>
      <c r="E13" s="58"/>
      <c r="F13" s="73"/>
      <c r="G13" s="74" t="s">
        <v>119</v>
      </c>
      <c r="H13" s="13"/>
      <c r="I13" s="12"/>
      <c r="J13" s="12"/>
      <c r="K13" s="17"/>
      <c r="L13" s="18"/>
      <c r="M13" s="19"/>
      <c r="N13" s="12"/>
      <c r="O13" s="8"/>
      <c r="Q13" s="10" t="s">
        <v>130</v>
      </c>
    </row>
    <row r="14" spans="1:18" s="10" customFormat="1" ht="18" customHeight="1" thickBot="1">
      <c r="A14" s="81" t="s">
        <v>78</v>
      </c>
      <c r="B14" s="51" t="s">
        <v>16</v>
      </c>
      <c r="C14" s="26">
        <v>200</v>
      </c>
      <c r="D14" s="26">
        <v>150</v>
      </c>
      <c r="E14" s="58"/>
      <c r="F14" s="73"/>
      <c r="G14" s="74" t="s">
        <v>121</v>
      </c>
      <c r="H14" s="13"/>
      <c r="I14" s="23"/>
      <c r="J14" s="21"/>
      <c r="K14" s="17"/>
      <c r="L14" s="18"/>
      <c r="M14" s="19"/>
      <c r="N14" s="21"/>
      <c r="O14" s="8"/>
      <c r="Q14" s="10" t="s">
        <v>131</v>
      </c>
    </row>
    <row r="15" spans="1:18" s="10" customFormat="1" ht="18" customHeight="1" thickBot="1">
      <c r="A15" s="81" t="s">
        <v>79</v>
      </c>
      <c r="B15" s="51" t="s">
        <v>16</v>
      </c>
      <c r="C15" s="26">
        <v>200</v>
      </c>
      <c r="D15" s="26">
        <v>150</v>
      </c>
      <c r="E15" s="58"/>
      <c r="F15" s="73"/>
      <c r="G15" s="74" t="s">
        <v>121</v>
      </c>
      <c r="H15" s="13"/>
      <c r="I15" s="22"/>
      <c r="J15" s="20"/>
      <c r="K15" s="17"/>
      <c r="L15" s="18"/>
      <c r="M15" s="19"/>
      <c r="N15" s="20"/>
      <c r="O15" s="8"/>
      <c r="Q15" s="10" t="s">
        <v>132</v>
      </c>
    </row>
    <row r="16" spans="1:18" s="10" customFormat="1" ht="18" customHeight="1" thickBot="1">
      <c r="A16" s="81" t="s">
        <v>80</v>
      </c>
      <c r="B16" s="51" t="s">
        <v>16</v>
      </c>
      <c r="C16" s="26">
        <v>200</v>
      </c>
      <c r="D16" s="26">
        <v>200</v>
      </c>
      <c r="E16" s="58"/>
      <c r="F16" s="73"/>
      <c r="G16" s="74" t="s">
        <v>119</v>
      </c>
      <c r="H16" s="13"/>
      <c r="I16" s="23"/>
      <c r="J16" s="21"/>
      <c r="K16" s="17"/>
      <c r="L16" s="18"/>
      <c r="M16" s="19"/>
      <c r="N16" s="21"/>
      <c r="O16" s="8"/>
      <c r="Q16" s="10" t="s">
        <v>133</v>
      </c>
    </row>
    <row r="17" spans="1:17" s="10" customFormat="1" ht="18" customHeight="1" thickBot="1">
      <c r="A17" s="81" t="s">
        <v>81</v>
      </c>
      <c r="B17" s="51" t="s">
        <v>16</v>
      </c>
      <c r="C17" s="26">
        <v>200</v>
      </c>
      <c r="D17" s="26">
        <v>200</v>
      </c>
      <c r="E17" s="58"/>
      <c r="F17" s="73"/>
      <c r="G17" s="74" t="s">
        <v>119</v>
      </c>
      <c r="H17" s="13"/>
      <c r="I17" s="23"/>
      <c r="J17" s="21"/>
      <c r="K17" s="17"/>
      <c r="L17" s="18"/>
      <c r="M17" s="19"/>
      <c r="N17" s="21"/>
      <c r="O17" s="8"/>
      <c r="Q17" s="10" t="s">
        <v>134</v>
      </c>
    </row>
    <row r="18" spans="1:17" s="10" customFormat="1" ht="18" customHeight="1" thickBot="1">
      <c r="A18" s="81" t="s">
        <v>82</v>
      </c>
      <c r="B18" s="51" t="s">
        <v>16</v>
      </c>
      <c r="C18" s="26">
        <v>200</v>
      </c>
      <c r="D18" s="26">
        <v>200</v>
      </c>
      <c r="E18" s="58"/>
      <c r="F18" s="73"/>
      <c r="G18" s="74" t="s">
        <v>119</v>
      </c>
      <c r="H18" s="13"/>
      <c r="I18" s="23"/>
      <c r="J18" s="21"/>
      <c r="K18" s="17"/>
      <c r="L18" s="18"/>
      <c r="M18" s="19"/>
      <c r="N18" s="21"/>
      <c r="O18" s="8"/>
      <c r="Q18" s="10" t="s">
        <v>135</v>
      </c>
    </row>
    <row r="19" spans="1:17" s="10" customFormat="1" ht="18" customHeight="1" thickBot="1">
      <c r="A19" s="81" t="s">
        <v>83</v>
      </c>
      <c r="B19" s="51" t="s">
        <v>16</v>
      </c>
      <c r="C19" s="26">
        <v>200</v>
      </c>
      <c r="D19" s="26">
        <v>200</v>
      </c>
      <c r="E19" s="58"/>
      <c r="F19" s="73"/>
      <c r="G19" s="74" t="s">
        <v>119</v>
      </c>
      <c r="H19" s="13"/>
      <c r="I19" s="23"/>
      <c r="J19" s="21"/>
      <c r="K19" s="17"/>
      <c r="L19" s="18"/>
      <c r="M19" s="19"/>
      <c r="N19" s="21"/>
      <c r="O19" s="8"/>
      <c r="Q19" s="10" t="s">
        <v>136</v>
      </c>
    </row>
    <row r="20" spans="1:17" s="10" customFormat="1" ht="18" customHeight="1" thickBot="1">
      <c r="A20" s="81" t="s">
        <v>84</v>
      </c>
      <c r="B20" s="51" t="s">
        <v>16</v>
      </c>
      <c r="C20" s="26">
        <v>200</v>
      </c>
      <c r="D20" s="26">
        <v>200</v>
      </c>
      <c r="E20" s="73"/>
      <c r="F20" s="73"/>
      <c r="G20" s="74" t="s">
        <v>120</v>
      </c>
      <c r="H20" s="13"/>
      <c r="I20" s="23"/>
      <c r="J20" s="21"/>
      <c r="K20" s="17"/>
      <c r="L20" s="18"/>
      <c r="M20" s="19"/>
      <c r="N20" s="21"/>
      <c r="O20" s="8"/>
      <c r="Q20" s="10" t="s">
        <v>137</v>
      </c>
    </row>
    <row r="21" spans="1:17" s="10" customFormat="1" ht="18" customHeight="1" thickBot="1">
      <c r="A21" s="81" t="s">
        <v>85</v>
      </c>
      <c r="B21" s="51" t="s">
        <v>16</v>
      </c>
      <c r="C21" s="26">
        <v>200</v>
      </c>
      <c r="D21" s="26">
        <v>200</v>
      </c>
      <c r="E21" s="73"/>
      <c r="F21" s="73"/>
      <c r="G21" s="74" t="s">
        <v>120</v>
      </c>
      <c r="H21" s="13"/>
      <c r="I21" s="23"/>
      <c r="J21" s="21"/>
      <c r="K21" s="17"/>
      <c r="L21" s="18"/>
      <c r="M21" s="19"/>
      <c r="N21" s="21"/>
      <c r="O21" s="8"/>
      <c r="Q21" s="10" t="s">
        <v>138</v>
      </c>
    </row>
    <row r="22" spans="1:17" s="10" customFormat="1" ht="18" customHeight="1" thickBot="1">
      <c r="A22" s="81" t="s">
        <v>86</v>
      </c>
      <c r="B22" s="51" t="s">
        <v>16</v>
      </c>
      <c r="C22" s="26">
        <v>200</v>
      </c>
      <c r="D22" s="26">
        <v>200</v>
      </c>
      <c r="E22" s="73"/>
      <c r="F22" s="73"/>
      <c r="G22" s="74" t="s">
        <v>120</v>
      </c>
      <c r="H22" s="13"/>
      <c r="I22" s="23"/>
      <c r="J22" s="21"/>
      <c r="K22" s="17"/>
      <c r="L22" s="18"/>
      <c r="M22" s="19"/>
      <c r="N22" s="21"/>
      <c r="O22" s="8"/>
      <c r="Q22" s="10" t="s">
        <v>139</v>
      </c>
    </row>
    <row r="23" spans="1:17" s="10" customFormat="1" ht="18" customHeight="1" thickBot="1">
      <c r="A23" s="81" t="s">
        <v>87</v>
      </c>
      <c r="B23" s="51" t="s">
        <v>16</v>
      </c>
      <c r="C23" s="26">
        <v>250</v>
      </c>
      <c r="D23" s="26">
        <v>150</v>
      </c>
      <c r="E23" s="58"/>
      <c r="F23" s="73"/>
      <c r="G23" s="74" t="s">
        <v>120</v>
      </c>
      <c r="H23" s="13"/>
      <c r="I23" s="23"/>
      <c r="J23" s="21"/>
      <c r="K23" s="17"/>
      <c r="L23" s="18"/>
      <c r="M23" s="19"/>
      <c r="N23" s="21"/>
      <c r="O23" s="8"/>
      <c r="Q23" s="10" t="s">
        <v>140</v>
      </c>
    </row>
    <row r="24" spans="1:17" s="10" customFormat="1" ht="18" customHeight="1" thickBot="1">
      <c r="A24" s="81" t="s">
        <v>88</v>
      </c>
      <c r="B24" s="51" t="s">
        <v>16</v>
      </c>
      <c r="C24" s="26">
        <v>250</v>
      </c>
      <c r="D24" s="26">
        <v>150</v>
      </c>
      <c r="E24" s="58"/>
      <c r="F24" s="73"/>
      <c r="G24" s="74" t="s">
        <v>120</v>
      </c>
      <c r="H24" s="13"/>
      <c r="I24" s="12"/>
      <c r="J24" s="12"/>
      <c r="K24" s="17"/>
      <c r="L24" s="18"/>
      <c r="M24" s="19"/>
      <c r="N24" s="12"/>
      <c r="O24" s="8"/>
      <c r="Q24" s="10" t="s">
        <v>141</v>
      </c>
    </row>
    <row r="25" spans="1:17" s="10" customFormat="1" ht="18" customHeight="1" thickBot="1">
      <c r="A25" s="81" t="s">
        <v>89</v>
      </c>
      <c r="B25" s="51" t="s">
        <v>16</v>
      </c>
      <c r="C25" s="26">
        <v>250</v>
      </c>
      <c r="D25" s="26">
        <v>150</v>
      </c>
      <c r="E25" s="58"/>
      <c r="F25" s="73"/>
      <c r="G25" s="74" t="s">
        <v>120</v>
      </c>
      <c r="H25" s="13"/>
      <c r="I25" s="23"/>
      <c r="J25" s="21"/>
      <c r="K25" s="17"/>
      <c r="L25" s="18"/>
      <c r="M25" s="19"/>
      <c r="N25" s="21"/>
      <c r="O25" s="8"/>
      <c r="Q25" s="10" t="s">
        <v>142</v>
      </c>
    </row>
    <row r="26" spans="1:17" s="10" customFormat="1" ht="18" customHeight="1" thickBot="1">
      <c r="A26" s="81" t="s">
        <v>90</v>
      </c>
      <c r="B26" s="51" t="s">
        <v>16</v>
      </c>
      <c r="C26" s="26">
        <v>250</v>
      </c>
      <c r="D26" s="26">
        <v>250</v>
      </c>
      <c r="E26" s="58"/>
      <c r="F26" s="73"/>
      <c r="G26" s="74" t="s">
        <v>119</v>
      </c>
      <c r="H26" s="13"/>
      <c r="I26" s="22"/>
      <c r="J26" s="20"/>
      <c r="K26" s="17"/>
      <c r="L26" s="18"/>
      <c r="M26" s="19"/>
      <c r="N26" s="20"/>
      <c r="O26" s="8"/>
      <c r="Q26" s="10" t="s">
        <v>143</v>
      </c>
    </row>
    <row r="27" spans="1:17" s="10" customFormat="1" ht="18" customHeight="1" thickBot="1">
      <c r="A27" s="81" t="s">
        <v>91</v>
      </c>
      <c r="B27" s="51" t="s">
        <v>16</v>
      </c>
      <c r="C27" s="26">
        <v>250</v>
      </c>
      <c r="D27" s="26">
        <v>250</v>
      </c>
      <c r="E27" s="58"/>
      <c r="F27" s="73"/>
      <c r="G27" s="74" t="s">
        <v>119</v>
      </c>
      <c r="H27" s="13"/>
      <c r="I27" s="23"/>
      <c r="J27" s="21"/>
      <c r="K27" s="17"/>
      <c r="L27" s="18"/>
      <c r="M27" s="19"/>
      <c r="N27" s="21"/>
      <c r="O27" s="8"/>
      <c r="Q27" s="10" t="s">
        <v>144</v>
      </c>
    </row>
    <row r="28" spans="1:17" s="10" customFormat="1" ht="18" customHeight="1" thickBot="1">
      <c r="A28" s="81" t="s">
        <v>92</v>
      </c>
      <c r="B28" s="51" t="s">
        <v>16</v>
      </c>
      <c r="C28" s="26">
        <v>250</v>
      </c>
      <c r="D28" s="26">
        <v>250</v>
      </c>
      <c r="E28" s="58"/>
      <c r="F28" s="73"/>
      <c r="G28" s="74" t="s">
        <v>119</v>
      </c>
      <c r="H28" s="13"/>
      <c r="I28" s="23"/>
      <c r="J28" s="21"/>
      <c r="K28" s="17"/>
      <c r="L28" s="18"/>
      <c r="M28" s="19"/>
      <c r="N28" s="21"/>
      <c r="O28" s="8"/>
      <c r="Q28" s="10" t="s">
        <v>145</v>
      </c>
    </row>
    <row r="29" spans="1:17" s="10" customFormat="1" ht="18" customHeight="1" thickBot="1">
      <c r="A29" s="81" t="s">
        <v>93</v>
      </c>
      <c r="B29" s="51" t="s">
        <v>16</v>
      </c>
      <c r="C29" s="26">
        <v>250</v>
      </c>
      <c r="D29" s="26">
        <v>250</v>
      </c>
      <c r="E29" s="58"/>
      <c r="F29" s="73"/>
      <c r="G29" s="74" t="s">
        <v>119</v>
      </c>
      <c r="H29" s="13"/>
      <c r="I29" s="23"/>
      <c r="J29" s="21"/>
      <c r="K29" s="17"/>
      <c r="L29" s="18"/>
      <c r="M29" s="19"/>
      <c r="N29" s="21"/>
      <c r="O29" s="8"/>
      <c r="Q29" s="10" t="s">
        <v>146</v>
      </c>
    </row>
    <row r="30" spans="1:17" s="10" customFormat="1" ht="18" customHeight="1" thickBot="1">
      <c r="A30" s="81" t="s">
        <v>94</v>
      </c>
      <c r="B30" s="51" t="s">
        <v>16</v>
      </c>
      <c r="C30" s="26">
        <v>250</v>
      </c>
      <c r="D30" s="26">
        <v>250</v>
      </c>
      <c r="E30" s="58"/>
      <c r="F30" s="73"/>
      <c r="G30" s="74" t="s">
        <v>119</v>
      </c>
      <c r="H30" s="13"/>
      <c r="I30" s="23"/>
      <c r="J30" s="21"/>
      <c r="K30" s="17"/>
      <c r="L30" s="18"/>
      <c r="M30" s="19"/>
      <c r="N30" s="21"/>
      <c r="O30" s="8"/>
      <c r="Q30" s="10" t="s">
        <v>147</v>
      </c>
    </row>
    <row r="31" spans="1:17" s="10" customFormat="1" ht="18" customHeight="1" thickBot="1">
      <c r="A31" s="81" t="s">
        <v>95</v>
      </c>
      <c r="B31" s="51" t="s">
        <v>16</v>
      </c>
      <c r="C31" s="26">
        <v>300</v>
      </c>
      <c r="D31" s="26">
        <v>200</v>
      </c>
      <c r="E31" s="73"/>
      <c r="F31" s="73"/>
      <c r="G31" s="74" t="s">
        <v>120</v>
      </c>
      <c r="H31" s="13"/>
      <c r="I31" s="23"/>
      <c r="J31" s="21"/>
      <c r="K31" s="17"/>
      <c r="L31" s="18"/>
      <c r="M31" s="19"/>
      <c r="N31" s="21"/>
      <c r="O31" s="8"/>
      <c r="Q31" s="10" t="s">
        <v>148</v>
      </c>
    </row>
    <row r="32" spans="1:17" s="10" customFormat="1" ht="18" customHeight="1" thickBot="1">
      <c r="A32" s="81" t="s">
        <v>96</v>
      </c>
      <c r="B32" s="51" t="s">
        <v>16</v>
      </c>
      <c r="C32" s="26">
        <v>300</v>
      </c>
      <c r="D32" s="26">
        <v>200</v>
      </c>
      <c r="E32" s="73"/>
      <c r="F32" s="73"/>
      <c r="G32" s="74" t="s">
        <v>120</v>
      </c>
      <c r="H32" s="13"/>
      <c r="I32" s="23"/>
      <c r="J32" s="21"/>
      <c r="K32" s="17"/>
      <c r="L32" s="18"/>
      <c r="M32" s="19"/>
      <c r="N32" s="21"/>
      <c r="O32" s="8"/>
      <c r="Q32" s="10" t="s">
        <v>149</v>
      </c>
    </row>
    <row r="33" spans="1:17" s="10" customFormat="1" ht="18" customHeight="1" thickBot="1">
      <c r="A33" s="81" t="s">
        <v>97</v>
      </c>
      <c r="B33" s="51" t="s">
        <v>16</v>
      </c>
      <c r="C33" s="26">
        <v>300</v>
      </c>
      <c r="D33" s="26">
        <v>200</v>
      </c>
      <c r="E33" s="73"/>
      <c r="F33" s="73"/>
      <c r="G33" s="74" t="s">
        <v>120</v>
      </c>
      <c r="H33" s="13"/>
      <c r="I33" s="23"/>
      <c r="J33" s="21"/>
      <c r="K33" s="17"/>
      <c r="L33" s="18"/>
      <c r="M33" s="19"/>
      <c r="N33" s="21"/>
      <c r="O33" s="8"/>
      <c r="Q33" s="10" t="s">
        <v>150</v>
      </c>
    </row>
    <row r="34" spans="1:17" s="10" customFormat="1" ht="18" customHeight="1" thickBot="1">
      <c r="A34" s="81" t="s">
        <v>98</v>
      </c>
      <c r="B34" s="51" t="s">
        <v>16</v>
      </c>
      <c r="C34" s="26">
        <v>300</v>
      </c>
      <c r="D34" s="26">
        <v>200</v>
      </c>
      <c r="E34" s="73"/>
      <c r="F34" s="73"/>
      <c r="G34" s="74" t="s">
        <v>120</v>
      </c>
      <c r="H34" s="13"/>
      <c r="I34" s="23"/>
      <c r="J34" s="21"/>
      <c r="K34" s="17"/>
      <c r="L34" s="18"/>
      <c r="M34" s="19"/>
      <c r="N34" s="21"/>
      <c r="O34" s="8"/>
      <c r="Q34" s="10" t="s">
        <v>151</v>
      </c>
    </row>
    <row r="35" spans="1:17" s="10" customFormat="1" ht="18" customHeight="1" thickBot="1">
      <c r="A35" s="81" t="s">
        <v>99</v>
      </c>
      <c r="B35" s="51" t="s">
        <v>16</v>
      </c>
      <c r="C35" s="26">
        <v>300</v>
      </c>
      <c r="D35" s="26">
        <v>250</v>
      </c>
      <c r="E35" s="58"/>
      <c r="F35" s="73"/>
      <c r="G35" s="74" t="s">
        <v>120</v>
      </c>
      <c r="H35" s="13"/>
      <c r="I35" s="23"/>
      <c r="J35" s="21"/>
      <c r="K35" s="17"/>
      <c r="L35" s="18"/>
      <c r="M35" s="19"/>
      <c r="N35" s="21"/>
      <c r="O35" s="8"/>
      <c r="Q35" s="10" t="s">
        <v>152</v>
      </c>
    </row>
    <row r="36" spans="1:17" s="10" customFormat="1" ht="18" customHeight="1" thickBot="1">
      <c r="A36" s="81" t="s">
        <v>100</v>
      </c>
      <c r="B36" s="51" t="s">
        <v>16</v>
      </c>
      <c r="C36" s="26">
        <v>300</v>
      </c>
      <c r="D36" s="26">
        <v>250</v>
      </c>
      <c r="E36" s="58"/>
      <c r="F36" s="73"/>
      <c r="G36" s="74" t="s">
        <v>121</v>
      </c>
      <c r="H36" s="13"/>
      <c r="I36" s="23"/>
      <c r="J36" s="21"/>
      <c r="K36" s="17"/>
      <c r="L36" s="18"/>
      <c r="M36" s="19"/>
      <c r="N36" s="21"/>
      <c r="O36" s="8"/>
      <c r="Q36" s="10" t="s">
        <v>153</v>
      </c>
    </row>
    <row r="37" spans="1:17" s="10" customFormat="1" ht="18" customHeight="1" thickBot="1">
      <c r="A37" s="81" t="s">
        <v>101</v>
      </c>
      <c r="B37" s="51" t="s">
        <v>16</v>
      </c>
      <c r="C37" s="26">
        <v>300</v>
      </c>
      <c r="D37" s="26">
        <v>300</v>
      </c>
      <c r="E37" s="58"/>
      <c r="F37" s="73"/>
      <c r="G37" s="74" t="s">
        <v>119</v>
      </c>
      <c r="H37" s="13"/>
      <c r="I37" s="23"/>
      <c r="J37" s="21"/>
      <c r="K37" s="17"/>
      <c r="L37" s="18"/>
      <c r="M37" s="19"/>
      <c r="N37" s="21"/>
      <c r="O37" s="8"/>
      <c r="Q37" s="10" t="s">
        <v>154</v>
      </c>
    </row>
    <row r="38" spans="1:17" s="10" customFormat="1" ht="18" customHeight="1" thickBot="1">
      <c r="A38" s="81" t="s">
        <v>102</v>
      </c>
      <c r="B38" s="51" t="s">
        <v>16</v>
      </c>
      <c r="C38" s="26">
        <v>350</v>
      </c>
      <c r="D38" s="26">
        <v>250</v>
      </c>
      <c r="E38" s="58"/>
      <c r="F38" s="73"/>
      <c r="G38" s="74" t="s">
        <v>122</v>
      </c>
      <c r="H38" s="13"/>
      <c r="I38" s="12"/>
      <c r="J38" s="12"/>
      <c r="K38" s="17"/>
      <c r="L38" s="18"/>
      <c r="M38" s="19"/>
      <c r="N38" s="12"/>
      <c r="O38" s="8"/>
      <c r="Q38" s="10" t="s">
        <v>155</v>
      </c>
    </row>
    <row r="39" spans="1:17" s="10" customFormat="1" ht="18" customHeight="1" thickBot="1">
      <c r="A39" s="81" t="s">
        <v>103</v>
      </c>
      <c r="B39" s="51" t="s">
        <v>16</v>
      </c>
      <c r="C39" s="26">
        <v>350</v>
      </c>
      <c r="D39" s="26">
        <v>250</v>
      </c>
      <c r="E39" s="58"/>
      <c r="F39" s="73"/>
      <c r="G39" s="74" t="s">
        <v>122</v>
      </c>
      <c r="H39" s="13"/>
      <c r="I39" s="23"/>
      <c r="J39" s="21"/>
      <c r="K39" s="17"/>
      <c r="L39" s="18"/>
      <c r="M39" s="19"/>
      <c r="N39" s="21"/>
      <c r="O39" s="8"/>
      <c r="Q39" s="10" t="s">
        <v>156</v>
      </c>
    </row>
    <row r="40" spans="1:17" s="10" customFormat="1" ht="18" customHeight="1" thickBot="1">
      <c r="A40" s="81" t="s">
        <v>104</v>
      </c>
      <c r="B40" s="51" t="s">
        <v>16</v>
      </c>
      <c r="C40" s="26">
        <v>400</v>
      </c>
      <c r="D40" s="26">
        <v>200</v>
      </c>
      <c r="E40" s="58"/>
      <c r="F40" s="73"/>
      <c r="G40" s="74" t="s">
        <v>120</v>
      </c>
      <c r="H40" s="13"/>
      <c r="I40" s="22"/>
      <c r="J40" s="20"/>
      <c r="K40" s="17"/>
      <c r="L40" s="18"/>
      <c r="M40" s="19"/>
      <c r="N40" s="20"/>
      <c r="O40" s="8"/>
      <c r="Q40" s="10" t="s">
        <v>157</v>
      </c>
    </row>
    <row r="41" spans="1:17" s="10" customFormat="1" ht="18" customHeight="1" thickBot="1">
      <c r="A41" s="81" t="s">
        <v>105</v>
      </c>
      <c r="B41" s="51" t="s">
        <v>16</v>
      </c>
      <c r="C41" s="26">
        <v>400</v>
      </c>
      <c r="D41" s="26">
        <v>300</v>
      </c>
      <c r="E41" s="58"/>
      <c r="F41" s="73"/>
      <c r="G41" s="74" t="s">
        <v>119</v>
      </c>
      <c r="H41" s="13"/>
      <c r="I41" s="23"/>
      <c r="J41" s="21"/>
      <c r="K41" s="17"/>
      <c r="L41" s="18"/>
      <c r="M41" s="19"/>
      <c r="N41" s="21"/>
      <c r="O41" s="8"/>
      <c r="Q41" s="10" t="s">
        <v>158</v>
      </c>
    </row>
    <row r="42" spans="1:17" s="10" customFormat="1" ht="18" customHeight="1" thickBot="1">
      <c r="A42" s="81" t="s">
        <v>106</v>
      </c>
      <c r="B42" s="51" t="s">
        <v>16</v>
      </c>
      <c r="C42" s="26">
        <v>400</v>
      </c>
      <c r="D42" s="26">
        <v>300</v>
      </c>
      <c r="E42" s="58"/>
      <c r="F42" s="73"/>
      <c r="G42" s="74" t="s">
        <v>119</v>
      </c>
      <c r="H42" s="13"/>
      <c r="I42" s="23"/>
      <c r="J42" s="21"/>
      <c r="K42" s="17"/>
      <c r="L42" s="18"/>
      <c r="M42" s="19"/>
      <c r="N42" s="21"/>
      <c r="O42" s="8"/>
      <c r="Q42" s="10" t="s">
        <v>159</v>
      </c>
    </row>
    <row r="43" spans="1:17" s="10" customFormat="1" ht="18" customHeight="1" thickBot="1">
      <c r="A43" s="81" t="s">
        <v>107</v>
      </c>
      <c r="B43" s="51" t="s">
        <v>16</v>
      </c>
      <c r="C43" s="26">
        <v>450</v>
      </c>
      <c r="D43" s="26">
        <v>350</v>
      </c>
      <c r="E43" s="58"/>
      <c r="F43" s="73"/>
      <c r="G43" s="74" t="s">
        <v>119</v>
      </c>
      <c r="H43" s="13"/>
      <c r="I43" s="23"/>
      <c r="J43" s="21"/>
      <c r="K43" s="17"/>
      <c r="L43" s="18"/>
      <c r="M43" s="19"/>
      <c r="N43" s="21"/>
      <c r="O43" s="8"/>
      <c r="Q43" s="10" t="s">
        <v>160</v>
      </c>
    </row>
    <row r="44" spans="1:17" s="10" customFormat="1" ht="18" customHeight="1" thickBot="1">
      <c r="A44" s="81" t="s">
        <v>108</v>
      </c>
      <c r="B44" s="51" t="s">
        <v>16</v>
      </c>
      <c r="C44" s="26">
        <v>450</v>
      </c>
      <c r="D44" s="26">
        <v>350</v>
      </c>
      <c r="E44" s="58"/>
      <c r="F44" s="73"/>
      <c r="G44" s="74" t="s">
        <v>119</v>
      </c>
      <c r="H44" s="13"/>
      <c r="I44" s="23"/>
      <c r="J44" s="21"/>
      <c r="K44" s="17"/>
      <c r="L44" s="18"/>
      <c r="M44" s="19"/>
      <c r="N44" s="21"/>
      <c r="O44" s="8"/>
      <c r="Q44" s="10" t="s">
        <v>161</v>
      </c>
    </row>
    <row r="45" spans="1:17" s="10" customFormat="1" ht="18" customHeight="1" thickBot="1">
      <c r="A45" s="81" t="s">
        <v>109</v>
      </c>
      <c r="B45" s="51" t="s">
        <v>16</v>
      </c>
      <c r="C45" s="26">
        <v>500</v>
      </c>
      <c r="D45" s="26">
        <v>300</v>
      </c>
      <c r="E45" s="73"/>
      <c r="F45" s="73"/>
      <c r="G45" s="74" t="s">
        <v>122</v>
      </c>
      <c r="H45" s="13"/>
      <c r="I45" s="23"/>
      <c r="J45" s="21"/>
      <c r="K45" s="17"/>
      <c r="L45" s="18"/>
      <c r="M45" s="19"/>
      <c r="N45" s="21"/>
      <c r="O45" s="8"/>
      <c r="Q45" s="10" t="s">
        <v>162</v>
      </c>
    </row>
    <row r="46" spans="1:17" s="10" customFormat="1" ht="18" customHeight="1" thickBot="1">
      <c r="A46" s="81" t="s">
        <v>110</v>
      </c>
      <c r="B46" s="51" t="s">
        <v>16</v>
      </c>
      <c r="C46" s="26">
        <v>600</v>
      </c>
      <c r="D46" s="26">
        <v>250</v>
      </c>
      <c r="E46" s="73"/>
      <c r="F46" s="73"/>
      <c r="G46" s="74" t="s">
        <v>122</v>
      </c>
      <c r="H46" s="13"/>
      <c r="I46" s="23"/>
      <c r="J46" s="21"/>
      <c r="K46" s="17"/>
      <c r="L46" s="18"/>
      <c r="M46" s="19"/>
      <c r="N46" s="21"/>
      <c r="O46" s="8"/>
      <c r="Q46" s="10" t="s">
        <v>163</v>
      </c>
    </row>
    <row r="47" spans="1:17" s="10" customFormat="1" ht="18" customHeight="1" thickBot="1">
      <c r="A47" s="81" t="s">
        <v>111</v>
      </c>
      <c r="B47" s="51" t="s">
        <v>16</v>
      </c>
      <c r="C47" s="26">
        <v>900</v>
      </c>
      <c r="D47" s="26">
        <v>400</v>
      </c>
      <c r="E47" s="73"/>
      <c r="F47" s="73"/>
      <c r="G47" s="74" t="s">
        <v>119</v>
      </c>
      <c r="H47" s="13"/>
      <c r="I47" s="23"/>
      <c r="J47" s="21"/>
      <c r="K47" s="17"/>
      <c r="L47" s="18"/>
      <c r="M47" s="19"/>
      <c r="N47" s="21"/>
      <c r="O47" s="8"/>
      <c r="Q47" s="10" t="s">
        <v>164</v>
      </c>
    </row>
    <row r="48" spans="1:17" s="10" customFormat="1" ht="18" customHeight="1" thickBot="1">
      <c r="A48" s="81" t="s">
        <v>112</v>
      </c>
      <c r="B48" s="51" t="s">
        <v>16</v>
      </c>
      <c r="C48" s="26">
        <v>1000</v>
      </c>
      <c r="D48" s="26">
        <v>400</v>
      </c>
      <c r="E48" s="58"/>
      <c r="F48" s="73"/>
      <c r="G48" s="74" t="s">
        <v>119</v>
      </c>
      <c r="H48" s="13"/>
      <c r="I48" s="23"/>
      <c r="J48" s="21"/>
      <c r="K48" s="17"/>
      <c r="L48" s="18"/>
      <c r="M48" s="19"/>
      <c r="N48" s="21"/>
      <c r="O48" s="8"/>
      <c r="Q48" s="10" t="s">
        <v>165</v>
      </c>
    </row>
    <row r="49" spans="1:17" s="10" customFormat="1" ht="18" customHeight="1" thickBot="1">
      <c r="A49" s="81" t="s">
        <v>113</v>
      </c>
      <c r="B49" s="55" t="s">
        <v>48</v>
      </c>
      <c r="C49" s="26">
        <v>500</v>
      </c>
      <c r="D49" s="26">
        <v>300</v>
      </c>
      <c r="E49" s="73"/>
      <c r="F49" s="73"/>
      <c r="G49" s="74" t="s">
        <v>123</v>
      </c>
      <c r="H49" s="13"/>
      <c r="I49" s="23"/>
      <c r="J49" s="21"/>
      <c r="K49" s="17"/>
      <c r="L49" s="18"/>
      <c r="M49" s="19"/>
      <c r="N49" s="21"/>
      <c r="O49" s="8"/>
      <c r="Q49" s="10" t="s">
        <v>166</v>
      </c>
    </row>
    <row r="50" spans="1:17" s="10" customFormat="1" ht="18" customHeight="1" thickBot="1">
      <c r="A50" s="81" t="s">
        <v>114</v>
      </c>
      <c r="B50" s="55" t="s">
        <v>48</v>
      </c>
      <c r="C50" s="26">
        <v>500</v>
      </c>
      <c r="D50" s="26">
        <v>300</v>
      </c>
      <c r="E50" s="58"/>
      <c r="F50" s="73"/>
      <c r="G50" s="74" t="s">
        <v>123</v>
      </c>
      <c r="H50" s="13"/>
      <c r="I50" s="23"/>
      <c r="J50" s="21"/>
      <c r="K50" s="17"/>
      <c r="L50" s="18"/>
      <c r="M50" s="19"/>
      <c r="N50" s="21"/>
      <c r="O50" s="8"/>
      <c r="Q50" s="10" t="s">
        <v>167</v>
      </c>
    </row>
    <row r="51" spans="1:17" s="10" customFormat="1" ht="18" customHeight="1" thickBot="1">
      <c r="A51" s="81" t="s">
        <v>115</v>
      </c>
      <c r="B51" s="55" t="s">
        <v>48</v>
      </c>
      <c r="C51" s="26">
        <v>700</v>
      </c>
      <c r="D51" s="26">
        <v>250</v>
      </c>
      <c r="E51" s="58"/>
      <c r="F51" s="73"/>
      <c r="G51" s="74" t="s">
        <v>124</v>
      </c>
      <c r="H51" s="13"/>
      <c r="I51" s="23"/>
      <c r="J51" s="21"/>
      <c r="K51" s="17"/>
      <c r="L51" s="18"/>
      <c r="M51" s="19"/>
      <c r="N51" s="21"/>
      <c r="O51" s="8"/>
      <c r="Q51" s="10" t="s">
        <v>168</v>
      </c>
    </row>
    <row r="52" spans="1:17" s="10" customFormat="1" ht="18" customHeight="1" thickBot="1">
      <c r="A52" s="81" t="s">
        <v>116</v>
      </c>
      <c r="B52" s="55" t="s">
        <v>48</v>
      </c>
      <c r="C52" s="26">
        <v>700</v>
      </c>
      <c r="D52" s="26">
        <v>250</v>
      </c>
      <c r="E52" s="58"/>
      <c r="F52" s="73"/>
      <c r="G52" s="74" t="s">
        <v>124</v>
      </c>
      <c r="H52" s="13"/>
      <c r="I52" s="23"/>
      <c r="J52" s="21"/>
      <c r="K52" s="17"/>
      <c r="L52" s="18"/>
      <c r="M52" s="19"/>
      <c r="N52" s="21"/>
      <c r="O52" s="8"/>
      <c r="Q52" s="10" t="s">
        <v>169</v>
      </c>
    </row>
    <row r="53" spans="1:17" s="10" customFormat="1" ht="18" customHeight="1">
      <c r="A53" s="81" t="s">
        <v>117</v>
      </c>
      <c r="B53" s="55" t="s">
        <v>48</v>
      </c>
      <c r="C53" s="26">
        <v>1000</v>
      </c>
      <c r="D53" s="26">
        <v>350</v>
      </c>
      <c r="E53" s="58"/>
      <c r="F53" s="73"/>
      <c r="G53" s="74" t="s">
        <v>125</v>
      </c>
      <c r="H53" s="13"/>
      <c r="I53" s="12"/>
      <c r="J53" s="12"/>
      <c r="K53" s="17"/>
      <c r="L53" s="18"/>
      <c r="M53" s="19"/>
      <c r="N53" s="12"/>
      <c r="O53" s="8"/>
      <c r="Q53" s="10" t="s">
        <v>170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56"/>
  <sheetViews>
    <sheetView zoomScaleNormal="100" zoomScaleSheetLayoutView="100" workbookViewId="0">
      <selection activeCell="H63" sqref="H63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01"/>
      <c r="B1" s="101"/>
      <c r="C1" s="101"/>
      <c r="D1" s="101"/>
      <c r="E1" s="118" t="s">
        <v>67</v>
      </c>
      <c r="F1" s="119"/>
      <c r="G1" s="119"/>
      <c r="H1" s="119" t="str">
        <f>'1. 소켓인수검사'!R2</f>
        <v>26.06.04 씨에스_우진아이엔에스_포스코건설_양평동삼화인쇄</v>
      </c>
      <c r="I1" s="119"/>
      <c r="J1" s="119"/>
      <c r="K1" s="119"/>
      <c r="L1" s="119"/>
      <c r="M1" s="119"/>
      <c r="N1" s="119"/>
      <c r="O1" s="124"/>
    </row>
    <row r="2" spans="1:15" ht="16.5" customHeight="1">
      <c r="A2" s="101"/>
      <c r="B2" s="101"/>
      <c r="C2" s="101"/>
      <c r="D2" s="101"/>
      <c r="E2" s="120"/>
      <c r="F2" s="121"/>
      <c r="G2" s="121"/>
      <c r="H2" s="121"/>
      <c r="I2" s="121"/>
      <c r="J2" s="121"/>
      <c r="K2" s="121"/>
      <c r="L2" s="121"/>
      <c r="M2" s="121"/>
      <c r="N2" s="121"/>
      <c r="O2" s="125"/>
    </row>
    <row r="3" spans="1:15" ht="16.5" customHeight="1">
      <c r="A3" s="101"/>
      <c r="B3" s="101"/>
      <c r="C3" s="101"/>
      <c r="D3" s="101"/>
      <c r="E3" s="122"/>
      <c r="F3" s="123"/>
      <c r="G3" s="123"/>
      <c r="H3" s="123"/>
      <c r="I3" s="123"/>
      <c r="J3" s="123"/>
      <c r="K3" s="123"/>
      <c r="L3" s="123"/>
      <c r="M3" s="123"/>
      <c r="N3" s="123"/>
      <c r="O3" s="126"/>
    </row>
    <row r="4" spans="1:15" ht="8.1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</row>
    <row r="5" spans="1:15" ht="26.45" customHeight="1">
      <c r="A5" s="128" t="s">
        <v>55</v>
      </c>
      <c r="B5" s="129" t="s">
        <v>65</v>
      </c>
      <c r="C5" s="132" t="s">
        <v>4</v>
      </c>
      <c r="D5" s="132"/>
      <c r="E5" s="132" t="s">
        <v>24</v>
      </c>
      <c r="F5" s="133" t="s">
        <v>53</v>
      </c>
      <c r="G5" s="136" t="s">
        <v>20</v>
      </c>
      <c r="H5" s="137"/>
      <c r="I5" s="137"/>
      <c r="J5" s="138"/>
      <c r="K5" s="136" t="s">
        <v>34</v>
      </c>
      <c r="L5" s="137"/>
      <c r="M5" s="137"/>
      <c r="N5" s="137"/>
      <c r="O5" s="133" t="s">
        <v>2</v>
      </c>
    </row>
    <row r="6" spans="1:15" ht="16.5" customHeight="1">
      <c r="A6" s="128"/>
      <c r="B6" s="130"/>
      <c r="C6" s="132" t="s">
        <v>62</v>
      </c>
      <c r="D6" s="132" t="s">
        <v>60</v>
      </c>
      <c r="E6" s="132"/>
      <c r="F6" s="134"/>
      <c r="G6" s="132" t="s">
        <v>62</v>
      </c>
      <c r="H6" s="132"/>
      <c r="I6" s="132" t="s">
        <v>60</v>
      </c>
      <c r="J6" s="132"/>
      <c r="K6" s="132" t="s">
        <v>64</v>
      </c>
      <c r="L6" s="132"/>
      <c r="M6" s="136" t="s">
        <v>61</v>
      </c>
      <c r="N6" s="137"/>
      <c r="O6" s="134"/>
    </row>
    <row r="7" spans="1:15">
      <c r="A7" s="128"/>
      <c r="B7" s="131"/>
      <c r="C7" s="132"/>
      <c r="D7" s="132"/>
      <c r="E7" s="132"/>
      <c r="F7" s="135"/>
      <c r="G7" s="82" t="s">
        <v>4</v>
      </c>
      <c r="H7" s="82" t="s">
        <v>31</v>
      </c>
      <c r="I7" s="85" t="s">
        <v>4</v>
      </c>
      <c r="J7" s="84" t="s">
        <v>31</v>
      </c>
      <c r="K7" s="82" t="s">
        <v>4</v>
      </c>
      <c r="L7" s="82" t="s">
        <v>53</v>
      </c>
      <c r="M7" s="82" t="s">
        <v>4</v>
      </c>
      <c r="N7" s="83" t="s">
        <v>53</v>
      </c>
      <c r="O7" s="135"/>
    </row>
    <row r="8" spans="1:15">
      <c r="A8" s="86" t="str">
        <f>'1. 소켓인수검사'!A9</f>
        <v>01</v>
      </c>
      <c r="B8" s="87" t="s">
        <v>16</v>
      </c>
      <c r="C8" s="56">
        <f>'1. 소켓인수검사'!C9</f>
        <v>150</v>
      </c>
      <c r="D8" s="56">
        <f>'1. 소켓인수검사'!D9</f>
        <v>150</v>
      </c>
      <c r="E8" s="48"/>
      <c r="F8" s="56">
        <v>1</v>
      </c>
      <c r="G8" s="88">
        <f>C8-5</f>
        <v>145</v>
      </c>
      <c r="H8" s="56">
        <f t="shared" ref="H8:H47" si="0">F8*4</f>
        <v>4</v>
      </c>
      <c r="I8" s="89">
        <f t="shared" ref="I8:I47" si="1">D8-30</f>
        <v>120</v>
      </c>
      <c r="J8" s="56">
        <f t="shared" ref="J8:J47" si="2">F8*4</f>
        <v>4</v>
      </c>
      <c r="K8" s="90">
        <f t="shared" ref="K8:K47" si="3">C8+60</f>
        <v>210</v>
      </c>
      <c r="L8" s="56">
        <v>2</v>
      </c>
      <c r="M8" s="90">
        <f>D8</f>
        <v>150</v>
      </c>
      <c r="N8" s="56">
        <v>2</v>
      </c>
      <c r="O8" s="49"/>
    </row>
    <row r="9" spans="1:15">
      <c r="A9" s="91" t="str">
        <f>'1. 소켓인수검사'!A10</f>
        <v>02</v>
      </c>
      <c r="B9" s="92" t="s">
        <v>16</v>
      </c>
      <c r="C9" s="57">
        <f>'1. 소켓인수검사'!C10</f>
        <v>150</v>
      </c>
      <c r="D9" s="57">
        <f>'1. 소켓인수검사'!D10</f>
        <v>150</v>
      </c>
      <c r="E9" s="37"/>
      <c r="F9" s="57">
        <v>1</v>
      </c>
      <c r="G9" s="93">
        <f t="shared" ref="G9:G47" si="4">C9-5</f>
        <v>145</v>
      </c>
      <c r="H9" s="57">
        <f t="shared" si="0"/>
        <v>4</v>
      </c>
      <c r="I9" s="94">
        <f t="shared" si="1"/>
        <v>120</v>
      </c>
      <c r="J9" s="57">
        <f t="shared" si="2"/>
        <v>4</v>
      </c>
      <c r="K9" s="95">
        <f t="shared" si="3"/>
        <v>210</v>
      </c>
      <c r="L9" s="57">
        <v>2</v>
      </c>
      <c r="M9" s="95">
        <f t="shared" ref="M9:M47" si="5">D9</f>
        <v>150</v>
      </c>
      <c r="N9" s="57">
        <v>2</v>
      </c>
      <c r="O9" s="96"/>
    </row>
    <row r="10" spans="1:15">
      <c r="A10" s="91" t="str">
        <f>'1. 소켓인수검사'!A11</f>
        <v>03</v>
      </c>
      <c r="B10" s="92" t="s">
        <v>16</v>
      </c>
      <c r="C10" s="57">
        <f>'1. 소켓인수검사'!C11</f>
        <v>150</v>
      </c>
      <c r="D10" s="57">
        <f>'1. 소켓인수검사'!D11</f>
        <v>150</v>
      </c>
      <c r="E10" s="37"/>
      <c r="F10" s="57">
        <v>1</v>
      </c>
      <c r="G10" s="93">
        <f t="shared" si="4"/>
        <v>145</v>
      </c>
      <c r="H10" s="57">
        <f t="shared" si="0"/>
        <v>4</v>
      </c>
      <c r="I10" s="94">
        <f t="shared" si="1"/>
        <v>120</v>
      </c>
      <c r="J10" s="57">
        <f t="shared" si="2"/>
        <v>4</v>
      </c>
      <c r="K10" s="95">
        <f t="shared" si="3"/>
        <v>210</v>
      </c>
      <c r="L10" s="57">
        <v>2</v>
      </c>
      <c r="M10" s="95">
        <f t="shared" si="5"/>
        <v>150</v>
      </c>
      <c r="N10" s="57">
        <v>2</v>
      </c>
      <c r="O10" s="96"/>
    </row>
    <row r="11" spans="1:15">
      <c r="A11" s="91" t="str">
        <f>'1. 소켓인수검사'!A12</f>
        <v>04</v>
      </c>
      <c r="B11" s="92" t="s">
        <v>16</v>
      </c>
      <c r="C11" s="57">
        <f>'1. 소켓인수검사'!C12</f>
        <v>200</v>
      </c>
      <c r="D11" s="57">
        <f>'1. 소켓인수검사'!D12</f>
        <v>150</v>
      </c>
      <c r="E11" s="37"/>
      <c r="F11" s="57">
        <v>1</v>
      </c>
      <c r="G11" s="93">
        <f t="shared" si="4"/>
        <v>195</v>
      </c>
      <c r="H11" s="57">
        <f t="shared" si="0"/>
        <v>4</v>
      </c>
      <c r="I11" s="94">
        <f t="shared" si="1"/>
        <v>120</v>
      </c>
      <c r="J11" s="57">
        <f t="shared" si="2"/>
        <v>4</v>
      </c>
      <c r="K11" s="95">
        <f t="shared" si="3"/>
        <v>260</v>
      </c>
      <c r="L11" s="57">
        <v>2</v>
      </c>
      <c r="M11" s="95">
        <f t="shared" si="5"/>
        <v>150</v>
      </c>
      <c r="N11" s="57">
        <v>2</v>
      </c>
      <c r="O11" s="96"/>
    </row>
    <row r="12" spans="1:15">
      <c r="A12" s="91" t="str">
        <f>'1. 소켓인수검사'!A13</f>
        <v>05</v>
      </c>
      <c r="B12" s="92" t="s">
        <v>16</v>
      </c>
      <c r="C12" s="57">
        <f>'1. 소켓인수검사'!C13</f>
        <v>200</v>
      </c>
      <c r="D12" s="57">
        <f>'1. 소켓인수검사'!D13</f>
        <v>150</v>
      </c>
      <c r="E12" s="37"/>
      <c r="F12" s="57">
        <v>1</v>
      </c>
      <c r="G12" s="93">
        <f t="shared" si="4"/>
        <v>195</v>
      </c>
      <c r="H12" s="57">
        <f t="shared" si="0"/>
        <v>4</v>
      </c>
      <c r="I12" s="94">
        <f t="shared" si="1"/>
        <v>120</v>
      </c>
      <c r="J12" s="57">
        <f t="shared" si="2"/>
        <v>4</v>
      </c>
      <c r="K12" s="95">
        <f t="shared" si="3"/>
        <v>260</v>
      </c>
      <c r="L12" s="57">
        <v>2</v>
      </c>
      <c r="M12" s="95">
        <f t="shared" si="5"/>
        <v>150</v>
      </c>
      <c r="N12" s="57">
        <v>2</v>
      </c>
      <c r="O12" s="96"/>
    </row>
    <row r="13" spans="1:15">
      <c r="A13" s="91" t="str">
        <f>'1. 소켓인수검사'!A14</f>
        <v>06</v>
      </c>
      <c r="B13" s="92" t="s">
        <v>16</v>
      </c>
      <c r="C13" s="57">
        <f>'1. 소켓인수검사'!C14</f>
        <v>200</v>
      </c>
      <c r="D13" s="57">
        <f>'1. 소켓인수검사'!D14</f>
        <v>150</v>
      </c>
      <c r="E13" s="37"/>
      <c r="F13" s="57">
        <v>1</v>
      </c>
      <c r="G13" s="93">
        <f t="shared" si="4"/>
        <v>195</v>
      </c>
      <c r="H13" s="57">
        <f t="shared" si="0"/>
        <v>4</v>
      </c>
      <c r="I13" s="94">
        <f t="shared" si="1"/>
        <v>120</v>
      </c>
      <c r="J13" s="57">
        <f t="shared" si="2"/>
        <v>4</v>
      </c>
      <c r="K13" s="95">
        <f t="shared" si="3"/>
        <v>260</v>
      </c>
      <c r="L13" s="57">
        <v>2</v>
      </c>
      <c r="M13" s="95">
        <f t="shared" si="5"/>
        <v>150</v>
      </c>
      <c r="N13" s="57">
        <v>2</v>
      </c>
      <c r="O13" s="96"/>
    </row>
    <row r="14" spans="1:15">
      <c r="A14" s="91" t="str">
        <f>'1. 소켓인수검사'!A15</f>
        <v>07</v>
      </c>
      <c r="B14" s="92" t="s">
        <v>16</v>
      </c>
      <c r="C14" s="57">
        <f>'1. 소켓인수검사'!C15</f>
        <v>200</v>
      </c>
      <c r="D14" s="57">
        <f>'1. 소켓인수검사'!D15</f>
        <v>150</v>
      </c>
      <c r="E14" s="37"/>
      <c r="F14" s="57">
        <v>1</v>
      </c>
      <c r="G14" s="93">
        <f t="shared" si="4"/>
        <v>195</v>
      </c>
      <c r="H14" s="57">
        <f t="shared" si="0"/>
        <v>4</v>
      </c>
      <c r="I14" s="94">
        <f t="shared" si="1"/>
        <v>120</v>
      </c>
      <c r="J14" s="57">
        <f t="shared" si="2"/>
        <v>4</v>
      </c>
      <c r="K14" s="95">
        <f t="shared" si="3"/>
        <v>260</v>
      </c>
      <c r="L14" s="57">
        <v>2</v>
      </c>
      <c r="M14" s="95">
        <f t="shared" si="5"/>
        <v>150</v>
      </c>
      <c r="N14" s="57">
        <v>2</v>
      </c>
      <c r="O14" s="96"/>
    </row>
    <row r="15" spans="1:15">
      <c r="A15" s="91" t="str">
        <f>'1. 소켓인수검사'!A16</f>
        <v>08</v>
      </c>
      <c r="B15" s="92" t="s">
        <v>16</v>
      </c>
      <c r="C15" s="57">
        <f>'1. 소켓인수검사'!C16</f>
        <v>200</v>
      </c>
      <c r="D15" s="57">
        <f>'1. 소켓인수검사'!D16</f>
        <v>200</v>
      </c>
      <c r="E15" s="37"/>
      <c r="F15" s="57">
        <v>1</v>
      </c>
      <c r="G15" s="93">
        <f t="shared" si="4"/>
        <v>195</v>
      </c>
      <c r="H15" s="57">
        <f t="shared" si="0"/>
        <v>4</v>
      </c>
      <c r="I15" s="94">
        <f t="shared" si="1"/>
        <v>170</v>
      </c>
      <c r="J15" s="57">
        <f t="shared" si="2"/>
        <v>4</v>
      </c>
      <c r="K15" s="95">
        <f t="shared" si="3"/>
        <v>260</v>
      </c>
      <c r="L15" s="57">
        <v>2</v>
      </c>
      <c r="M15" s="95">
        <f t="shared" si="5"/>
        <v>200</v>
      </c>
      <c r="N15" s="57">
        <v>2</v>
      </c>
      <c r="O15" s="96"/>
    </row>
    <row r="16" spans="1:15">
      <c r="A16" s="91" t="str">
        <f>'1. 소켓인수검사'!A17</f>
        <v>09</v>
      </c>
      <c r="B16" s="92" t="s">
        <v>16</v>
      </c>
      <c r="C16" s="57">
        <f>'1. 소켓인수검사'!C17</f>
        <v>200</v>
      </c>
      <c r="D16" s="57">
        <f>'1. 소켓인수검사'!D17</f>
        <v>200</v>
      </c>
      <c r="E16" s="37"/>
      <c r="F16" s="57">
        <v>1</v>
      </c>
      <c r="G16" s="93">
        <f t="shared" si="4"/>
        <v>195</v>
      </c>
      <c r="H16" s="57">
        <f t="shared" si="0"/>
        <v>4</v>
      </c>
      <c r="I16" s="94">
        <f t="shared" si="1"/>
        <v>170</v>
      </c>
      <c r="J16" s="57">
        <f t="shared" si="2"/>
        <v>4</v>
      </c>
      <c r="K16" s="95">
        <f t="shared" si="3"/>
        <v>260</v>
      </c>
      <c r="L16" s="57">
        <v>2</v>
      </c>
      <c r="M16" s="95">
        <f t="shared" si="5"/>
        <v>200</v>
      </c>
      <c r="N16" s="57">
        <v>2</v>
      </c>
      <c r="O16" s="96"/>
    </row>
    <row r="17" spans="1:15">
      <c r="A17" s="91" t="str">
        <f>'1. 소켓인수검사'!A18</f>
        <v>10</v>
      </c>
      <c r="B17" s="92" t="s">
        <v>16</v>
      </c>
      <c r="C17" s="57">
        <f>'1. 소켓인수검사'!C18</f>
        <v>200</v>
      </c>
      <c r="D17" s="57">
        <f>'1. 소켓인수검사'!D18</f>
        <v>200</v>
      </c>
      <c r="E17" s="37"/>
      <c r="F17" s="57">
        <v>1</v>
      </c>
      <c r="G17" s="93">
        <f t="shared" si="4"/>
        <v>195</v>
      </c>
      <c r="H17" s="57">
        <f t="shared" si="0"/>
        <v>4</v>
      </c>
      <c r="I17" s="94">
        <f t="shared" si="1"/>
        <v>170</v>
      </c>
      <c r="J17" s="57">
        <f t="shared" si="2"/>
        <v>4</v>
      </c>
      <c r="K17" s="95">
        <f t="shared" si="3"/>
        <v>260</v>
      </c>
      <c r="L17" s="57">
        <v>2</v>
      </c>
      <c r="M17" s="95">
        <f t="shared" si="5"/>
        <v>200</v>
      </c>
      <c r="N17" s="57">
        <v>2</v>
      </c>
      <c r="O17" s="96"/>
    </row>
    <row r="18" spans="1:15">
      <c r="A18" s="91" t="str">
        <f>'1. 소켓인수검사'!A19</f>
        <v>11</v>
      </c>
      <c r="B18" s="92" t="s">
        <v>16</v>
      </c>
      <c r="C18" s="57">
        <f>'1. 소켓인수검사'!C19</f>
        <v>200</v>
      </c>
      <c r="D18" s="57">
        <f>'1. 소켓인수검사'!D19</f>
        <v>200</v>
      </c>
      <c r="E18" s="37"/>
      <c r="F18" s="57">
        <v>1</v>
      </c>
      <c r="G18" s="93">
        <f t="shared" si="4"/>
        <v>195</v>
      </c>
      <c r="H18" s="57">
        <f t="shared" si="0"/>
        <v>4</v>
      </c>
      <c r="I18" s="94">
        <f t="shared" si="1"/>
        <v>170</v>
      </c>
      <c r="J18" s="57">
        <f t="shared" si="2"/>
        <v>4</v>
      </c>
      <c r="K18" s="95">
        <f t="shared" si="3"/>
        <v>260</v>
      </c>
      <c r="L18" s="57">
        <v>2</v>
      </c>
      <c r="M18" s="95">
        <f t="shared" si="5"/>
        <v>200</v>
      </c>
      <c r="N18" s="57">
        <v>2</v>
      </c>
      <c r="O18" s="96"/>
    </row>
    <row r="19" spans="1:15">
      <c r="A19" s="91" t="str">
        <f>'1. 소켓인수검사'!A20</f>
        <v>12</v>
      </c>
      <c r="B19" s="92" t="s">
        <v>16</v>
      </c>
      <c r="C19" s="57">
        <f>'1. 소켓인수검사'!C20</f>
        <v>200</v>
      </c>
      <c r="D19" s="57">
        <f>'1. 소켓인수검사'!D20</f>
        <v>200</v>
      </c>
      <c r="E19" s="37"/>
      <c r="F19" s="57">
        <v>1</v>
      </c>
      <c r="G19" s="93">
        <f t="shared" si="4"/>
        <v>195</v>
      </c>
      <c r="H19" s="57">
        <f t="shared" si="0"/>
        <v>4</v>
      </c>
      <c r="I19" s="94">
        <f t="shared" si="1"/>
        <v>170</v>
      </c>
      <c r="J19" s="57">
        <f t="shared" si="2"/>
        <v>4</v>
      </c>
      <c r="K19" s="95">
        <f t="shared" si="3"/>
        <v>260</v>
      </c>
      <c r="L19" s="57">
        <v>2</v>
      </c>
      <c r="M19" s="95">
        <f t="shared" si="5"/>
        <v>200</v>
      </c>
      <c r="N19" s="57">
        <v>2</v>
      </c>
      <c r="O19" s="96"/>
    </row>
    <row r="20" spans="1:15">
      <c r="A20" s="91" t="str">
        <f>'1. 소켓인수검사'!A21</f>
        <v>13</v>
      </c>
      <c r="B20" s="92" t="s">
        <v>16</v>
      </c>
      <c r="C20" s="57">
        <f>'1. 소켓인수검사'!C21</f>
        <v>200</v>
      </c>
      <c r="D20" s="57">
        <f>'1. 소켓인수검사'!D21</f>
        <v>200</v>
      </c>
      <c r="E20" s="37"/>
      <c r="F20" s="57">
        <v>1</v>
      </c>
      <c r="G20" s="93">
        <f t="shared" si="4"/>
        <v>195</v>
      </c>
      <c r="H20" s="57">
        <f t="shared" si="0"/>
        <v>4</v>
      </c>
      <c r="I20" s="94">
        <f t="shared" si="1"/>
        <v>170</v>
      </c>
      <c r="J20" s="57">
        <f t="shared" si="2"/>
        <v>4</v>
      </c>
      <c r="K20" s="95">
        <f t="shared" si="3"/>
        <v>260</v>
      </c>
      <c r="L20" s="57">
        <v>2</v>
      </c>
      <c r="M20" s="95">
        <f t="shared" si="5"/>
        <v>200</v>
      </c>
      <c r="N20" s="57">
        <v>2</v>
      </c>
      <c r="O20" s="96"/>
    </row>
    <row r="21" spans="1:15">
      <c r="A21" s="91" t="str">
        <f>'1. 소켓인수검사'!A22</f>
        <v>14</v>
      </c>
      <c r="B21" s="92" t="s">
        <v>16</v>
      </c>
      <c r="C21" s="57">
        <f>'1. 소켓인수검사'!C22</f>
        <v>200</v>
      </c>
      <c r="D21" s="57">
        <f>'1. 소켓인수검사'!D22</f>
        <v>200</v>
      </c>
      <c r="E21" s="37"/>
      <c r="F21" s="57">
        <v>1</v>
      </c>
      <c r="G21" s="93">
        <f t="shared" si="4"/>
        <v>195</v>
      </c>
      <c r="H21" s="57">
        <f t="shared" si="0"/>
        <v>4</v>
      </c>
      <c r="I21" s="94">
        <f t="shared" si="1"/>
        <v>170</v>
      </c>
      <c r="J21" s="57">
        <f t="shared" si="2"/>
        <v>4</v>
      </c>
      <c r="K21" s="95">
        <f t="shared" si="3"/>
        <v>260</v>
      </c>
      <c r="L21" s="57">
        <v>2</v>
      </c>
      <c r="M21" s="95">
        <f t="shared" si="5"/>
        <v>200</v>
      </c>
      <c r="N21" s="57">
        <v>2</v>
      </c>
      <c r="O21" s="96"/>
    </row>
    <row r="22" spans="1:15">
      <c r="A22" s="91" t="str">
        <f>'1. 소켓인수검사'!A23</f>
        <v>15</v>
      </c>
      <c r="B22" s="92" t="s">
        <v>16</v>
      </c>
      <c r="C22" s="57">
        <f>'1. 소켓인수검사'!C23</f>
        <v>250</v>
      </c>
      <c r="D22" s="57">
        <f>'1. 소켓인수검사'!D23</f>
        <v>150</v>
      </c>
      <c r="E22" s="37"/>
      <c r="F22" s="57">
        <v>1</v>
      </c>
      <c r="G22" s="93">
        <f t="shared" si="4"/>
        <v>245</v>
      </c>
      <c r="H22" s="57">
        <f t="shared" si="0"/>
        <v>4</v>
      </c>
      <c r="I22" s="94">
        <f t="shared" si="1"/>
        <v>120</v>
      </c>
      <c r="J22" s="57">
        <f t="shared" si="2"/>
        <v>4</v>
      </c>
      <c r="K22" s="95">
        <f t="shared" si="3"/>
        <v>310</v>
      </c>
      <c r="L22" s="57">
        <v>2</v>
      </c>
      <c r="M22" s="95">
        <f t="shared" si="5"/>
        <v>150</v>
      </c>
      <c r="N22" s="57">
        <v>2</v>
      </c>
      <c r="O22" s="96"/>
    </row>
    <row r="23" spans="1:15">
      <c r="A23" s="91" t="str">
        <f>'1. 소켓인수검사'!A24</f>
        <v>16</v>
      </c>
      <c r="B23" s="92" t="s">
        <v>16</v>
      </c>
      <c r="C23" s="57">
        <f>'1. 소켓인수검사'!C24</f>
        <v>250</v>
      </c>
      <c r="D23" s="57">
        <f>'1. 소켓인수검사'!D24</f>
        <v>150</v>
      </c>
      <c r="E23" s="37"/>
      <c r="F23" s="57">
        <v>1</v>
      </c>
      <c r="G23" s="93">
        <f t="shared" si="4"/>
        <v>245</v>
      </c>
      <c r="H23" s="57">
        <f t="shared" si="0"/>
        <v>4</v>
      </c>
      <c r="I23" s="94">
        <f t="shared" si="1"/>
        <v>120</v>
      </c>
      <c r="J23" s="57">
        <f t="shared" si="2"/>
        <v>4</v>
      </c>
      <c r="K23" s="95">
        <f t="shared" si="3"/>
        <v>310</v>
      </c>
      <c r="L23" s="57">
        <v>2</v>
      </c>
      <c r="M23" s="95">
        <f t="shared" si="5"/>
        <v>150</v>
      </c>
      <c r="N23" s="57">
        <v>2</v>
      </c>
      <c r="O23" s="96"/>
    </row>
    <row r="24" spans="1:15">
      <c r="A24" s="91" t="str">
        <f>'1. 소켓인수검사'!A25</f>
        <v>17</v>
      </c>
      <c r="B24" s="92" t="s">
        <v>16</v>
      </c>
      <c r="C24" s="57">
        <f>'1. 소켓인수검사'!C25</f>
        <v>250</v>
      </c>
      <c r="D24" s="57">
        <f>'1. 소켓인수검사'!D25</f>
        <v>150</v>
      </c>
      <c r="E24" s="37"/>
      <c r="F24" s="57">
        <v>1</v>
      </c>
      <c r="G24" s="93">
        <f t="shared" si="4"/>
        <v>245</v>
      </c>
      <c r="H24" s="57">
        <f t="shared" si="0"/>
        <v>4</v>
      </c>
      <c r="I24" s="94">
        <f t="shared" si="1"/>
        <v>120</v>
      </c>
      <c r="J24" s="57">
        <f t="shared" si="2"/>
        <v>4</v>
      </c>
      <c r="K24" s="95">
        <f t="shared" si="3"/>
        <v>310</v>
      </c>
      <c r="L24" s="57">
        <v>2</v>
      </c>
      <c r="M24" s="95">
        <f t="shared" si="5"/>
        <v>150</v>
      </c>
      <c r="N24" s="57">
        <v>2</v>
      </c>
      <c r="O24" s="96"/>
    </row>
    <row r="25" spans="1:15">
      <c r="A25" s="91" t="str">
        <f>'1. 소켓인수검사'!A26</f>
        <v>18</v>
      </c>
      <c r="B25" s="92" t="s">
        <v>16</v>
      </c>
      <c r="C25" s="57">
        <f>'1. 소켓인수검사'!C26</f>
        <v>250</v>
      </c>
      <c r="D25" s="57">
        <f>'1. 소켓인수검사'!D26</f>
        <v>250</v>
      </c>
      <c r="E25" s="37"/>
      <c r="F25" s="57">
        <v>1</v>
      </c>
      <c r="G25" s="93">
        <f t="shared" si="4"/>
        <v>245</v>
      </c>
      <c r="H25" s="57">
        <f t="shared" si="0"/>
        <v>4</v>
      </c>
      <c r="I25" s="94">
        <f t="shared" si="1"/>
        <v>220</v>
      </c>
      <c r="J25" s="57">
        <f t="shared" si="2"/>
        <v>4</v>
      </c>
      <c r="K25" s="95">
        <f t="shared" si="3"/>
        <v>310</v>
      </c>
      <c r="L25" s="57">
        <v>2</v>
      </c>
      <c r="M25" s="95">
        <f t="shared" si="5"/>
        <v>250</v>
      </c>
      <c r="N25" s="57">
        <v>2</v>
      </c>
      <c r="O25" s="96"/>
    </row>
    <row r="26" spans="1:15">
      <c r="A26" s="91" t="str">
        <f>'1. 소켓인수검사'!A27</f>
        <v>19</v>
      </c>
      <c r="B26" s="92" t="s">
        <v>16</v>
      </c>
      <c r="C26" s="57">
        <f>'1. 소켓인수검사'!C27</f>
        <v>250</v>
      </c>
      <c r="D26" s="57">
        <f>'1. 소켓인수검사'!D27</f>
        <v>250</v>
      </c>
      <c r="E26" s="37"/>
      <c r="F26" s="57">
        <v>1</v>
      </c>
      <c r="G26" s="93">
        <f t="shared" si="4"/>
        <v>245</v>
      </c>
      <c r="H26" s="57">
        <f t="shared" si="0"/>
        <v>4</v>
      </c>
      <c r="I26" s="94">
        <f t="shared" si="1"/>
        <v>220</v>
      </c>
      <c r="J26" s="57">
        <f t="shared" si="2"/>
        <v>4</v>
      </c>
      <c r="K26" s="95">
        <f t="shared" si="3"/>
        <v>310</v>
      </c>
      <c r="L26" s="57">
        <v>2</v>
      </c>
      <c r="M26" s="95">
        <f t="shared" si="5"/>
        <v>250</v>
      </c>
      <c r="N26" s="57">
        <v>2</v>
      </c>
      <c r="O26" s="96"/>
    </row>
    <row r="27" spans="1:15">
      <c r="A27" s="91" t="str">
        <f>'1. 소켓인수검사'!A28</f>
        <v>20</v>
      </c>
      <c r="B27" s="92" t="s">
        <v>16</v>
      </c>
      <c r="C27" s="57">
        <f>'1. 소켓인수검사'!C28</f>
        <v>250</v>
      </c>
      <c r="D27" s="57">
        <f>'1. 소켓인수검사'!D28</f>
        <v>250</v>
      </c>
      <c r="E27" s="37"/>
      <c r="F27" s="57">
        <v>1</v>
      </c>
      <c r="G27" s="93">
        <f t="shared" si="4"/>
        <v>245</v>
      </c>
      <c r="H27" s="57">
        <f t="shared" si="0"/>
        <v>4</v>
      </c>
      <c r="I27" s="94">
        <f t="shared" si="1"/>
        <v>220</v>
      </c>
      <c r="J27" s="57">
        <f t="shared" si="2"/>
        <v>4</v>
      </c>
      <c r="K27" s="95">
        <f t="shared" si="3"/>
        <v>310</v>
      </c>
      <c r="L27" s="57">
        <v>2</v>
      </c>
      <c r="M27" s="95">
        <f t="shared" si="5"/>
        <v>250</v>
      </c>
      <c r="N27" s="57">
        <v>2</v>
      </c>
      <c r="O27" s="96"/>
    </row>
    <row r="28" spans="1:15">
      <c r="A28" s="91" t="str">
        <f>'1. 소켓인수검사'!A29</f>
        <v>21</v>
      </c>
      <c r="B28" s="92" t="s">
        <v>16</v>
      </c>
      <c r="C28" s="57">
        <f>'1. 소켓인수검사'!C29</f>
        <v>250</v>
      </c>
      <c r="D28" s="57">
        <f>'1. 소켓인수검사'!D29</f>
        <v>250</v>
      </c>
      <c r="E28" s="37"/>
      <c r="F28" s="57">
        <v>1</v>
      </c>
      <c r="G28" s="93">
        <f t="shared" si="4"/>
        <v>245</v>
      </c>
      <c r="H28" s="57">
        <f t="shared" si="0"/>
        <v>4</v>
      </c>
      <c r="I28" s="94">
        <f t="shared" si="1"/>
        <v>220</v>
      </c>
      <c r="J28" s="57">
        <f t="shared" si="2"/>
        <v>4</v>
      </c>
      <c r="K28" s="95">
        <f t="shared" si="3"/>
        <v>310</v>
      </c>
      <c r="L28" s="57">
        <v>2</v>
      </c>
      <c r="M28" s="95">
        <f t="shared" si="5"/>
        <v>250</v>
      </c>
      <c r="N28" s="57">
        <v>2</v>
      </c>
      <c r="O28" s="54"/>
    </row>
    <row r="29" spans="1:15">
      <c r="A29" s="91" t="str">
        <f>'1. 소켓인수검사'!A30</f>
        <v>22</v>
      </c>
      <c r="B29" s="92" t="s">
        <v>16</v>
      </c>
      <c r="C29" s="57">
        <f>'1. 소켓인수검사'!C30</f>
        <v>250</v>
      </c>
      <c r="D29" s="57">
        <f>'1. 소켓인수검사'!D30</f>
        <v>250</v>
      </c>
      <c r="E29" s="37"/>
      <c r="F29" s="57">
        <v>1</v>
      </c>
      <c r="G29" s="93">
        <f t="shared" si="4"/>
        <v>245</v>
      </c>
      <c r="H29" s="57">
        <f t="shared" si="0"/>
        <v>4</v>
      </c>
      <c r="I29" s="94">
        <f t="shared" si="1"/>
        <v>220</v>
      </c>
      <c r="J29" s="57">
        <f t="shared" si="2"/>
        <v>4</v>
      </c>
      <c r="K29" s="95">
        <f t="shared" si="3"/>
        <v>310</v>
      </c>
      <c r="L29" s="57">
        <v>2</v>
      </c>
      <c r="M29" s="95">
        <f t="shared" si="5"/>
        <v>250</v>
      </c>
      <c r="N29" s="57">
        <v>2</v>
      </c>
      <c r="O29" s="96"/>
    </row>
    <row r="30" spans="1:15">
      <c r="A30" s="91" t="str">
        <f>'1. 소켓인수검사'!A31</f>
        <v>23</v>
      </c>
      <c r="B30" s="92" t="s">
        <v>16</v>
      </c>
      <c r="C30" s="57">
        <f>'1. 소켓인수검사'!C31</f>
        <v>300</v>
      </c>
      <c r="D30" s="57">
        <f>'1. 소켓인수검사'!D31</f>
        <v>200</v>
      </c>
      <c r="E30" s="37"/>
      <c r="F30" s="57">
        <v>1</v>
      </c>
      <c r="G30" s="93">
        <f t="shared" si="4"/>
        <v>295</v>
      </c>
      <c r="H30" s="57">
        <f t="shared" si="0"/>
        <v>4</v>
      </c>
      <c r="I30" s="94">
        <f t="shared" si="1"/>
        <v>170</v>
      </c>
      <c r="J30" s="57">
        <f t="shared" si="2"/>
        <v>4</v>
      </c>
      <c r="K30" s="95">
        <f t="shared" si="3"/>
        <v>360</v>
      </c>
      <c r="L30" s="57">
        <v>2</v>
      </c>
      <c r="M30" s="95">
        <f t="shared" si="5"/>
        <v>200</v>
      </c>
      <c r="N30" s="57">
        <v>2</v>
      </c>
      <c r="O30" s="96"/>
    </row>
    <row r="31" spans="1:15">
      <c r="A31" s="91" t="str">
        <f>'1. 소켓인수검사'!A32</f>
        <v>24</v>
      </c>
      <c r="B31" s="92" t="s">
        <v>16</v>
      </c>
      <c r="C31" s="57">
        <f>'1. 소켓인수검사'!C32</f>
        <v>300</v>
      </c>
      <c r="D31" s="57">
        <f>'1. 소켓인수검사'!D32</f>
        <v>200</v>
      </c>
      <c r="E31" s="37"/>
      <c r="F31" s="57">
        <v>1</v>
      </c>
      <c r="G31" s="93">
        <f t="shared" si="4"/>
        <v>295</v>
      </c>
      <c r="H31" s="57">
        <f t="shared" si="0"/>
        <v>4</v>
      </c>
      <c r="I31" s="94">
        <f t="shared" si="1"/>
        <v>170</v>
      </c>
      <c r="J31" s="57">
        <f t="shared" si="2"/>
        <v>4</v>
      </c>
      <c r="K31" s="95">
        <f t="shared" si="3"/>
        <v>360</v>
      </c>
      <c r="L31" s="57">
        <v>2</v>
      </c>
      <c r="M31" s="95">
        <f t="shared" si="5"/>
        <v>200</v>
      </c>
      <c r="N31" s="57">
        <v>2</v>
      </c>
      <c r="O31" s="96"/>
    </row>
    <row r="32" spans="1:15">
      <c r="A32" s="91" t="str">
        <f>'1. 소켓인수검사'!A33</f>
        <v>25</v>
      </c>
      <c r="B32" s="92" t="s">
        <v>16</v>
      </c>
      <c r="C32" s="57">
        <f>'1. 소켓인수검사'!C33</f>
        <v>300</v>
      </c>
      <c r="D32" s="57">
        <f>'1. 소켓인수검사'!D33</f>
        <v>200</v>
      </c>
      <c r="E32" s="37"/>
      <c r="F32" s="57">
        <v>1</v>
      </c>
      <c r="G32" s="93">
        <f t="shared" si="4"/>
        <v>295</v>
      </c>
      <c r="H32" s="57">
        <f t="shared" si="0"/>
        <v>4</v>
      </c>
      <c r="I32" s="94">
        <f t="shared" si="1"/>
        <v>170</v>
      </c>
      <c r="J32" s="57">
        <f t="shared" si="2"/>
        <v>4</v>
      </c>
      <c r="K32" s="95">
        <f t="shared" si="3"/>
        <v>360</v>
      </c>
      <c r="L32" s="57">
        <v>2</v>
      </c>
      <c r="M32" s="95">
        <f t="shared" si="5"/>
        <v>200</v>
      </c>
      <c r="N32" s="57">
        <v>2</v>
      </c>
      <c r="O32" s="96"/>
    </row>
    <row r="33" spans="1:15">
      <c r="A33" s="91" t="str">
        <f>'1. 소켓인수검사'!A34</f>
        <v>26</v>
      </c>
      <c r="B33" s="92" t="s">
        <v>16</v>
      </c>
      <c r="C33" s="57">
        <f>'1. 소켓인수검사'!C34</f>
        <v>300</v>
      </c>
      <c r="D33" s="57">
        <f>'1. 소켓인수검사'!D34</f>
        <v>200</v>
      </c>
      <c r="E33" s="37"/>
      <c r="F33" s="57">
        <v>1</v>
      </c>
      <c r="G33" s="93">
        <f t="shared" si="4"/>
        <v>295</v>
      </c>
      <c r="H33" s="57">
        <f t="shared" si="0"/>
        <v>4</v>
      </c>
      <c r="I33" s="94">
        <f t="shared" si="1"/>
        <v>170</v>
      </c>
      <c r="J33" s="57">
        <f t="shared" si="2"/>
        <v>4</v>
      </c>
      <c r="K33" s="95">
        <f t="shared" si="3"/>
        <v>360</v>
      </c>
      <c r="L33" s="57">
        <v>2</v>
      </c>
      <c r="M33" s="95">
        <f t="shared" si="5"/>
        <v>200</v>
      </c>
      <c r="N33" s="57">
        <v>2</v>
      </c>
      <c r="O33" s="96"/>
    </row>
    <row r="34" spans="1:15">
      <c r="A34" s="91" t="str">
        <f>'1. 소켓인수검사'!A35</f>
        <v>27</v>
      </c>
      <c r="B34" s="92" t="s">
        <v>16</v>
      </c>
      <c r="C34" s="57">
        <f>'1. 소켓인수검사'!C35</f>
        <v>300</v>
      </c>
      <c r="D34" s="57">
        <f>'1. 소켓인수검사'!D35</f>
        <v>250</v>
      </c>
      <c r="E34" s="37"/>
      <c r="F34" s="57">
        <v>1</v>
      </c>
      <c r="G34" s="93">
        <f t="shared" si="4"/>
        <v>295</v>
      </c>
      <c r="H34" s="57">
        <f t="shared" si="0"/>
        <v>4</v>
      </c>
      <c r="I34" s="94">
        <f t="shared" si="1"/>
        <v>220</v>
      </c>
      <c r="J34" s="57">
        <f t="shared" si="2"/>
        <v>4</v>
      </c>
      <c r="K34" s="95">
        <f t="shared" si="3"/>
        <v>360</v>
      </c>
      <c r="L34" s="57">
        <v>2</v>
      </c>
      <c r="M34" s="95">
        <f t="shared" si="5"/>
        <v>250</v>
      </c>
      <c r="N34" s="57">
        <v>2</v>
      </c>
      <c r="O34" s="96"/>
    </row>
    <row r="35" spans="1:15">
      <c r="A35" s="91" t="str">
        <f>'1. 소켓인수검사'!A36</f>
        <v>28</v>
      </c>
      <c r="B35" s="92" t="s">
        <v>16</v>
      </c>
      <c r="C35" s="57">
        <f>'1. 소켓인수검사'!C36</f>
        <v>300</v>
      </c>
      <c r="D35" s="57">
        <f>'1. 소켓인수검사'!D36</f>
        <v>250</v>
      </c>
      <c r="E35" s="37"/>
      <c r="F35" s="57">
        <v>1</v>
      </c>
      <c r="G35" s="93">
        <f t="shared" si="4"/>
        <v>295</v>
      </c>
      <c r="H35" s="57">
        <f t="shared" si="0"/>
        <v>4</v>
      </c>
      <c r="I35" s="94">
        <f t="shared" si="1"/>
        <v>220</v>
      </c>
      <c r="J35" s="57">
        <f t="shared" si="2"/>
        <v>4</v>
      </c>
      <c r="K35" s="95">
        <f t="shared" si="3"/>
        <v>360</v>
      </c>
      <c r="L35" s="57">
        <v>2</v>
      </c>
      <c r="M35" s="95">
        <f t="shared" si="5"/>
        <v>250</v>
      </c>
      <c r="N35" s="57">
        <v>2</v>
      </c>
      <c r="O35" s="96"/>
    </row>
    <row r="36" spans="1:15">
      <c r="A36" s="91" t="str">
        <f>'1. 소켓인수검사'!A37</f>
        <v>29</v>
      </c>
      <c r="B36" s="92" t="s">
        <v>16</v>
      </c>
      <c r="C36" s="57">
        <f>'1. 소켓인수검사'!C37</f>
        <v>300</v>
      </c>
      <c r="D36" s="57">
        <f>'1. 소켓인수검사'!D37</f>
        <v>300</v>
      </c>
      <c r="E36" s="37"/>
      <c r="F36" s="57">
        <v>1</v>
      </c>
      <c r="G36" s="93">
        <f t="shared" si="4"/>
        <v>295</v>
      </c>
      <c r="H36" s="57">
        <f t="shared" si="0"/>
        <v>4</v>
      </c>
      <c r="I36" s="94">
        <f t="shared" si="1"/>
        <v>270</v>
      </c>
      <c r="J36" s="57">
        <f t="shared" si="2"/>
        <v>4</v>
      </c>
      <c r="K36" s="95">
        <f t="shared" si="3"/>
        <v>360</v>
      </c>
      <c r="L36" s="57">
        <v>2</v>
      </c>
      <c r="M36" s="95">
        <f t="shared" si="5"/>
        <v>300</v>
      </c>
      <c r="N36" s="57">
        <v>2</v>
      </c>
      <c r="O36" s="96"/>
    </row>
    <row r="37" spans="1:15">
      <c r="A37" s="91" t="str">
        <f>'1. 소켓인수검사'!A38</f>
        <v>30</v>
      </c>
      <c r="B37" s="92" t="s">
        <v>16</v>
      </c>
      <c r="C37" s="57">
        <f>'1. 소켓인수검사'!C38</f>
        <v>350</v>
      </c>
      <c r="D37" s="57">
        <f>'1. 소켓인수검사'!D38</f>
        <v>250</v>
      </c>
      <c r="E37" s="37"/>
      <c r="F37" s="57">
        <v>1</v>
      </c>
      <c r="G37" s="93">
        <f t="shared" si="4"/>
        <v>345</v>
      </c>
      <c r="H37" s="57">
        <f t="shared" si="0"/>
        <v>4</v>
      </c>
      <c r="I37" s="94">
        <f t="shared" si="1"/>
        <v>220</v>
      </c>
      <c r="J37" s="57">
        <f t="shared" si="2"/>
        <v>4</v>
      </c>
      <c r="K37" s="95">
        <f t="shared" si="3"/>
        <v>410</v>
      </c>
      <c r="L37" s="57">
        <v>2</v>
      </c>
      <c r="M37" s="95">
        <f t="shared" si="5"/>
        <v>250</v>
      </c>
      <c r="N37" s="57">
        <v>2</v>
      </c>
      <c r="O37" s="96"/>
    </row>
    <row r="38" spans="1:15">
      <c r="A38" s="91" t="str">
        <f>'1. 소켓인수검사'!A39</f>
        <v>31</v>
      </c>
      <c r="B38" s="92" t="s">
        <v>16</v>
      </c>
      <c r="C38" s="57">
        <f>'1. 소켓인수검사'!C39</f>
        <v>350</v>
      </c>
      <c r="D38" s="57">
        <f>'1. 소켓인수검사'!D39</f>
        <v>250</v>
      </c>
      <c r="E38" s="37"/>
      <c r="F38" s="57">
        <v>1</v>
      </c>
      <c r="G38" s="93">
        <f t="shared" si="4"/>
        <v>345</v>
      </c>
      <c r="H38" s="57">
        <f t="shared" si="0"/>
        <v>4</v>
      </c>
      <c r="I38" s="94">
        <f t="shared" si="1"/>
        <v>220</v>
      </c>
      <c r="J38" s="57">
        <f t="shared" si="2"/>
        <v>4</v>
      </c>
      <c r="K38" s="95">
        <f t="shared" si="3"/>
        <v>410</v>
      </c>
      <c r="L38" s="57">
        <v>2</v>
      </c>
      <c r="M38" s="95">
        <f t="shared" si="5"/>
        <v>250</v>
      </c>
      <c r="N38" s="57">
        <v>2</v>
      </c>
      <c r="O38" s="96"/>
    </row>
    <row r="39" spans="1:15">
      <c r="A39" s="91" t="str">
        <f>'1. 소켓인수검사'!A40</f>
        <v>32</v>
      </c>
      <c r="B39" s="92" t="s">
        <v>16</v>
      </c>
      <c r="C39" s="57">
        <f>'1. 소켓인수검사'!C40</f>
        <v>400</v>
      </c>
      <c r="D39" s="57">
        <f>'1. 소켓인수검사'!D40</f>
        <v>200</v>
      </c>
      <c r="E39" s="37"/>
      <c r="F39" s="57">
        <v>1</v>
      </c>
      <c r="G39" s="93">
        <f t="shared" si="4"/>
        <v>395</v>
      </c>
      <c r="H39" s="57">
        <f t="shared" si="0"/>
        <v>4</v>
      </c>
      <c r="I39" s="94">
        <f t="shared" si="1"/>
        <v>170</v>
      </c>
      <c r="J39" s="57">
        <f t="shared" si="2"/>
        <v>4</v>
      </c>
      <c r="K39" s="95">
        <f t="shared" si="3"/>
        <v>460</v>
      </c>
      <c r="L39" s="57">
        <v>2</v>
      </c>
      <c r="M39" s="95">
        <f t="shared" si="5"/>
        <v>200</v>
      </c>
      <c r="N39" s="57">
        <v>2</v>
      </c>
      <c r="O39" s="96"/>
    </row>
    <row r="40" spans="1:15">
      <c r="A40" s="91" t="str">
        <f>'1. 소켓인수검사'!A41</f>
        <v>33</v>
      </c>
      <c r="B40" s="92" t="s">
        <v>16</v>
      </c>
      <c r="C40" s="57">
        <f>'1. 소켓인수검사'!C41</f>
        <v>400</v>
      </c>
      <c r="D40" s="57">
        <f>'1. 소켓인수검사'!D41</f>
        <v>300</v>
      </c>
      <c r="E40" s="37"/>
      <c r="F40" s="57">
        <v>1</v>
      </c>
      <c r="G40" s="93">
        <f t="shared" si="4"/>
        <v>395</v>
      </c>
      <c r="H40" s="57">
        <f t="shared" si="0"/>
        <v>4</v>
      </c>
      <c r="I40" s="94">
        <f t="shared" si="1"/>
        <v>270</v>
      </c>
      <c r="J40" s="57">
        <f t="shared" si="2"/>
        <v>4</v>
      </c>
      <c r="K40" s="95">
        <f t="shared" si="3"/>
        <v>460</v>
      </c>
      <c r="L40" s="57">
        <v>2</v>
      </c>
      <c r="M40" s="95">
        <f t="shared" si="5"/>
        <v>300</v>
      </c>
      <c r="N40" s="57">
        <v>2</v>
      </c>
      <c r="O40" s="96"/>
    </row>
    <row r="41" spans="1:15">
      <c r="A41" s="91" t="str">
        <f>'1. 소켓인수검사'!A42</f>
        <v>34</v>
      </c>
      <c r="B41" s="92" t="s">
        <v>16</v>
      </c>
      <c r="C41" s="57">
        <f>'1. 소켓인수검사'!C42</f>
        <v>400</v>
      </c>
      <c r="D41" s="57">
        <f>'1. 소켓인수검사'!D42</f>
        <v>300</v>
      </c>
      <c r="E41" s="37"/>
      <c r="F41" s="57">
        <v>1</v>
      </c>
      <c r="G41" s="93">
        <f t="shared" si="4"/>
        <v>395</v>
      </c>
      <c r="H41" s="57">
        <f t="shared" si="0"/>
        <v>4</v>
      </c>
      <c r="I41" s="94">
        <f t="shared" si="1"/>
        <v>270</v>
      </c>
      <c r="J41" s="57">
        <f t="shared" si="2"/>
        <v>4</v>
      </c>
      <c r="K41" s="95">
        <f t="shared" si="3"/>
        <v>460</v>
      </c>
      <c r="L41" s="57">
        <v>2</v>
      </c>
      <c r="M41" s="95">
        <f t="shared" si="5"/>
        <v>300</v>
      </c>
      <c r="N41" s="57">
        <v>2</v>
      </c>
      <c r="O41" s="96"/>
    </row>
    <row r="42" spans="1:15">
      <c r="A42" s="91" t="str">
        <f>'1. 소켓인수검사'!A43</f>
        <v>35</v>
      </c>
      <c r="B42" s="92" t="s">
        <v>16</v>
      </c>
      <c r="C42" s="57">
        <f>'1. 소켓인수검사'!C43</f>
        <v>450</v>
      </c>
      <c r="D42" s="57">
        <f>'1. 소켓인수검사'!D43</f>
        <v>350</v>
      </c>
      <c r="E42" s="37"/>
      <c r="F42" s="57">
        <v>1</v>
      </c>
      <c r="G42" s="93">
        <f t="shared" si="4"/>
        <v>445</v>
      </c>
      <c r="H42" s="57">
        <f t="shared" si="0"/>
        <v>4</v>
      </c>
      <c r="I42" s="94">
        <f t="shared" si="1"/>
        <v>320</v>
      </c>
      <c r="J42" s="57">
        <f t="shared" si="2"/>
        <v>4</v>
      </c>
      <c r="K42" s="95">
        <f t="shared" si="3"/>
        <v>510</v>
      </c>
      <c r="L42" s="57">
        <v>2</v>
      </c>
      <c r="M42" s="95">
        <f t="shared" si="5"/>
        <v>350</v>
      </c>
      <c r="N42" s="57">
        <v>2</v>
      </c>
      <c r="O42" s="96"/>
    </row>
    <row r="43" spans="1:15">
      <c r="A43" s="91" t="str">
        <f>'1. 소켓인수검사'!A44</f>
        <v>36</v>
      </c>
      <c r="B43" s="92" t="s">
        <v>16</v>
      </c>
      <c r="C43" s="57">
        <f>'1. 소켓인수검사'!C44</f>
        <v>450</v>
      </c>
      <c r="D43" s="57">
        <f>'1. 소켓인수검사'!D44</f>
        <v>350</v>
      </c>
      <c r="E43" s="37"/>
      <c r="F43" s="57">
        <v>1</v>
      </c>
      <c r="G43" s="93">
        <f t="shared" si="4"/>
        <v>445</v>
      </c>
      <c r="H43" s="57">
        <f t="shared" si="0"/>
        <v>4</v>
      </c>
      <c r="I43" s="94">
        <f t="shared" si="1"/>
        <v>320</v>
      </c>
      <c r="J43" s="57">
        <f t="shared" si="2"/>
        <v>4</v>
      </c>
      <c r="K43" s="95">
        <f t="shared" si="3"/>
        <v>510</v>
      </c>
      <c r="L43" s="57">
        <v>2</v>
      </c>
      <c r="M43" s="95">
        <f t="shared" si="5"/>
        <v>350</v>
      </c>
      <c r="N43" s="57">
        <v>2</v>
      </c>
      <c r="O43" s="96"/>
    </row>
    <row r="44" spans="1:15">
      <c r="A44" s="91" t="str">
        <f>'1. 소켓인수검사'!A45</f>
        <v>37</v>
      </c>
      <c r="B44" s="92" t="s">
        <v>16</v>
      </c>
      <c r="C44" s="57">
        <f>'1. 소켓인수검사'!C45</f>
        <v>500</v>
      </c>
      <c r="D44" s="57">
        <f>'1. 소켓인수검사'!D45</f>
        <v>300</v>
      </c>
      <c r="E44" s="37"/>
      <c r="F44" s="57">
        <v>1</v>
      </c>
      <c r="G44" s="93">
        <f t="shared" si="4"/>
        <v>495</v>
      </c>
      <c r="H44" s="57">
        <f t="shared" si="0"/>
        <v>4</v>
      </c>
      <c r="I44" s="94">
        <f t="shared" si="1"/>
        <v>270</v>
      </c>
      <c r="J44" s="57">
        <f t="shared" si="2"/>
        <v>4</v>
      </c>
      <c r="K44" s="95">
        <f t="shared" si="3"/>
        <v>560</v>
      </c>
      <c r="L44" s="57">
        <v>2</v>
      </c>
      <c r="M44" s="95">
        <f t="shared" si="5"/>
        <v>300</v>
      </c>
      <c r="N44" s="57">
        <v>2</v>
      </c>
      <c r="O44" s="96"/>
    </row>
    <row r="45" spans="1:15">
      <c r="A45" s="91" t="str">
        <f>'1. 소켓인수검사'!A46</f>
        <v>38</v>
      </c>
      <c r="B45" s="92" t="s">
        <v>16</v>
      </c>
      <c r="C45" s="57">
        <f>'1. 소켓인수검사'!C46</f>
        <v>600</v>
      </c>
      <c r="D45" s="57">
        <f>'1. 소켓인수검사'!D46</f>
        <v>250</v>
      </c>
      <c r="E45" s="37"/>
      <c r="F45" s="57">
        <v>1</v>
      </c>
      <c r="G45" s="93">
        <f t="shared" si="4"/>
        <v>595</v>
      </c>
      <c r="H45" s="57">
        <f t="shared" si="0"/>
        <v>4</v>
      </c>
      <c r="I45" s="94">
        <f t="shared" si="1"/>
        <v>220</v>
      </c>
      <c r="J45" s="57">
        <f t="shared" si="2"/>
        <v>4</v>
      </c>
      <c r="K45" s="95">
        <f t="shared" si="3"/>
        <v>660</v>
      </c>
      <c r="L45" s="57">
        <v>2</v>
      </c>
      <c r="M45" s="95">
        <f t="shared" si="5"/>
        <v>250</v>
      </c>
      <c r="N45" s="57">
        <v>2</v>
      </c>
      <c r="O45" s="96"/>
    </row>
    <row r="46" spans="1:15">
      <c r="A46" s="91" t="str">
        <f>'1. 소켓인수검사'!A47</f>
        <v>39</v>
      </c>
      <c r="B46" s="92" t="s">
        <v>16</v>
      </c>
      <c r="C46" s="57">
        <f>'1. 소켓인수검사'!C47</f>
        <v>900</v>
      </c>
      <c r="D46" s="57">
        <f>'1. 소켓인수검사'!D47</f>
        <v>400</v>
      </c>
      <c r="E46" s="37"/>
      <c r="F46" s="57">
        <v>1</v>
      </c>
      <c r="G46" s="93">
        <f t="shared" si="4"/>
        <v>895</v>
      </c>
      <c r="H46" s="57">
        <f t="shared" si="0"/>
        <v>4</v>
      </c>
      <c r="I46" s="94">
        <f t="shared" si="1"/>
        <v>370</v>
      </c>
      <c r="J46" s="57">
        <f t="shared" si="2"/>
        <v>4</v>
      </c>
      <c r="K46" s="95">
        <f t="shared" si="3"/>
        <v>960</v>
      </c>
      <c r="L46" s="57">
        <v>2</v>
      </c>
      <c r="M46" s="95">
        <f t="shared" si="5"/>
        <v>400</v>
      </c>
      <c r="N46" s="57">
        <v>2</v>
      </c>
      <c r="O46" s="96"/>
    </row>
    <row r="47" spans="1:15">
      <c r="A47" s="91" t="str">
        <f>'1. 소켓인수검사'!A48</f>
        <v>40</v>
      </c>
      <c r="B47" s="92" t="s">
        <v>16</v>
      </c>
      <c r="C47" s="57">
        <f>'1. 소켓인수검사'!C48</f>
        <v>1000</v>
      </c>
      <c r="D47" s="57">
        <f>'1. 소켓인수검사'!D48</f>
        <v>400</v>
      </c>
      <c r="E47" s="37"/>
      <c r="F47" s="57">
        <v>1</v>
      </c>
      <c r="G47" s="93">
        <f t="shared" si="4"/>
        <v>995</v>
      </c>
      <c r="H47" s="57">
        <f t="shared" si="0"/>
        <v>4</v>
      </c>
      <c r="I47" s="94">
        <f t="shared" si="1"/>
        <v>370</v>
      </c>
      <c r="J47" s="57">
        <f t="shared" si="2"/>
        <v>4</v>
      </c>
      <c r="K47" s="95">
        <f t="shared" si="3"/>
        <v>1060</v>
      </c>
      <c r="L47" s="57">
        <v>2</v>
      </c>
      <c r="M47" s="95">
        <f t="shared" si="5"/>
        <v>400</v>
      </c>
      <c r="N47" s="57">
        <v>2</v>
      </c>
      <c r="O47" s="96"/>
    </row>
    <row r="48" spans="1:15">
      <c r="A48" s="91" t="str">
        <f>'1. 소켓인수검사'!A49</f>
        <v>41</v>
      </c>
      <c r="B48" s="97" t="s">
        <v>48</v>
      </c>
      <c r="C48" s="57">
        <f>'1. 소켓인수검사'!C49</f>
        <v>500</v>
      </c>
      <c r="D48" s="57">
        <f>'1. 소켓인수검사'!D49</f>
        <v>300</v>
      </c>
      <c r="E48" s="37"/>
      <c r="F48" s="57">
        <v>1</v>
      </c>
      <c r="G48" s="93">
        <f t="shared" ref="G48:G52" si="6">C48-5</f>
        <v>495</v>
      </c>
      <c r="H48" s="57">
        <f t="shared" ref="H48:H52" si="7">F48*4</f>
        <v>4</v>
      </c>
      <c r="I48" s="94">
        <f t="shared" ref="I48:I52" si="8">D48-30</f>
        <v>270</v>
      </c>
      <c r="J48" s="57">
        <f t="shared" ref="J48:J52" si="9">F48*4</f>
        <v>4</v>
      </c>
      <c r="K48" s="95">
        <f t="shared" ref="K48:K52" si="10">C48+60</f>
        <v>560</v>
      </c>
      <c r="L48" s="57">
        <v>2</v>
      </c>
      <c r="M48" s="95">
        <f t="shared" ref="M48:M52" si="11">D48</f>
        <v>300</v>
      </c>
      <c r="N48" s="57">
        <v>2</v>
      </c>
      <c r="O48" s="96"/>
    </row>
    <row r="49" spans="1:15">
      <c r="A49" s="91" t="str">
        <f>'1. 소켓인수검사'!A50</f>
        <v>42</v>
      </c>
      <c r="B49" s="97" t="s">
        <v>48</v>
      </c>
      <c r="C49" s="57">
        <f>'1. 소켓인수검사'!C50</f>
        <v>500</v>
      </c>
      <c r="D49" s="57">
        <f>'1. 소켓인수검사'!D50</f>
        <v>300</v>
      </c>
      <c r="E49" s="37"/>
      <c r="F49" s="57">
        <v>1</v>
      </c>
      <c r="G49" s="93">
        <f t="shared" si="6"/>
        <v>495</v>
      </c>
      <c r="H49" s="57">
        <f t="shared" si="7"/>
        <v>4</v>
      </c>
      <c r="I49" s="94">
        <f t="shared" si="8"/>
        <v>270</v>
      </c>
      <c r="J49" s="57">
        <f t="shared" si="9"/>
        <v>4</v>
      </c>
      <c r="K49" s="95">
        <f t="shared" si="10"/>
        <v>560</v>
      </c>
      <c r="L49" s="57">
        <v>2</v>
      </c>
      <c r="M49" s="95">
        <f t="shared" si="11"/>
        <v>300</v>
      </c>
      <c r="N49" s="57">
        <v>2</v>
      </c>
      <c r="O49" s="96"/>
    </row>
    <row r="50" spans="1:15">
      <c r="A50" s="91" t="str">
        <f>'1. 소켓인수검사'!A51</f>
        <v>43</v>
      </c>
      <c r="B50" s="97" t="s">
        <v>48</v>
      </c>
      <c r="C50" s="57">
        <f>'1. 소켓인수검사'!C51</f>
        <v>700</v>
      </c>
      <c r="D50" s="57">
        <f>'1. 소켓인수검사'!D51</f>
        <v>250</v>
      </c>
      <c r="E50" s="37"/>
      <c r="F50" s="57">
        <v>1</v>
      </c>
      <c r="G50" s="93">
        <f t="shared" si="6"/>
        <v>695</v>
      </c>
      <c r="H50" s="57">
        <f t="shared" si="7"/>
        <v>4</v>
      </c>
      <c r="I50" s="94">
        <f t="shared" si="8"/>
        <v>220</v>
      </c>
      <c r="J50" s="57">
        <f t="shared" si="9"/>
        <v>4</v>
      </c>
      <c r="K50" s="95">
        <f t="shared" si="10"/>
        <v>760</v>
      </c>
      <c r="L50" s="57">
        <v>2</v>
      </c>
      <c r="M50" s="95">
        <f t="shared" si="11"/>
        <v>250</v>
      </c>
      <c r="N50" s="57">
        <v>2</v>
      </c>
      <c r="O50" s="96"/>
    </row>
    <row r="51" spans="1:15">
      <c r="A51" s="91" t="str">
        <f>'1. 소켓인수검사'!A52</f>
        <v>44</v>
      </c>
      <c r="B51" s="97" t="s">
        <v>48</v>
      </c>
      <c r="C51" s="57">
        <f>'1. 소켓인수검사'!C52</f>
        <v>700</v>
      </c>
      <c r="D51" s="57">
        <f>'1. 소켓인수검사'!D52</f>
        <v>250</v>
      </c>
      <c r="E51" s="37"/>
      <c r="F51" s="57">
        <v>1</v>
      </c>
      <c r="G51" s="93">
        <f t="shared" si="6"/>
        <v>695</v>
      </c>
      <c r="H51" s="57">
        <f t="shared" si="7"/>
        <v>4</v>
      </c>
      <c r="I51" s="94">
        <f t="shared" si="8"/>
        <v>220</v>
      </c>
      <c r="J51" s="57">
        <f t="shared" si="9"/>
        <v>4</v>
      </c>
      <c r="K51" s="95">
        <f t="shared" si="10"/>
        <v>760</v>
      </c>
      <c r="L51" s="57">
        <v>2</v>
      </c>
      <c r="M51" s="95">
        <f t="shared" si="11"/>
        <v>250</v>
      </c>
      <c r="N51" s="57">
        <v>2</v>
      </c>
      <c r="O51" s="96"/>
    </row>
    <row r="52" spans="1:15">
      <c r="A52" s="91" t="str">
        <f>'1. 소켓인수검사'!A53</f>
        <v>45</v>
      </c>
      <c r="B52" s="97" t="s">
        <v>48</v>
      </c>
      <c r="C52" s="57">
        <f>'1. 소켓인수검사'!C53</f>
        <v>1000</v>
      </c>
      <c r="D52" s="57">
        <f>'1. 소켓인수검사'!D53</f>
        <v>350</v>
      </c>
      <c r="E52" s="37"/>
      <c r="F52" s="57">
        <v>1</v>
      </c>
      <c r="G52" s="93">
        <f t="shared" si="6"/>
        <v>995</v>
      </c>
      <c r="H52" s="57">
        <f t="shared" si="7"/>
        <v>4</v>
      </c>
      <c r="I52" s="94">
        <f t="shared" si="8"/>
        <v>320</v>
      </c>
      <c r="J52" s="57">
        <f t="shared" si="9"/>
        <v>4</v>
      </c>
      <c r="K52" s="95">
        <f t="shared" si="10"/>
        <v>1060</v>
      </c>
      <c r="L52" s="57">
        <v>2</v>
      </c>
      <c r="M52" s="95">
        <f t="shared" si="11"/>
        <v>350</v>
      </c>
      <c r="N52" s="57">
        <v>2</v>
      </c>
      <c r="O52" s="96"/>
    </row>
    <row r="53" spans="1:15" ht="8.1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</row>
    <row r="54" spans="1:15">
      <c r="A54" s="101" t="s">
        <v>46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</row>
    <row r="55" spans="1: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</row>
    <row r="56" spans="1: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</row>
  </sheetData>
  <mergeCells count="21">
    <mergeCell ref="A53:O53"/>
    <mergeCell ref="A54:C56"/>
    <mergeCell ref="D54:O56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55"/>
  <sheetViews>
    <sheetView zoomScaleNormal="100" zoomScaleSheetLayoutView="100" workbookViewId="0">
      <selection activeCell="G60" sqref="G6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01"/>
      <c r="B1" s="101"/>
      <c r="C1" s="101"/>
      <c r="D1" s="101"/>
      <c r="E1" s="150" t="s">
        <v>118</v>
      </c>
      <c r="F1" s="151"/>
      <c r="G1" s="156" t="str">
        <f>'1. 소켓인수검사'!R2</f>
        <v>26.06.04 씨에스_우진아이엔에스_포스코건설_양평동삼화인쇄</v>
      </c>
      <c r="H1" s="156"/>
      <c r="I1" s="156"/>
      <c r="J1" s="156"/>
      <c r="K1" s="157"/>
    </row>
    <row r="2" spans="1:11" ht="16.5" customHeight="1">
      <c r="A2" s="101"/>
      <c r="B2" s="101"/>
      <c r="C2" s="101"/>
      <c r="D2" s="101"/>
      <c r="E2" s="152"/>
      <c r="F2" s="153"/>
      <c r="G2" s="158"/>
      <c r="H2" s="158"/>
      <c r="I2" s="158"/>
      <c r="J2" s="158"/>
      <c r="K2" s="159"/>
    </row>
    <row r="3" spans="1:11" ht="16.5" customHeight="1">
      <c r="A3" s="101"/>
      <c r="B3" s="101"/>
      <c r="C3" s="101"/>
      <c r="D3" s="101"/>
      <c r="E3" s="154"/>
      <c r="F3" s="155"/>
      <c r="G3" s="160"/>
      <c r="H3" s="160"/>
      <c r="I3" s="160"/>
      <c r="J3" s="160"/>
      <c r="K3" s="161"/>
    </row>
    <row r="4" spans="1:11" ht="8.1" customHeight="1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</row>
    <row r="5" spans="1:11" ht="26.45" customHeight="1">
      <c r="A5" s="140" t="s">
        <v>55</v>
      </c>
      <c r="B5" s="141" t="s">
        <v>65</v>
      </c>
      <c r="C5" s="144" t="s">
        <v>4</v>
      </c>
      <c r="D5" s="144"/>
      <c r="E5" s="144" t="s">
        <v>24</v>
      </c>
      <c r="F5" s="145" t="s">
        <v>53</v>
      </c>
      <c r="G5" s="148" t="s">
        <v>34</v>
      </c>
      <c r="H5" s="149"/>
      <c r="I5" s="149"/>
      <c r="J5" s="149"/>
      <c r="K5" s="145" t="s">
        <v>2</v>
      </c>
    </row>
    <row r="6" spans="1:11" ht="16.5" customHeight="1">
      <c r="A6" s="140"/>
      <c r="B6" s="142"/>
      <c r="C6" s="144" t="s">
        <v>62</v>
      </c>
      <c r="D6" s="144" t="s">
        <v>60</v>
      </c>
      <c r="E6" s="144"/>
      <c r="F6" s="146"/>
      <c r="G6" s="144" t="s">
        <v>64</v>
      </c>
      <c r="H6" s="144"/>
      <c r="I6" s="148" t="s">
        <v>61</v>
      </c>
      <c r="J6" s="149"/>
      <c r="K6" s="146"/>
    </row>
    <row r="7" spans="1:11">
      <c r="A7" s="140"/>
      <c r="B7" s="143"/>
      <c r="C7" s="144"/>
      <c r="D7" s="144"/>
      <c r="E7" s="144"/>
      <c r="F7" s="147"/>
      <c r="G7" s="15" t="s">
        <v>4</v>
      </c>
      <c r="H7" s="15" t="s">
        <v>53</v>
      </c>
      <c r="I7" s="15" t="s">
        <v>4</v>
      </c>
      <c r="J7" s="16" t="s">
        <v>53</v>
      </c>
      <c r="K7" s="147"/>
    </row>
    <row r="8" spans="1:11">
      <c r="A8" s="75" t="str">
        <f>'1. 소켓인수검사'!A9</f>
        <v>01</v>
      </c>
      <c r="B8" s="51" t="s">
        <v>16</v>
      </c>
      <c r="C8" s="47">
        <f>'1. 소켓인수검사'!C9</f>
        <v>150</v>
      </c>
      <c r="D8" s="47">
        <f>'1. 소켓인수검사'!D9</f>
        <v>150</v>
      </c>
      <c r="E8" s="48"/>
      <c r="F8" s="47">
        <v>1</v>
      </c>
      <c r="G8" s="76">
        <f t="shared" ref="G8:G11" si="0">C8+60</f>
        <v>210</v>
      </c>
      <c r="H8" s="47">
        <v>2</v>
      </c>
      <c r="I8" s="76">
        <f>D8</f>
        <v>150</v>
      </c>
      <c r="J8" s="47">
        <v>2</v>
      </c>
      <c r="K8" s="49"/>
    </row>
    <row r="9" spans="1:11">
      <c r="A9" s="77" t="str">
        <f>'1. 소켓인수검사'!A10</f>
        <v>02</v>
      </c>
      <c r="B9" s="51" t="s">
        <v>16</v>
      </c>
      <c r="C9" s="36">
        <f>'1. 소켓인수검사'!C10</f>
        <v>150</v>
      </c>
      <c r="D9" s="36">
        <f>'1. 소켓인수검사'!D10</f>
        <v>150</v>
      </c>
      <c r="E9" s="37"/>
      <c r="F9" s="36">
        <v>1</v>
      </c>
      <c r="G9" s="53">
        <f t="shared" si="0"/>
        <v>210</v>
      </c>
      <c r="H9" s="36">
        <v>2</v>
      </c>
      <c r="I9" s="53">
        <f t="shared" ref="I9:I47" si="1">D9</f>
        <v>150</v>
      </c>
      <c r="J9" s="36">
        <v>2</v>
      </c>
      <c r="K9" s="52"/>
    </row>
    <row r="10" spans="1:11">
      <c r="A10" s="77" t="str">
        <f>'1. 소켓인수검사'!A11</f>
        <v>03</v>
      </c>
      <c r="B10" s="51" t="s">
        <v>16</v>
      </c>
      <c r="C10" s="36">
        <f>'1. 소켓인수검사'!C11</f>
        <v>150</v>
      </c>
      <c r="D10" s="36">
        <f>'1. 소켓인수검사'!D11</f>
        <v>150</v>
      </c>
      <c r="E10" s="37"/>
      <c r="F10" s="36">
        <v>1</v>
      </c>
      <c r="G10" s="53">
        <f t="shared" si="0"/>
        <v>210</v>
      </c>
      <c r="H10" s="36">
        <v>2</v>
      </c>
      <c r="I10" s="53">
        <f t="shared" si="1"/>
        <v>150</v>
      </c>
      <c r="J10" s="36">
        <v>2</v>
      </c>
      <c r="K10" s="52"/>
    </row>
    <row r="11" spans="1:11">
      <c r="A11" s="77" t="str">
        <f>'1. 소켓인수검사'!A12</f>
        <v>04</v>
      </c>
      <c r="B11" s="51" t="s">
        <v>16</v>
      </c>
      <c r="C11" s="36">
        <f>'1. 소켓인수검사'!C12</f>
        <v>200</v>
      </c>
      <c r="D11" s="36">
        <f>'1. 소켓인수검사'!D12</f>
        <v>150</v>
      </c>
      <c r="E11" s="37"/>
      <c r="F11" s="36">
        <v>1</v>
      </c>
      <c r="G11" s="53">
        <f t="shared" si="0"/>
        <v>260</v>
      </c>
      <c r="H11" s="36">
        <v>2</v>
      </c>
      <c r="I11" s="53">
        <f t="shared" si="1"/>
        <v>150</v>
      </c>
      <c r="J11" s="36">
        <v>2</v>
      </c>
      <c r="K11" s="52"/>
    </row>
    <row r="12" spans="1:11">
      <c r="A12" s="77" t="str">
        <f>'1. 소켓인수검사'!A13</f>
        <v>05</v>
      </c>
      <c r="B12" s="51" t="s">
        <v>16</v>
      </c>
      <c r="C12" s="36">
        <f>'1. 소켓인수검사'!C13</f>
        <v>200</v>
      </c>
      <c r="D12" s="36">
        <f>'1. 소켓인수검사'!D13</f>
        <v>150</v>
      </c>
      <c r="E12" s="37"/>
      <c r="F12" s="36">
        <v>1</v>
      </c>
      <c r="G12" s="53">
        <f t="shared" ref="G12:G19" si="2">C12+60</f>
        <v>260</v>
      </c>
      <c r="H12" s="36">
        <v>2</v>
      </c>
      <c r="I12" s="53">
        <f t="shared" si="1"/>
        <v>150</v>
      </c>
      <c r="J12" s="36">
        <v>2</v>
      </c>
      <c r="K12" s="52"/>
    </row>
    <row r="13" spans="1:11">
      <c r="A13" s="77" t="str">
        <f>'1. 소켓인수검사'!A14</f>
        <v>06</v>
      </c>
      <c r="B13" s="51" t="s">
        <v>16</v>
      </c>
      <c r="C13" s="36">
        <f>'1. 소켓인수검사'!C14</f>
        <v>200</v>
      </c>
      <c r="D13" s="36">
        <f>'1. 소켓인수검사'!D14</f>
        <v>150</v>
      </c>
      <c r="E13" s="37"/>
      <c r="F13" s="36">
        <v>1</v>
      </c>
      <c r="G13" s="53">
        <f t="shared" si="2"/>
        <v>260</v>
      </c>
      <c r="H13" s="36">
        <v>2</v>
      </c>
      <c r="I13" s="53">
        <f t="shared" si="1"/>
        <v>150</v>
      </c>
      <c r="J13" s="36">
        <v>2</v>
      </c>
      <c r="K13" s="52"/>
    </row>
    <row r="14" spans="1:11">
      <c r="A14" s="77" t="str">
        <f>'1. 소켓인수검사'!A15</f>
        <v>07</v>
      </c>
      <c r="B14" s="51" t="s">
        <v>16</v>
      </c>
      <c r="C14" s="36">
        <f>'1. 소켓인수검사'!C15</f>
        <v>200</v>
      </c>
      <c r="D14" s="36">
        <f>'1. 소켓인수검사'!D15</f>
        <v>150</v>
      </c>
      <c r="E14" s="37"/>
      <c r="F14" s="36">
        <v>1</v>
      </c>
      <c r="G14" s="53">
        <f t="shared" si="2"/>
        <v>260</v>
      </c>
      <c r="H14" s="36">
        <v>2</v>
      </c>
      <c r="I14" s="53">
        <f t="shared" si="1"/>
        <v>150</v>
      </c>
      <c r="J14" s="36">
        <v>2</v>
      </c>
      <c r="K14" s="52"/>
    </row>
    <row r="15" spans="1:11">
      <c r="A15" s="77" t="str">
        <f>'1. 소켓인수검사'!A16</f>
        <v>08</v>
      </c>
      <c r="B15" s="51" t="s">
        <v>16</v>
      </c>
      <c r="C15" s="36">
        <f>'1. 소켓인수검사'!C16</f>
        <v>200</v>
      </c>
      <c r="D15" s="36">
        <f>'1. 소켓인수검사'!D16</f>
        <v>200</v>
      </c>
      <c r="E15" s="37"/>
      <c r="F15" s="36">
        <v>1</v>
      </c>
      <c r="G15" s="53">
        <f t="shared" si="2"/>
        <v>260</v>
      </c>
      <c r="H15" s="36">
        <v>2</v>
      </c>
      <c r="I15" s="53">
        <f t="shared" si="1"/>
        <v>200</v>
      </c>
      <c r="J15" s="36">
        <v>2</v>
      </c>
      <c r="K15" s="52"/>
    </row>
    <row r="16" spans="1:11">
      <c r="A16" s="77" t="str">
        <f>'1. 소켓인수검사'!A17</f>
        <v>09</v>
      </c>
      <c r="B16" s="51" t="s">
        <v>16</v>
      </c>
      <c r="C16" s="36">
        <f>'1. 소켓인수검사'!C17</f>
        <v>200</v>
      </c>
      <c r="D16" s="36">
        <f>'1. 소켓인수검사'!D17</f>
        <v>200</v>
      </c>
      <c r="E16" s="37"/>
      <c r="F16" s="36">
        <v>1</v>
      </c>
      <c r="G16" s="53">
        <f t="shared" si="2"/>
        <v>260</v>
      </c>
      <c r="H16" s="36">
        <v>2</v>
      </c>
      <c r="I16" s="53">
        <f t="shared" si="1"/>
        <v>200</v>
      </c>
      <c r="J16" s="36">
        <v>2</v>
      </c>
      <c r="K16" s="52"/>
    </row>
    <row r="17" spans="1:11">
      <c r="A17" s="77" t="str">
        <f>'1. 소켓인수검사'!A18</f>
        <v>10</v>
      </c>
      <c r="B17" s="51" t="s">
        <v>16</v>
      </c>
      <c r="C17" s="36">
        <f>'1. 소켓인수검사'!C18</f>
        <v>200</v>
      </c>
      <c r="D17" s="36">
        <f>'1. 소켓인수검사'!D18</f>
        <v>200</v>
      </c>
      <c r="E17" s="37"/>
      <c r="F17" s="36">
        <v>1</v>
      </c>
      <c r="G17" s="53">
        <f t="shared" si="2"/>
        <v>260</v>
      </c>
      <c r="H17" s="36">
        <v>2</v>
      </c>
      <c r="I17" s="53">
        <f t="shared" si="1"/>
        <v>200</v>
      </c>
      <c r="J17" s="36">
        <v>2</v>
      </c>
      <c r="K17" s="52"/>
    </row>
    <row r="18" spans="1:11">
      <c r="A18" s="77" t="str">
        <f>'1. 소켓인수검사'!A19</f>
        <v>11</v>
      </c>
      <c r="B18" s="51" t="s">
        <v>16</v>
      </c>
      <c r="C18" s="36">
        <f>'1. 소켓인수검사'!C19</f>
        <v>200</v>
      </c>
      <c r="D18" s="36">
        <f>'1. 소켓인수검사'!D19</f>
        <v>200</v>
      </c>
      <c r="E18" s="37"/>
      <c r="F18" s="36">
        <v>1</v>
      </c>
      <c r="G18" s="53">
        <f t="shared" si="2"/>
        <v>260</v>
      </c>
      <c r="H18" s="36">
        <v>2</v>
      </c>
      <c r="I18" s="53">
        <f t="shared" si="1"/>
        <v>200</v>
      </c>
      <c r="J18" s="36">
        <v>2</v>
      </c>
      <c r="K18" s="52"/>
    </row>
    <row r="19" spans="1:11">
      <c r="A19" s="77" t="str">
        <f>'1. 소켓인수검사'!A20</f>
        <v>12</v>
      </c>
      <c r="B19" s="51" t="s">
        <v>16</v>
      </c>
      <c r="C19" s="36">
        <f>'1. 소켓인수검사'!C20</f>
        <v>200</v>
      </c>
      <c r="D19" s="36">
        <f>'1. 소켓인수검사'!D20</f>
        <v>200</v>
      </c>
      <c r="E19" s="37"/>
      <c r="F19" s="36">
        <v>1</v>
      </c>
      <c r="G19" s="53">
        <f t="shared" si="2"/>
        <v>260</v>
      </c>
      <c r="H19" s="36">
        <v>2</v>
      </c>
      <c r="I19" s="53">
        <f t="shared" si="1"/>
        <v>200</v>
      </c>
      <c r="J19" s="36">
        <v>2</v>
      </c>
      <c r="K19" s="52"/>
    </row>
    <row r="20" spans="1:11">
      <c r="A20" s="77" t="str">
        <f>'1. 소켓인수검사'!A21</f>
        <v>13</v>
      </c>
      <c r="B20" s="51" t="s">
        <v>16</v>
      </c>
      <c r="C20" s="36">
        <f>'1. 소켓인수검사'!C21</f>
        <v>200</v>
      </c>
      <c r="D20" s="36">
        <f>'1. 소켓인수검사'!D21</f>
        <v>200</v>
      </c>
      <c r="E20" s="37"/>
      <c r="F20" s="36">
        <v>1</v>
      </c>
      <c r="G20" s="53">
        <f t="shared" ref="G20:G39" si="3">C20+60</f>
        <v>260</v>
      </c>
      <c r="H20" s="36">
        <v>2</v>
      </c>
      <c r="I20" s="53">
        <f t="shared" si="1"/>
        <v>200</v>
      </c>
      <c r="J20" s="36">
        <v>2</v>
      </c>
      <c r="K20" s="52"/>
    </row>
    <row r="21" spans="1:11">
      <c r="A21" s="77" t="str">
        <f>'1. 소켓인수검사'!A22</f>
        <v>14</v>
      </c>
      <c r="B21" s="51" t="s">
        <v>16</v>
      </c>
      <c r="C21" s="36">
        <f>'1. 소켓인수검사'!C22</f>
        <v>200</v>
      </c>
      <c r="D21" s="36">
        <f>'1. 소켓인수검사'!D22</f>
        <v>200</v>
      </c>
      <c r="E21" s="37"/>
      <c r="F21" s="36">
        <v>1</v>
      </c>
      <c r="G21" s="53">
        <f t="shared" si="3"/>
        <v>260</v>
      </c>
      <c r="H21" s="36">
        <v>2</v>
      </c>
      <c r="I21" s="53">
        <f t="shared" si="1"/>
        <v>200</v>
      </c>
      <c r="J21" s="36">
        <v>2</v>
      </c>
      <c r="K21" s="52"/>
    </row>
    <row r="22" spans="1:11">
      <c r="A22" s="77" t="str">
        <f>'1. 소켓인수검사'!A23</f>
        <v>15</v>
      </c>
      <c r="B22" s="51" t="s">
        <v>16</v>
      </c>
      <c r="C22" s="36">
        <f>'1. 소켓인수검사'!C23</f>
        <v>250</v>
      </c>
      <c r="D22" s="36">
        <f>'1. 소켓인수검사'!D23</f>
        <v>150</v>
      </c>
      <c r="E22" s="37"/>
      <c r="F22" s="36">
        <v>1</v>
      </c>
      <c r="G22" s="53">
        <f t="shared" si="3"/>
        <v>310</v>
      </c>
      <c r="H22" s="36">
        <v>2</v>
      </c>
      <c r="I22" s="53">
        <f t="shared" si="1"/>
        <v>150</v>
      </c>
      <c r="J22" s="36">
        <v>2</v>
      </c>
      <c r="K22" s="52"/>
    </row>
    <row r="23" spans="1:11">
      <c r="A23" s="77" t="str">
        <f>'1. 소켓인수검사'!A24</f>
        <v>16</v>
      </c>
      <c r="B23" s="51" t="s">
        <v>16</v>
      </c>
      <c r="C23" s="36">
        <f>'1. 소켓인수검사'!C24</f>
        <v>250</v>
      </c>
      <c r="D23" s="36">
        <f>'1. 소켓인수검사'!D24</f>
        <v>150</v>
      </c>
      <c r="E23" s="37"/>
      <c r="F23" s="36">
        <v>1</v>
      </c>
      <c r="G23" s="53">
        <f t="shared" si="3"/>
        <v>310</v>
      </c>
      <c r="H23" s="36">
        <v>2</v>
      </c>
      <c r="I23" s="53">
        <f t="shared" si="1"/>
        <v>150</v>
      </c>
      <c r="J23" s="36">
        <v>2</v>
      </c>
      <c r="K23" s="52"/>
    </row>
    <row r="24" spans="1:11">
      <c r="A24" s="77" t="str">
        <f>'1. 소켓인수검사'!A25</f>
        <v>17</v>
      </c>
      <c r="B24" s="51" t="s">
        <v>16</v>
      </c>
      <c r="C24" s="36">
        <f>'1. 소켓인수검사'!C25</f>
        <v>250</v>
      </c>
      <c r="D24" s="36">
        <f>'1. 소켓인수검사'!D25</f>
        <v>150</v>
      </c>
      <c r="E24" s="37"/>
      <c r="F24" s="36">
        <v>1</v>
      </c>
      <c r="G24" s="53">
        <f t="shared" si="3"/>
        <v>310</v>
      </c>
      <c r="H24" s="36">
        <v>2</v>
      </c>
      <c r="I24" s="53">
        <f t="shared" si="1"/>
        <v>150</v>
      </c>
      <c r="J24" s="36">
        <v>2</v>
      </c>
      <c r="K24" s="52"/>
    </row>
    <row r="25" spans="1:11">
      <c r="A25" s="77" t="str">
        <f>'1. 소켓인수검사'!A26</f>
        <v>18</v>
      </c>
      <c r="B25" s="51" t="s">
        <v>16</v>
      </c>
      <c r="C25" s="36">
        <f>'1. 소켓인수검사'!C26</f>
        <v>250</v>
      </c>
      <c r="D25" s="36">
        <f>'1. 소켓인수검사'!D26</f>
        <v>250</v>
      </c>
      <c r="E25" s="37"/>
      <c r="F25" s="36">
        <v>1</v>
      </c>
      <c r="G25" s="53">
        <f t="shared" si="3"/>
        <v>310</v>
      </c>
      <c r="H25" s="36">
        <v>2</v>
      </c>
      <c r="I25" s="53">
        <f t="shared" si="1"/>
        <v>250</v>
      </c>
      <c r="J25" s="36">
        <v>2</v>
      </c>
      <c r="K25" s="52"/>
    </row>
    <row r="26" spans="1:11">
      <c r="A26" s="77" t="str">
        <f>'1. 소켓인수검사'!A27</f>
        <v>19</v>
      </c>
      <c r="B26" s="51" t="s">
        <v>16</v>
      </c>
      <c r="C26" s="36">
        <f>'1. 소켓인수검사'!C27</f>
        <v>250</v>
      </c>
      <c r="D26" s="36">
        <f>'1. 소켓인수검사'!D27</f>
        <v>250</v>
      </c>
      <c r="E26" s="37"/>
      <c r="F26" s="36">
        <v>1</v>
      </c>
      <c r="G26" s="53">
        <f t="shared" si="3"/>
        <v>310</v>
      </c>
      <c r="H26" s="36">
        <v>2</v>
      </c>
      <c r="I26" s="53">
        <f t="shared" si="1"/>
        <v>250</v>
      </c>
      <c r="J26" s="36">
        <v>2</v>
      </c>
      <c r="K26" s="52"/>
    </row>
    <row r="27" spans="1:11">
      <c r="A27" s="77" t="str">
        <f>'1. 소켓인수검사'!A28</f>
        <v>20</v>
      </c>
      <c r="B27" s="51" t="s">
        <v>16</v>
      </c>
      <c r="C27" s="36">
        <f>'1. 소켓인수검사'!C28</f>
        <v>250</v>
      </c>
      <c r="D27" s="36">
        <f>'1. 소켓인수검사'!D28</f>
        <v>250</v>
      </c>
      <c r="E27" s="37"/>
      <c r="F27" s="36">
        <v>1</v>
      </c>
      <c r="G27" s="53">
        <f t="shared" si="3"/>
        <v>310</v>
      </c>
      <c r="H27" s="36">
        <v>2</v>
      </c>
      <c r="I27" s="53">
        <f t="shared" si="1"/>
        <v>250</v>
      </c>
      <c r="J27" s="36">
        <v>2</v>
      </c>
      <c r="K27" s="52"/>
    </row>
    <row r="28" spans="1:11">
      <c r="A28" s="77" t="str">
        <f>'1. 소켓인수검사'!A29</f>
        <v>21</v>
      </c>
      <c r="B28" s="51" t="s">
        <v>16</v>
      </c>
      <c r="C28" s="36">
        <f>'1. 소켓인수검사'!C29</f>
        <v>250</v>
      </c>
      <c r="D28" s="36">
        <f>'1. 소켓인수검사'!D29</f>
        <v>250</v>
      </c>
      <c r="E28" s="37"/>
      <c r="F28" s="36">
        <v>1</v>
      </c>
      <c r="G28" s="53">
        <f t="shared" si="3"/>
        <v>310</v>
      </c>
      <c r="H28" s="36">
        <v>2</v>
      </c>
      <c r="I28" s="53">
        <f t="shared" si="1"/>
        <v>250</v>
      </c>
      <c r="J28" s="36">
        <v>2</v>
      </c>
      <c r="K28" s="54"/>
    </row>
    <row r="29" spans="1:11">
      <c r="A29" s="77" t="str">
        <f>'1. 소켓인수검사'!A30</f>
        <v>22</v>
      </c>
      <c r="B29" s="51" t="s">
        <v>16</v>
      </c>
      <c r="C29" s="36">
        <f>'1. 소켓인수검사'!C30</f>
        <v>250</v>
      </c>
      <c r="D29" s="36">
        <f>'1. 소켓인수검사'!D30</f>
        <v>250</v>
      </c>
      <c r="E29" s="37"/>
      <c r="F29" s="36">
        <v>1</v>
      </c>
      <c r="G29" s="53">
        <f t="shared" si="3"/>
        <v>310</v>
      </c>
      <c r="H29" s="36">
        <v>2</v>
      </c>
      <c r="I29" s="53">
        <f t="shared" si="1"/>
        <v>250</v>
      </c>
      <c r="J29" s="36">
        <v>2</v>
      </c>
      <c r="K29" s="52"/>
    </row>
    <row r="30" spans="1:11">
      <c r="A30" s="77" t="str">
        <f>'1. 소켓인수검사'!A31</f>
        <v>23</v>
      </c>
      <c r="B30" s="51" t="s">
        <v>16</v>
      </c>
      <c r="C30" s="36">
        <f>'1. 소켓인수검사'!C31</f>
        <v>300</v>
      </c>
      <c r="D30" s="36">
        <f>'1. 소켓인수검사'!D31</f>
        <v>200</v>
      </c>
      <c r="E30" s="37"/>
      <c r="F30" s="36">
        <v>1</v>
      </c>
      <c r="G30" s="53">
        <f t="shared" si="3"/>
        <v>360</v>
      </c>
      <c r="H30" s="36">
        <v>2</v>
      </c>
      <c r="I30" s="53">
        <f t="shared" si="1"/>
        <v>200</v>
      </c>
      <c r="J30" s="36">
        <v>2</v>
      </c>
      <c r="K30" s="52"/>
    </row>
    <row r="31" spans="1:11">
      <c r="A31" s="77" t="str">
        <f>'1. 소켓인수검사'!A32</f>
        <v>24</v>
      </c>
      <c r="B31" s="51" t="s">
        <v>16</v>
      </c>
      <c r="C31" s="36">
        <f>'1. 소켓인수검사'!C32</f>
        <v>300</v>
      </c>
      <c r="D31" s="36">
        <f>'1. 소켓인수검사'!D32</f>
        <v>200</v>
      </c>
      <c r="E31" s="37"/>
      <c r="F31" s="36">
        <v>1</v>
      </c>
      <c r="G31" s="53">
        <f t="shared" si="3"/>
        <v>360</v>
      </c>
      <c r="H31" s="36">
        <v>2</v>
      </c>
      <c r="I31" s="53">
        <f t="shared" si="1"/>
        <v>200</v>
      </c>
      <c r="J31" s="36">
        <v>2</v>
      </c>
      <c r="K31" s="52"/>
    </row>
    <row r="32" spans="1:11">
      <c r="A32" s="77" t="str">
        <f>'1. 소켓인수검사'!A33</f>
        <v>25</v>
      </c>
      <c r="B32" s="51" t="s">
        <v>16</v>
      </c>
      <c r="C32" s="36">
        <f>'1. 소켓인수검사'!C33</f>
        <v>300</v>
      </c>
      <c r="D32" s="36">
        <f>'1. 소켓인수검사'!D33</f>
        <v>200</v>
      </c>
      <c r="E32" s="37"/>
      <c r="F32" s="36">
        <v>1</v>
      </c>
      <c r="G32" s="53">
        <f t="shared" si="3"/>
        <v>360</v>
      </c>
      <c r="H32" s="36">
        <v>2</v>
      </c>
      <c r="I32" s="53">
        <f t="shared" si="1"/>
        <v>200</v>
      </c>
      <c r="J32" s="36">
        <v>2</v>
      </c>
      <c r="K32" s="52"/>
    </row>
    <row r="33" spans="1:11">
      <c r="A33" s="77" t="str">
        <f>'1. 소켓인수검사'!A34</f>
        <v>26</v>
      </c>
      <c r="B33" s="51" t="s">
        <v>16</v>
      </c>
      <c r="C33" s="36">
        <f>'1. 소켓인수검사'!C34</f>
        <v>300</v>
      </c>
      <c r="D33" s="36">
        <f>'1. 소켓인수검사'!D34</f>
        <v>200</v>
      </c>
      <c r="E33" s="37"/>
      <c r="F33" s="36">
        <v>1</v>
      </c>
      <c r="G33" s="53">
        <f t="shared" si="3"/>
        <v>360</v>
      </c>
      <c r="H33" s="36">
        <v>2</v>
      </c>
      <c r="I33" s="53">
        <f t="shared" si="1"/>
        <v>200</v>
      </c>
      <c r="J33" s="36">
        <v>2</v>
      </c>
      <c r="K33" s="52"/>
    </row>
    <row r="34" spans="1:11">
      <c r="A34" s="77" t="str">
        <f>'1. 소켓인수검사'!A35</f>
        <v>27</v>
      </c>
      <c r="B34" s="51" t="s">
        <v>16</v>
      </c>
      <c r="C34" s="36">
        <f>'1. 소켓인수검사'!C35</f>
        <v>300</v>
      </c>
      <c r="D34" s="36">
        <f>'1. 소켓인수검사'!D35</f>
        <v>250</v>
      </c>
      <c r="E34" s="37"/>
      <c r="F34" s="36">
        <v>1</v>
      </c>
      <c r="G34" s="53">
        <f t="shared" si="3"/>
        <v>360</v>
      </c>
      <c r="H34" s="36">
        <v>2</v>
      </c>
      <c r="I34" s="53">
        <f t="shared" si="1"/>
        <v>250</v>
      </c>
      <c r="J34" s="36">
        <v>2</v>
      </c>
      <c r="K34" s="52"/>
    </row>
    <row r="35" spans="1:11">
      <c r="A35" s="77" t="str">
        <f>'1. 소켓인수검사'!A36</f>
        <v>28</v>
      </c>
      <c r="B35" s="51" t="s">
        <v>16</v>
      </c>
      <c r="C35" s="36">
        <f>'1. 소켓인수검사'!C36</f>
        <v>300</v>
      </c>
      <c r="D35" s="36">
        <f>'1. 소켓인수검사'!D36</f>
        <v>250</v>
      </c>
      <c r="E35" s="37"/>
      <c r="F35" s="36">
        <v>1</v>
      </c>
      <c r="G35" s="53">
        <f t="shared" si="3"/>
        <v>360</v>
      </c>
      <c r="H35" s="36">
        <v>2</v>
      </c>
      <c r="I35" s="53">
        <f t="shared" si="1"/>
        <v>250</v>
      </c>
      <c r="J35" s="36">
        <v>2</v>
      </c>
      <c r="K35" s="52"/>
    </row>
    <row r="36" spans="1:11">
      <c r="A36" s="77" t="str">
        <f>'1. 소켓인수검사'!A37</f>
        <v>29</v>
      </c>
      <c r="B36" s="51" t="s">
        <v>16</v>
      </c>
      <c r="C36" s="36">
        <f>'1. 소켓인수검사'!C37</f>
        <v>300</v>
      </c>
      <c r="D36" s="36">
        <f>'1. 소켓인수검사'!D37</f>
        <v>300</v>
      </c>
      <c r="E36" s="37"/>
      <c r="F36" s="36">
        <v>1</v>
      </c>
      <c r="G36" s="53">
        <f t="shared" si="3"/>
        <v>360</v>
      </c>
      <c r="H36" s="36">
        <v>2</v>
      </c>
      <c r="I36" s="53">
        <f t="shared" si="1"/>
        <v>300</v>
      </c>
      <c r="J36" s="36">
        <v>2</v>
      </c>
      <c r="K36" s="52"/>
    </row>
    <row r="37" spans="1:11">
      <c r="A37" s="77" t="str">
        <f>'1. 소켓인수검사'!A38</f>
        <v>30</v>
      </c>
      <c r="B37" s="51" t="s">
        <v>16</v>
      </c>
      <c r="C37" s="36">
        <f>'1. 소켓인수검사'!C38</f>
        <v>350</v>
      </c>
      <c r="D37" s="36">
        <f>'1. 소켓인수검사'!D38</f>
        <v>250</v>
      </c>
      <c r="E37" s="37"/>
      <c r="F37" s="36">
        <v>1</v>
      </c>
      <c r="G37" s="53">
        <f t="shared" si="3"/>
        <v>410</v>
      </c>
      <c r="H37" s="36">
        <v>2</v>
      </c>
      <c r="I37" s="53">
        <f t="shared" si="1"/>
        <v>250</v>
      </c>
      <c r="J37" s="36">
        <v>2</v>
      </c>
      <c r="K37" s="52"/>
    </row>
    <row r="38" spans="1:11">
      <c r="A38" s="77" t="str">
        <f>'1. 소켓인수검사'!A39</f>
        <v>31</v>
      </c>
      <c r="B38" s="51" t="s">
        <v>16</v>
      </c>
      <c r="C38" s="36">
        <f>'1. 소켓인수검사'!C39</f>
        <v>350</v>
      </c>
      <c r="D38" s="36">
        <f>'1. 소켓인수검사'!D39</f>
        <v>250</v>
      </c>
      <c r="E38" s="37"/>
      <c r="F38" s="36">
        <v>1</v>
      </c>
      <c r="G38" s="53">
        <f t="shared" si="3"/>
        <v>410</v>
      </c>
      <c r="H38" s="36">
        <v>2</v>
      </c>
      <c r="I38" s="53">
        <f t="shared" si="1"/>
        <v>250</v>
      </c>
      <c r="J38" s="36">
        <v>2</v>
      </c>
      <c r="K38" s="52"/>
    </row>
    <row r="39" spans="1:11">
      <c r="A39" s="77" t="str">
        <f>'1. 소켓인수검사'!A40</f>
        <v>32</v>
      </c>
      <c r="B39" s="51" t="s">
        <v>16</v>
      </c>
      <c r="C39" s="36">
        <f>'1. 소켓인수검사'!C40</f>
        <v>400</v>
      </c>
      <c r="D39" s="36">
        <f>'1. 소켓인수검사'!D40</f>
        <v>200</v>
      </c>
      <c r="E39" s="37"/>
      <c r="F39" s="36">
        <v>1</v>
      </c>
      <c r="G39" s="53">
        <f t="shared" si="3"/>
        <v>460</v>
      </c>
      <c r="H39" s="36">
        <v>2</v>
      </c>
      <c r="I39" s="53">
        <f t="shared" si="1"/>
        <v>200</v>
      </c>
      <c r="J39" s="36">
        <v>2</v>
      </c>
      <c r="K39" s="52"/>
    </row>
    <row r="40" spans="1:11">
      <c r="A40" s="77" t="str">
        <f>'1. 소켓인수검사'!A41</f>
        <v>33</v>
      </c>
      <c r="B40" s="51" t="s">
        <v>16</v>
      </c>
      <c r="C40" s="36">
        <f>'1. 소켓인수검사'!C41</f>
        <v>400</v>
      </c>
      <c r="D40" s="36">
        <f>'1. 소켓인수검사'!D41</f>
        <v>300</v>
      </c>
      <c r="E40" s="37"/>
      <c r="F40" s="36">
        <v>1</v>
      </c>
      <c r="G40" s="53">
        <f t="shared" ref="G40:G47" si="4">C40+60</f>
        <v>460</v>
      </c>
      <c r="H40" s="36">
        <v>2</v>
      </c>
      <c r="I40" s="53">
        <f t="shared" si="1"/>
        <v>300</v>
      </c>
      <c r="J40" s="36">
        <v>2</v>
      </c>
      <c r="K40" s="52"/>
    </row>
    <row r="41" spans="1:11">
      <c r="A41" s="77" t="str">
        <f>'1. 소켓인수검사'!A42</f>
        <v>34</v>
      </c>
      <c r="B41" s="51" t="s">
        <v>16</v>
      </c>
      <c r="C41" s="36">
        <f>'1. 소켓인수검사'!C42</f>
        <v>400</v>
      </c>
      <c r="D41" s="36">
        <f>'1. 소켓인수검사'!D42</f>
        <v>300</v>
      </c>
      <c r="E41" s="37"/>
      <c r="F41" s="36">
        <v>1</v>
      </c>
      <c r="G41" s="53">
        <f t="shared" si="4"/>
        <v>460</v>
      </c>
      <c r="H41" s="36">
        <v>2</v>
      </c>
      <c r="I41" s="53">
        <f t="shared" si="1"/>
        <v>300</v>
      </c>
      <c r="J41" s="36">
        <v>2</v>
      </c>
      <c r="K41" s="52"/>
    </row>
    <row r="42" spans="1:11">
      <c r="A42" s="77" t="str">
        <f>'1. 소켓인수검사'!A43</f>
        <v>35</v>
      </c>
      <c r="B42" s="51" t="s">
        <v>16</v>
      </c>
      <c r="C42" s="36">
        <f>'1. 소켓인수검사'!C43</f>
        <v>450</v>
      </c>
      <c r="D42" s="36">
        <f>'1. 소켓인수검사'!D43</f>
        <v>350</v>
      </c>
      <c r="E42" s="37"/>
      <c r="F42" s="36">
        <v>1</v>
      </c>
      <c r="G42" s="53">
        <f t="shared" si="4"/>
        <v>510</v>
      </c>
      <c r="H42" s="36">
        <v>2</v>
      </c>
      <c r="I42" s="53">
        <f t="shared" si="1"/>
        <v>350</v>
      </c>
      <c r="J42" s="36">
        <v>2</v>
      </c>
      <c r="K42" s="52"/>
    </row>
    <row r="43" spans="1:11">
      <c r="A43" s="77" t="str">
        <f>'1. 소켓인수검사'!A44</f>
        <v>36</v>
      </c>
      <c r="B43" s="51" t="s">
        <v>16</v>
      </c>
      <c r="C43" s="36">
        <f>'1. 소켓인수검사'!C44</f>
        <v>450</v>
      </c>
      <c r="D43" s="36">
        <f>'1. 소켓인수검사'!D44</f>
        <v>350</v>
      </c>
      <c r="E43" s="37"/>
      <c r="F43" s="36">
        <v>1</v>
      </c>
      <c r="G43" s="53">
        <f t="shared" si="4"/>
        <v>510</v>
      </c>
      <c r="H43" s="36">
        <v>2</v>
      </c>
      <c r="I43" s="53">
        <f t="shared" si="1"/>
        <v>350</v>
      </c>
      <c r="J43" s="36">
        <v>2</v>
      </c>
      <c r="K43" s="52"/>
    </row>
    <row r="44" spans="1:11">
      <c r="A44" s="77" t="str">
        <f>'1. 소켓인수검사'!A45</f>
        <v>37</v>
      </c>
      <c r="B44" s="51" t="s">
        <v>16</v>
      </c>
      <c r="C44" s="36">
        <f>'1. 소켓인수검사'!C45</f>
        <v>500</v>
      </c>
      <c r="D44" s="36">
        <f>'1. 소켓인수검사'!D45</f>
        <v>300</v>
      </c>
      <c r="E44" s="37"/>
      <c r="F44" s="36">
        <v>1</v>
      </c>
      <c r="G44" s="53">
        <f t="shared" si="4"/>
        <v>560</v>
      </c>
      <c r="H44" s="36">
        <v>2</v>
      </c>
      <c r="I44" s="53">
        <f t="shared" si="1"/>
        <v>300</v>
      </c>
      <c r="J44" s="36">
        <v>2</v>
      </c>
      <c r="K44" s="52"/>
    </row>
    <row r="45" spans="1:11">
      <c r="A45" s="77" t="str">
        <f>'1. 소켓인수검사'!A46</f>
        <v>38</v>
      </c>
      <c r="B45" s="51" t="s">
        <v>16</v>
      </c>
      <c r="C45" s="36">
        <f>'1. 소켓인수검사'!C46</f>
        <v>600</v>
      </c>
      <c r="D45" s="36">
        <f>'1. 소켓인수검사'!D46</f>
        <v>250</v>
      </c>
      <c r="E45" s="37"/>
      <c r="F45" s="36">
        <v>1</v>
      </c>
      <c r="G45" s="53">
        <f t="shared" si="4"/>
        <v>660</v>
      </c>
      <c r="H45" s="36">
        <v>2</v>
      </c>
      <c r="I45" s="53">
        <f t="shared" si="1"/>
        <v>250</v>
      </c>
      <c r="J45" s="36">
        <v>2</v>
      </c>
      <c r="K45" s="52"/>
    </row>
    <row r="46" spans="1:11">
      <c r="A46" s="77" t="str">
        <f>'1. 소켓인수검사'!A47</f>
        <v>39</v>
      </c>
      <c r="B46" s="51" t="s">
        <v>16</v>
      </c>
      <c r="C46" s="36">
        <f>'1. 소켓인수검사'!C47</f>
        <v>900</v>
      </c>
      <c r="D46" s="36">
        <f>'1. 소켓인수검사'!D47</f>
        <v>400</v>
      </c>
      <c r="E46" s="37"/>
      <c r="F46" s="36">
        <v>1</v>
      </c>
      <c r="G46" s="53">
        <f t="shared" si="4"/>
        <v>960</v>
      </c>
      <c r="H46" s="36">
        <v>2</v>
      </c>
      <c r="I46" s="53">
        <f t="shared" si="1"/>
        <v>400</v>
      </c>
      <c r="J46" s="36">
        <v>2</v>
      </c>
      <c r="K46" s="52"/>
    </row>
    <row r="47" spans="1:11">
      <c r="A47" s="77" t="str">
        <f>'1. 소켓인수검사'!A48</f>
        <v>40</v>
      </c>
      <c r="B47" s="51" t="s">
        <v>16</v>
      </c>
      <c r="C47" s="36">
        <f>'1. 소켓인수검사'!C48</f>
        <v>1000</v>
      </c>
      <c r="D47" s="36">
        <f>'1. 소켓인수검사'!D48</f>
        <v>400</v>
      </c>
      <c r="E47" s="37"/>
      <c r="F47" s="36">
        <v>1</v>
      </c>
      <c r="G47" s="53">
        <f t="shared" si="4"/>
        <v>1060</v>
      </c>
      <c r="H47" s="36">
        <v>2</v>
      </c>
      <c r="I47" s="53">
        <f t="shared" si="1"/>
        <v>400</v>
      </c>
      <c r="J47" s="36">
        <v>2</v>
      </c>
      <c r="K47" s="52"/>
    </row>
    <row r="48" spans="1:11">
      <c r="A48" s="77" t="str">
        <f>'1. 소켓인수검사'!A49</f>
        <v>41</v>
      </c>
      <c r="B48" s="55" t="s">
        <v>48</v>
      </c>
      <c r="C48" s="36">
        <f>'1. 소켓인수검사'!C49</f>
        <v>500</v>
      </c>
      <c r="D48" s="36">
        <f>'1. 소켓인수검사'!D49</f>
        <v>300</v>
      </c>
      <c r="E48" s="37"/>
      <c r="F48" s="36">
        <v>1</v>
      </c>
      <c r="G48" s="53">
        <f t="shared" ref="G48:G52" si="5">C48+60</f>
        <v>560</v>
      </c>
      <c r="H48" s="36">
        <v>2</v>
      </c>
      <c r="I48" s="53">
        <f t="shared" ref="I48:I52" si="6">D48</f>
        <v>300</v>
      </c>
      <c r="J48" s="36">
        <v>2</v>
      </c>
      <c r="K48" s="52"/>
    </row>
    <row r="49" spans="1:11">
      <c r="A49" s="77" t="str">
        <f>'1. 소켓인수검사'!A50</f>
        <v>42</v>
      </c>
      <c r="B49" s="55" t="s">
        <v>48</v>
      </c>
      <c r="C49" s="36">
        <f>'1. 소켓인수검사'!C50</f>
        <v>500</v>
      </c>
      <c r="D49" s="36">
        <f>'1. 소켓인수검사'!D50</f>
        <v>300</v>
      </c>
      <c r="E49" s="37"/>
      <c r="F49" s="36">
        <v>1</v>
      </c>
      <c r="G49" s="53">
        <f t="shared" si="5"/>
        <v>560</v>
      </c>
      <c r="H49" s="36">
        <v>2</v>
      </c>
      <c r="I49" s="53">
        <f t="shared" si="6"/>
        <v>300</v>
      </c>
      <c r="J49" s="36">
        <v>2</v>
      </c>
      <c r="K49" s="52"/>
    </row>
    <row r="50" spans="1:11">
      <c r="A50" s="77" t="str">
        <f>'1. 소켓인수검사'!A51</f>
        <v>43</v>
      </c>
      <c r="B50" s="55" t="s">
        <v>48</v>
      </c>
      <c r="C50" s="36">
        <f>'1. 소켓인수검사'!C51</f>
        <v>700</v>
      </c>
      <c r="D50" s="36">
        <f>'1. 소켓인수검사'!D51</f>
        <v>250</v>
      </c>
      <c r="E50" s="37"/>
      <c r="F50" s="36">
        <v>1</v>
      </c>
      <c r="G50" s="53">
        <f t="shared" si="5"/>
        <v>760</v>
      </c>
      <c r="H50" s="36">
        <v>2</v>
      </c>
      <c r="I50" s="53">
        <f t="shared" si="6"/>
        <v>250</v>
      </c>
      <c r="J50" s="36">
        <v>2</v>
      </c>
      <c r="K50" s="52"/>
    </row>
    <row r="51" spans="1:11">
      <c r="A51" s="77" t="str">
        <f>'1. 소켓인수검사'!A52</f>
        <v>44</v>
      </c>
      <c r="B51" s="55" t="s">
        <v>48</v>
      </c>
      <c r="C51" s="36">
        <f>'1. 소켓인수검사'!C52</f>
        <v>700</v>
      </c>
      <c r="D51" s="36">
        <f>'1. 소켓인수검사'!D52</f>
        <v>250</v>
      </c>
      <c r="E51" s="37"/>
      <c r="F51" s="36">
        <v>1</v>
      </c>
      <c r="G51" s="53">
        <f t="shared" si="5"/>
        <v>760</v>
      </c>
      <c r="H51" s="36">
        <v>2</v>
      </c>
      <c r="I51" s="53">
        <f t="shared" si="6"/>
        <v>250</v>
      </c>
      <c r="J51" s="36">
        <v>2</v>
      </c>
      <c r="K51" s="52"/>
    </row>
    <row r="52" spans="1:11">
      <c r="A52" s="77" t="str">
        <f>'1. 소켓인수검사'!A53</f>
        <v>45</v>
      </c>
      <c r="B52" s="55" t="s">
        <v>48</v>
      </c>
      <c r="C52" s="36">
        <f>'1. 소켓인수검사'!C53</f>
        <v>1000</v>
      </c>
      <c r="D52" s="36">
        <f>'1. 소켓인수검사'!D53</f>
        <v>350</v>
      </c>
      <c r="E52" s="37"/>
      <c r="F52" s="36">
        <v>1</v>
      </c>
      <c r="G52" s="53">
        <f t="shared" si="5"/>
        <v>1060</v>
      </c>
      <c r="H52" s="36">
        <v>2</v>
      </c>
      <c r="I52" s="53">
        <f t="shared" si="6"/>
        <v>350</v>
      </c>
      <c r="J52" s="36">
        <v>2</v>
      </c>
      <c r="K52" s="52"/>
    </row>
    <row r="53" spans="1:11">
      <c r="A53" s="101" t="s">
        <v>46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1"/>
    </row>
    <row r="54" spans="1:1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</row>
    <row r="55" spans="1:1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</row>
  </sheetData>
  <mergeCells count="17">
    <mergeCell ref="G1:K3"/>
    <mergeCell ref="A53:C55"/>
    <mergeCell ref="D53:K55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  <mergeCell ref="E1:F3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60"/>
  <sheetViews>
    <sheetView topLeftCell="A33" zoomScaleNormal="100" zoomScaleSheetLayoutView="100" workbookViewId="0">
      <selection activeCell="N68" sqref="N68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01"/>
      <c r="B1" s="101"/>
      <c r="C1" s="101"/>
      <c r="D1" s="101"/>
      <c r="E1" s="171" t="s">
        <v>68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3"/>
    </row>
    <row r="2" spans="1:16" ht="16.5" customHeight="1">
      <c r="A2" s="101"/>
      <c r="B2" s="101"/>
      <c r="C2" s="101"/>
      <c r="D2" s="101"/>
      <c r="E2" s="174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6"/>
    </row>
    <row r="3" spans="1:16" ht="16.5" customHeight="1">
      <c r="A3" s="101"/>
      <c r="B3" s="101"/>
      <c r="C3" s="101"/>
      <c r="D3" s="101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6"/>
    </row>
    <row r="4" spans="1:16" ht="16.5" customHeight="1">
      <c r="A4" s="101" t="s">
        <v>17</v>
      </c>
      <c r="B4" s="101"/>
      <c r="C4" s="180"/>
      <c r="D4" s="181"/>
      <c r="E4" s="177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</row>
    <row r="5" spans="1:16">
      <c r="A5" s="101" t="s">
        <v>26</v>
      </c>
      <c r="B5" s="101"/>
      <c r="C5" s="101"/>
      <c r="D5" s="101"/>
      <c r="E5" s="6" t="s">
        <v>32</v>
      </c>
      <c r="F5" s="101"/>
      <c r="G5" s="101"/>
      <c r="H5" s="101" t="s">
        <v>58</v>
      </c>
      <c r="I5" s="101"/>
      <c r="J5" s="101"/>
      <c r="K5" s="101" t="s">
        <v>54</v>
      </c>
      <c r="L5" s="101"/>
      <c r="M5" s="101"/>
      <c r="N5" s="182" t="str">
        <f>'1. 소켓인수검사'!R2</f>
        <v>26.06.04 씨에스_우진아이엔에스_포스코건설_양평동삼화인쇄</v>
      </c>
      <c r="O5" s="182"/>
      <c r="P5" s="182"/>
    </row>
    <row r="6" spans="1:16">
      <c r="A6" s="101"/>
      <c r="B6" s="101"/>
      <c r="C6" s="101"/>
      <c r="D6" s="101"/>
      <c r="E6" s="6" t="s">
        <v>29</v>
      </c>
      <c r="F6" s="101"/>
      <c r="G6" s="101"/>
      <c r="H6" s="101"/>
      <c r="I6" s="101"/>
      <c r="J6" s="101"/>
      <c r="K6" s="101"/>
      <c r="L6" s="101"/>
      <c r="M6" s="101"/>
      <c r="N6" s="182"/>
      <c r="O6" s="182"/>
      <c r="P6" s="182"/>
    </row>
    <row r="7" spans="1:16" ht="8.1" customHeight="1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</row>
    <row r="8" spans="1:16">
      <c r="A8" s="165" t="s">
        <v>55</v>
      </c>
      <c r="B8" s="167" t="s">
        <v>4</v>
      </c>
      <c r="C8" s="167"/>
      <c r="D8" s="167" t="s">
        <v>28</v>
      </c>
      <c r="E8" s="167" t="s">
        <v>24</v>
      </c>
      <c r="F8" s="167" t="s">
        <v>59</v>
      </c>
      <c r="G8" s="167" t="s">
        <v>27</v>
      </c>
      <c r="H8" s="167"/>
      <c r="I8" s="167"/>
      <c r="J8" s="167"/>
      <c r="K8" s="167"/>
      <c r="L8" s="167"/>
      <c r="M8" s="167"/>
      <c r="N8" s="167"/>
      <c r="O8" s="167"/>
      <c r="P8" s="169" t="s">
        <v>2</v>
      </c>
    </row>
    <row r="9" spans="1:16" ht="16.5" customHeight="1">
      <c r="A9" s="166"/>
      <c r="B9" s="168" t="s">
        <v>62</v>
      </c>
      <c r="C9" s="168" t="s">
        <v>60</v>
      </c>
      <c r="D9" s="168"/>
      <c r="E9" s="168"/>
      <c r="F9" s="168"/>
      <c r="G9" s="168" t="s">
        <v>56</v>
      </c>
      <c r="H9" s="168" t="s">
        <v>62</v>
      </c>
      <c r="I9" s="168"/>
      <c r="J9" s="168" t="s">
        <v>11</v>
      </c>
      <c r="K9" s="168" t="s">
        <v>60</v>
      </c>
      <c r="L9" s="168"/>
      <c r="M9" s="168"/>
      <c r="N9" s="168"/>
      <c r="O9" s="168" t="s">
        <v>11</v>
      </c>
      <c r="P9" s="170"/>
    </row>
    <row r="10" spans="1:16">
      <c r="A10" s="166"/>
      <c r="B10" s="168"/>
      <c r="C10" s="168"/>
      <c r="D10" s="168"/>
      <c r="E10" s="168"/>
      <c r="F10" s="168"/>
      <c r="G10" s="168"/>
      <c r="H10" s="25" t="s">
        <v>4</v>
      </c>
      <c r="I10" s="25" t="s">
        <v>31</v>
      </c>
      <c r="J10" s="168"/>
      <c r="K10" s="168" t="s">
        <v>4</v>
      </c>
      <c r="L10" s="168"/>
      <c r="M10" s="168"/>
      <c r="N10" s="25" t="s">
        <v>31</v>
      </c>
      <c r="O10" s="168"/>
      <c r="P10" s="170"/>
    </row>
    <row r="11" spans="1:16">
      <c r="A11" s="24" t="str">
        <f>'1. 소켓인수검사'!A9</f>
        <v>01</v>
      </c>
      <c r="B11" s="26">
        <f>'1. 소켓인수검사'!C9</f>
        <v>150</v>
      </c>
      <c r="C11" s="26">
        <f>'1. 소켓인수검사'!D9</f>
        <v>150</v>
      </c>
      <c r="D11" s="27">
        <v>1</v>
      </c>
      <c r="E11" s="28"/>
      <c r="F11" s="27">
        <v>1.6</v>
      </c>
      <c r="G11" s="27"/>
      <c r="H11" s="27">
        <f>B11-1</f>
        <v>149</v>
      </c>
      <c r="I11" s="27">
        <f t="shared" ref="I11:I12" si="0">D11*4</f>
        <v>4</v>
      </c>
      <c r="J11" s="27"/>
      <c r="K11" s="164">
        <f t="shared" ref="K11:K12" si="1">C11-30</f>
        <v>120</v>
      </c>
      <c r="L11" s="164"/>
      <c r="M11" s="164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150</v>
      </c>
      <c r="C12" s="26">
        <f>'1. 소켓인수검사'!D10</f>
        <v>150</v>
      </c>
      <c r="D12" s="27">
        <v>1</v>
      </c>
      <c r="E12" s="28"/>
      <c r="F12" s="27">
        <v>1.6</v>
      </c>
      <c r="G12" s="27"/>
      <c r="H12" s="27">
        <f t="shared" ref="H12" si="3">B12-1</f>
        <v>149</v>
      </c>
      <c r="I12" s="27">
        <f t="shared" si="0"/>
        <v>4</v>
      </c>
      <c r="J12" s="27"/>
      <c r="K12" s="164">
        <f t="shared" si="1"/>
        <v>120</v>
      </c>
      <c r="L12" s="164"/>
      <c r="M12" s="164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150</v>
      </c>
      <c r="C13" s="26">
        <f>'1. 소켓인수검사'!D11</f>
        <v>150</v>
      </c>
      <c r="D13" s="27">
        <v>1</v>
      </c>
      <c r="E13" s="28"/>
      <c r="F13" s="27">
        <v>1.6</v>
      </c>
      <c r="G13" s="27"/>
      <c r="H13" s="27">
        <f t="shared" ref="H13:H50" si="4">B13-1</f>
        <v>149</v>
      </c>
      <c r="I13" s="27">
        <f t="shared" ref="I13:I50" si="5">D13*4</f>
        <v>4</v>
      </c>
      <c r="J13" s="27"/>
      <c r="K13" s="164">
        <f t="shared" ref="K13:K50" si="6">C13-30</f>
        <v>120</v>
      </c>
      <c r="L13" s="164"/>
      <c r="M13" s="164"/>
      <c r="N13" s="27">
        <f t="shared" ref="N13:N50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200</v>
      </c>
      <c r="C14" s="26">
        <f>'1. 소켓인수검사'!D12</f>
        <v>150</v>
      </c>
      <c r="D14" s="27">
        <v>1</v>
      </c>
      <c r="E14" s="28"/>
      <c r="F14" s="27">
        <v>1.6</v>
      </c>
      <c r="G14" s="27"/>
      <c r="H14" s="27">
        <f t="shared" si="4"/>
        <v>199</v>
      </c>
      <c r="I14" s="27">
        <f t="shared" si="5"/>
        <v>4</v>
      </c>
      <c r="J14" s="27"/>
      <c r="K14" s="164">
        <f t="shared" si="6"/>
        <v>120</v>
      </c>
      <c r="L14" s="164"/>
      <c r="M14" s="164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200</v>
      </c>
      <c r="C15" s="26">
        <f>'1. 소켓인수검사'!D13</f>
        <v>150</v>
      </c>
      <c r="D15" s="27">
        <v>1</v>
      </c>
      <c r="E15" s="28"/>
      <c r="F15" s="27">
        <v>1.6</v>
      </c>
      <c r="G15" s="27"/>
      <c r="H15" s="27">
        <f t="shared" si="4"/>
        <v>199</v>
      </c>
      <c r="I15" s="27">
        <f t="shared" si="5"/>
        <v>4</v>
      </c>
      <c r="J15" s="27"/>
      <c r="K15" s="164">
        <f t="shared" si="6"/>
        <v>120</v>
      </c>
      <c r="L15" s="164"/>
      <c r="M15" s="164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200</v>
      </c>
      <c r="C16" s="26">
        <f>'1. 소켓인수검사'!D14</f>
        <v>150</v>
      </c>
      <c r="D16" s="27">
        <v>1</v>
      </c>
      <c r="E16" s="28"/>
      <c r="F16" s="27">
        <v>1.6</v>
      </c>
      <c r="G16" s="27"/>
      <c r="H16" s="27">
        <f t="shared" si="4"/>
        <v>199</v>
      </c>
      <c r="I16" s="27">
        <f t="shared" si="5"/>
        <v>4</v>
      </c>
      <c r="J16" s="27"/>
      <c r="K16" s="164">
        <f t="shared" si="6"/>
        <v>120</v>
      </c>
      <c r="L16" s="164"/>
      <c r="M16" s="164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200</v>
      </c>
      <c r="C17" s="26">
        <f>'1. 소켓인수검사'!D15</f>
        <v>150</v>
      </c>
      <c r="D17" s="27">
        <v>1</v>
      </c>
      <c r="E17" s="28"/>
      <c r="F17" s="27">
        <v>1.6</v>
      </c>
      <c r="G17" s="27"/>
      <c r="H17" s="27">
        <f t="shared" si="4"/>
        <v>199</v>
      </c>
      <c r="I17" s="27">
        <f t="shared" si="5"/>
        <v>4</v>
      </c>
      <c r="J17" s="27"/>
      <c r="K17" s="164">
        <f t="shared" si="6"/>
        <v>120</v>
      </c>
      <c r="L17" s="164"/>
      <c r="M17" s="164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200</v>
      </c>
      <c r="C18" s="26">
        <f>'1. 소켓인수검사'!D16</f>
        <v>200</v>
      </c>
      <c r="D18" s="27">
        <v>1</v>
      </c>
      <c r="E18" s="28"/>
      <c r="F18" s="27">
        <v>1.6</v>
      </c>
      <c r="G18" s="27"/>
      <c r="H18" s="27">
        <f t="shared" si="4"/>
        <v>199</v>
      </c>
      <c r="I18" s="27">
        <f t="shared" si="5"/>
        <v>4</v>
      </c>
      <c r="J18" s="27"/>
      <c r="K18" s="164">
        <f t="shared" si="6"/>
        <v>170</v>
      </c>
      <c r="L18" s="164"/>
      <c r="M18" s="164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200</v>
      </c>
      <c r="C19" s="26">
        <f>'1. 소켓인수검사'!D17</f>
        <v>200</v>
      </c>
      <c r="D19" s="27">
        <v>1</v>
      </c>
      <c r="E19" s="28"/>
      <c r="F19" s="27">
        <v>1.6</v>
      </c>
      <c r="G19" s="27"/>
      <c r="H19" s="27">
        <f t="shared" si="4"/>
        <v>199</v>
      </c>
      <c r="I19" s="27">
        <f t="shared" si="5"/>
        <v>4</v>
      </c>
      <c r="J19" s="27"/>
      <c r="K19" s="164">
        <f t="shared" si="6"/>
        <v>170</v>
      </c>
      <c r="L19" s="164"/>
      <c r="M19" s="164"/>
      <c r="N19" s="27">
        <f t="shared" si="7"/>
        <v>4</v>
      </c>
      <c r="O19" s="27"/>
      <c r="P19" s="31"/>
    </row>
    <row r="20" spans="1:16">
      <c r="A20" s="24" t="str">
        <f>'1. 소켓인수검사'!A18</f>
        <v>10</v>
      </c>
      <c r="B20" s="26">
        <f>'1. 소켓인수검사'!C18</f>
        <v>200</v>
      </c>
      <c r="C20" s="26">
        <f>'1. 소켓인수검사'!D18</f>
        <v>200</v>
      </c>
      <c r="D20" s="27">
        <v>1</v>
      </c>
      <c r="E20" s="28"/>
      <c r="F20" s="27">
        <v>1.6</v>
      </c>
      <c r="G20" s="27"/>
      <c r="H20" s="27">
        <f t="shared" si="4"/>
        <v>199</v>
      </c>
      <c r="I20" s="27">
        <f t="shared" si="5"/>
        <v>4</v>
      </c>
      <c r="J20" s="27"/>
      <c r="K20" s="164">
        <f t="shared" si="6"/>
        <v>170</v>
      </c>
      <c r="L20" s="164"/>
      <c r="M20" s="164"/>
      <c r="N20" s="27">
        <f t="shared" si="7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200</v>
      </c>
      <c r="C21" s="26">
        <f>'1. 소켓인수검사'!D19</f>
        <v>200</v>
      </c>
      <c r="D21" s="27">
        <v>1</v>
      </c>
      <c r="E21" s="28"/>
      <c r="F21" s="27">
        <v>1.6</v>
      </c>
      <c r="G21" s="27"/>
      <c r="H21" s="27">
        <f t="shared" si="4"/>
        <v>199</v>
      </c>
      <c r="I21" s="27">
        <f t="shared" si="5"/>
        <v>4</v>
      </c>
      <c r="J21" s="27"/>
      <c r="K21" s="164">
        <f t="shared" si="6"/>
        <v>170</v>
      </c>
      <c r="L21" s="164"/>
      <c r="M21" s="164"/>
      <c r="N21" s="27">
        <f t="shared" si="7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200</v>
      </c>
      <c r="C22" s="26">
        <f>'1. 소켓인수검사'!D20</f>
        <v>200</v>
      </c>
      <c r="D22" s="27">
        <v>1</v>
      </c>
      <c r="E22" s="28"/>
      <c r="F22" s="27">
        <v>1.6</v>
      </c>
      <c r="G22" s="27"/>
      <c r="H22" s="27">
        <f t="shared" si="4"/>
        <v>199</v>
      </c>
      <c r="I22" s="27">
        <f t="shared" si="5"/>
        <v>4</v>
      </c>
      <c r="J22" s="27"/>
      <c r="K22" s="164">
        <f t="shared" si="6"/>
        <v>170</v>
      </c>
      <c r="L22" s="164"/>
      <c r="M22" s="164"/>
      <c r="N22" s="27">
        <f t="shared" si="7"/>
        <v>4</v>
      </c>
      <c r="O22" s="27"/>
      <c r="P22" s="32"/>
    </row>
    <row r="23" spans="1:16">
      <c r="A23" s="24" t="str">
        <f>'1. 소켓인수검사'!A21</f>
        <v>13</v>
      </c>
      <c r="B23" s="26">
        <f>'1. 소켓인수검사'!C21</f>
        <v>200</v>
      </c>
      <c r="C23" s="26">
        <f>'1. 소켓인수검사'!D21</f>
        <v>200</v>
      </c>
      <c r="D23" s="27">
        <v>1</v>
      </c>
      <c r="E23" s="28"/>
      <c r="F23" s="27">
        <v>1.6</v>
      </c>
      <c r="G23" s="27"/>
      <c r="H23" s="27">
        <f t="shared" si="4"/>
        <v>199</v>
      </c>
      <c r="I23" s="27">
        <f t="shared" si="5"/>
        <v>4</v>
      </c>
      <c r="J23" s="27"/>
      <c r="K23" s="164">
        <f t="shared" si="6"/>
        <v>170</v>
      </c>
      <c r="L23" s="164"/>
      <c r="M23" s="164"/>
      <c r="N23" s="27">
        <f t="shared" si="7"/>
        <v>4</v>
      </c>
      <c r="O23" s="27"/>
      <c r="P23" s="32"/>
    </row>
    <row r="24" spans="1:16">
      <c r="A24" s="24" t="str">
        <f>'1. 소켓인수검사'!A22</f>
        <v>14</v>
      </c>
      <c r="B24" s="26">
        <f>'1. 소켓인수검사'!C22</f>
        <v>200</v>
      </c>
      <c r="C24" s="26">
        <f>'1. 소켓인수검사'!D22</f>
        <v>200</v>
      </c>
      <c r="D24" s="27">
        <v>1</v>
      </c>
      <c r="E24" s="28"/>
      <c r="F24" s="27">
        <v>1.6</v>
      </c>
      <c r="G24" s="27"/>
      <c r="H24" s="27">
        <f t="shared" si="4"/>
        <v>199</v>
      </c>
      <c r="I24" s="27">
        <f t="shared" si="5"/>
        <v>4</v>
      </c>
      <c r="J24" s="27"/>
      <c r="K24" s="164">
        <f t="shared" si="6"/>
        <v>170</v>
      </c>
      <c r="L24" s="164"/>
      <c r="M24" s="164"/>
      <c r="N24" s="27">
        <f t="shared" si="7"/>
        <v>4</v>
      </c>
      <c r="O24" s="27"/>
      <c r="P24" s="32"/>
    </row>
    <row r="25" spans="1:16">
      <c r="A25" s="24" t="str">
        <f>'1. 소켓인수검사'!A23</f>
        <v>15</v>
      </c>
      <c r="B25" s="26">
        <f>'1. 소켓인수검사'!C23</f>
        <v>250</v>
      </c>
      <c r="C25" s="26">
        <f>'1. 소켓인수검사'!D23</f>
        <v>150</v>
      </c>
      <c r="D25" s="27">
        <v>1</v>
      </c>
      <c r="E25" s="28"/>
      <c r="F25" s="27">
        <v>1.6</v>
      </c>
      <c r="G25" s="27"/>
      <c r="H25" s="27">
        <f t="shared" si="4"/>
        <v>249</v>
      </c>
      <c r="I25" s="27">
        <f t="shared" si="5"/>
        <v>4</v>
      </c>
      <c r="J25" s="27"/>
      <c r="K25" s="164">
        <f t="shared" si="6"/>
        <v>120</v>
      </c>
      <c r="L25" s="164"/>
      <c r="M25" s="164"/>
      <c r="N25" s="27">
        <f t="shared" si="7"/>
        <v>4</v>
      </c>
      <c r="O25" s="27"/>
      <c r="P25" s="32"/>
    </row>
    <row r="26" spans="1:16">
      <c r="A26" s="24" t="str">
        <f>'1. 소켓인수검사'!A24</f>
        <v>16</v>
      </c>
      <c r="B26" s="26">
        <f>'1. 소켓인수검사'!C24</f>
        <v>250</v>
      </c>
      <c r="C26" s="26">
        <f>'1. 소켓인수검사'!D24</f>
        <v>150</v>
      </c>
      <c r="D26" s="27">
        <v>1</v>
      </c>
      <c r="E26" s="28"/>
      <c r="F26" s="27">
        <v>1.6</v>
      </c>
      <c r="G26" s="27"/>
      <c r="H26" s="27">
        <f t="shared" si="4"/>
        <v>249</v>
      </c>
      <c r="I26" s="27">
        <f t="shared" si="5"/>
        <v>4</v>
      </c>
      <c r="J26" s="27"/>
      <c r="K26" s="164">
        <f t="shared" si="6"/>
        <v>120</v>
      </c>
      <c r="L26" s="164"/>
      <c r="M26" s="164"/>
      <c r="N26" s="27">
        <f t="shared" si="7"/>
        <v>4</v>
      </c>
      <c r="O26" s="27"/>
      <c r="P26" s="32"/>
    </row>
    <row r="27" spans="1:16">
      <c r="A27" s="24" t="str">
        <f>'1. 소켓인수검사'!A25</f>
        <v>17</v>
      </c>
      <c r="B27" s="26">
        <f>'1. 소켓인수검사'!C25</f>
        <v>250</v>
      </c>
      <c r="C27" s="26">
        <f>'1. 소켓인수검사'!D25</f>
        <v>150</v>
      </c>
      <c r="D27" s="27">
        <v>1</v>
      </c>
      <c r="E27" s="28"/>
      <c r="F27" s="27">
        <v>1.6</v>
      </c>
      <c r="G27" s="27"/>
      <c r="H27" s="27">
        <f t="shared" si="4"/>
        <v>249</v>
      </c>
      <c r="I27" s="27">
        <f t="shared" si="5"/>
        <v>4</v>
      </c>
      <c r="J27" s="27"/>
      <c r="K27" s="164">
        <f t="shared" si="6"/>
        <v>120</v>
      </c>
      <c r="L27" s="164"/>
      <c r="M27" s="164"/>
      <c r="N27" s="27">
        <f t="shared" si="7"/>
        <v>4</v>
      </c>
      <c r="O27" s="27"/>
      <c r="P27" s="31"/>
    </row>
    <row r="28" spans="1:16">
      <c r="A28" s="24" t="str">
        <f>'1. 소켓인수검사'!A26</f>
        <v>18</v>
      </c>
      <c r="B28" s="26">
        <f>'1. 소켓인수검사'!C26</f>
        <v>250</v>
      </c>
      <c r="C28" s="26">
        <f>'1. 소켓인수검사'!D26</f>
        <v>250</v>
      </c>
      <c r="D28" s="27">
        <v>1</v>
      </c>
      <c r="E28" s="28"/>
      <c r="F28" s="27">
        <v>1.6</v>
      </c>
      <c r="G28" s="27"/>
      <c r="H28" s="27">
        <f t="shared" si="4"/>
        <v>249</v>
      </c>
      <c r="I28" s="27">
        <f t="shared" si="5"/>
        <v>4</v>
      </c>
      <c r="J28" s="27"/>
      <c r="K28" s="164">
        <f t="shared" si="6"/>
        <v>220</v>
      </c>
      <c r="L28" s="164"/>
      <c r="M28" s="164"/>
      <c r="N28" s="27">
        <f t="shared" si="7"/>
        <v>4</v>
      </c>
      <c r="O28" s="27"/>
      <c r="P28" s="31"/>
    </row>
    <row r="29" spans="1:16">
      <c r="A29" s="24" t="str">
        <f>'1. 소켓인수검사'!A27</f>
        <v>19</v>
      </c>
      <c r="B29" s="26">
        <f>'1. 소켓인수검사'!C27</f>
        <v>250</v>
      </c>
      <c r="C29" s="26">
        <f>'1. 소켓인수검사'!D27</f>
        <v>250</v>
      </c>
      <c r="D29" s="27">
        <v>1</v>
      </c>
      <c r="E29" s="28"/>
      <c r="F29" s="27">
        <v>1.6</v>
      </c>
      <c r="G29" s="27"/>
      <c r="H29" s="27">
        <f t="shared" si="4"/>
        <v>249</v>
      </c>
      <c r="I29" s="27">
        <f t="shared" si="5"/>
        <v>4</v>
      </c>
      <c r="J29" s="27"/>
      <c r="K29" s="164">
        <f t="shared" si="6"/>
        <v>220</v>
      </c>
      <c r="L29" s="164"/>
      <c r="M29" s="164"/>
      <c r="N29" s="27">
        <f t="shared" si="7"/>
        <v>4</v>
      </c>
      <c r="O29" s="27"/>
      <c r="P29" s="31"/>
    </row>
    <row r="30" spans="1:16">
      <c r="A30" s="24" t="str">
        <f>'1. 소켓인수검사'!A28</f>
        <v>20</v>
      </c>
      <c r="B30" s="26">
        <f>'1. 소켓인수검사'!C28</f>
        <v>250</v>
      </c>
      <c r="C30" s="26">
        <f>'1. 소켓인수검사'!D28</f>
        <v>250</v>
      </c>
      <c r="D30" s="27">
        <v>1</v>
      </c>
      <c r="E30" s="28"/>
      <c r="F30" s="27">
        <v>1.6</v>
      </c>
      <c r="G30" s="27"/>
      <c r="H30" s="27">
        <f t="shared" si="4"/>
        <v>249</v>
      </c>
      <c r="I30" s="27">
        <f t="shared" si="5"/>
        <v>4</v>
      </c>
      <c r="J30" s="27"/>
      <c r="K30" s="164">
        <f t="shared" si="6"/>
        <v>220</v>
      </c>
      <c r="L30" s="164"/>
      <c r="M30" s="164"/>
      <c r="N30" s="27">
        <f t="shared" si="7"/>
        <v>4</v>
      </c>
      <c r="O30" s="27"/>
      <c r="P30" s="31"/>
    </row>
    <row r="31" spans="1:16">
      <c r="A31" s="24" t="str">
        <f>'1. 소켓인수검사'!A29</f>
        <v>21</v>
      </c>
      <c r="B31" s="26">
        <f>'1. 소켓인수검사'!C29</f>
        <v>250</v>
      </c>
      <c r="C31" s="26">
        <f>'1. 소켓인수검사'!D29</f>
        <v>250</v>
      </c>
      <c r="D31" s="27">
        <v>1</v>
      </c>
      <c r="E31" s="28"/>
      <c r="F31" s="27">
        <v>1.6</v>
      </c>
      <c r="G31" s="27"/>
      <c r="H31" s="27">
        <f t="shared" si="4"/>
        <v>249</v>
      </c>
      <c r="I31" s="27">
        <f t="shared" si="5"/>
        <v>4</v>
      </c>
      <c r="J31" s="27"/>
      <c r="K31" s="164">
        <f t="shared" si="6"/>
        <v>220</v>
      </c>
      <c r="L31" s="164"/>
      <c r="M31" s="164"/>
      <c r="N31" s="27">
        <f t="shared" si="7"/>
        <v>4</v>
      </c>
      <c r="O31" s="27"/>
      <c r="P31" s="33"/>
    </row>
    <row r="32" spans="1:16">
      <c r="A32" s="24" t="str">
        <f>'1. 소켓인수검사'!A30</f>
        <v>22</v>
      </c>
      <c r="B32" s="26">
        <f>'1. 소켓인수검사'!C30</f>
        <v>250</v>
      </c>
      <c r="C32" s="26">
        <f>'1. 소켓인수검사'!D30</f>
        <v>250</v>
      </c>
      <c r="D32" s="27">
        <v>1</v>
      </c>
      <c r="E32" s="28"/>
      <c r="F32" s="27">
        <v>1.6</v>
      </c>
      <c r="G32" s="27"/>
      <c r="H32" s="27">
        <f t="shared" si="4"/>
        <v>249</v>
      </c>
      <c r="I32" s="27">
        <f t="shared" si="5"/>
        <v>4</v>
      </c>
      <c r="J32" s="27"/>
      <c r="K32" s="164">
        <f t="shared" si="6"/>
        <v>220</v>
      </c>
      <c r="L32" s="164"/>
      <c r="M32" s="164"/>
      <c r="N32" s="27">
        <f t="shared" si="7"/>
        <v>4</v>
      </c>
      <c r="O32" s="27"/>
      <c r="P32" s="33"/>
    </row>
    <row r="33" spans="1:16">
      <c r="A33" s="24" t="str">
        <f>'1. 소켓인수검사'!A31</f>
        <v>23</v>
      </c>
      <c r="B33" s="26">
        <f>'1. 소켓인수검사'!C31</f>
        <v>300</v>
      </c>
      <c r="C33" s="26">
        <f>'1. 소켓인수검사'!D31</f>
        <v>200</v>
      </c>
      <c r="D33" s="27">
        <v>1</v>
      </c>
      <c r="E33" s="28"/>
      <c r="F33" s="27">
        <v>1.6</v>
      </c>
      <c r="G33" s="27"/>
      <c r="H33" s="27">
        <f t="shared" si="4"/>
        <v>299</v>
      </c>
      <c r="I33" s="27">
        <f t="shared" si="5"/>
        <v>4</v>
      </c>
      <c r="J33" s="27"/>
      <c r="K33" s="164">
        <f t="shared" si="6"/>
        <v>170</v>
      </c>
      <c r="L33" s="164"/>
      <c r="M33" s="164"/>
      <c r="N33" s="27">
        <f t="shared" si="7"/>
        <v>4</v>
      </c>
      <c r="O33" s="27"/>
      <c r="P33" s="33"/>
    </row>
    <row r="34" spans="1:16">
      <c r="A34" s="24" t="str">
        <f>'1. 소켓인수검사'!A32</f>
        <v>24</v>
      </c>
      <c r="B34" s="26">
        <f>'1. 소켓인수검사'!C32</f>
        <v>300</v>
      </c>
      <c r="C34" s="26">
        <f>'1. 소켓인수검사'!D32</f>
        <v>200</v>
      </c>
      <c r="D34" s="27">
        <v>1</v>
      </c>
      <c r="E34" s="28"/>
      <c r="F34" s="27">
        <v>1.6</v>
      </c>
      <c r="G34" s="27"/>
      <c r="H34" s="27">
        <f t="shared" si="4"/>
        <v>299</v>
      </c>
      <c r="I34" s="27">
        <f t="shared" si="5"/>
        <v>4</v>
      </c>
      <c r="J34" s="27"/>
      <c r="K34" s="164">
        <f t="shared" si="6"/>
        <v>170</v>
      </c>
      <c r="L34" s="164"/>
      <c r="M34" s="164"/>
      <c r="N34" s="27">
        <f t="shared" si="7"/>
        <v>4</v>
      </c>
      <c r="O34" s="27"/>
      <c r="P34" s="33"/>
    </row>
    <row r="35" spans="1:16">
      <c r="A35" s="24" t="str">
        <f>'1. 소켓인수검사'!A33</f>
        <v>25</v>
      </c>
      <c r="B35" s="26">
        <f>'1. 소켓인수검사'!C33</f>
        <v>300</v>
      </c>
      <c r="C35" s="26">
        <f>'1. 소켓인수검사'!D33</f>
        <v>200</v>
      </c>
      <c r="D35" s="27">
        <v>1</v>
      </c>
      <c r="E35" s="28"/>
      <c r="F35" s="27">
        <v>1.6</v>
      </c>
      <c r="G35" s="27"/>
      <c r="H35" s="27">
        <f t="shared" si="4"/>
        <v>299</v>
      </c>
      <c r="I35" s="27">
        <f t="shared" si="5"/>
        <v>4</v>
      </c>
      <c r="J35" s="27"/>
      <c r="K35" s="164">
        <f t="shared" si="6"/>
        <v>170</v>
      </c>
      <c r="L35" s="164"/>
      <c r="M35" s="164"/>
      <c r="N35" s="27">
        <f t="shared" si="7"/>
        <v>4</v>
      </c>
      <c r="O35" s="27"/>
      <c r="P35" s="33"/>
    </row>
    <row r="36" spans="1:16" ht="16.5" customHeight="1">
      <c r="A36" s="24" t="str">
        <f>'1. 소켓인수검사'!A34</f>
        <v>26</v>
      </c>
      <c r="B36" s="26">
        <f>'1. 소켓인수검사'!C34</f>
        <v>300</v>
      </c>
      <c r="C36" s="26">
        <f>'1. 소켓인수검사'!D34</f>
        <v>200</v>
      </c>
      <c r="D36" s="27">
        <v>1</v>
      </c>
      <c r="E36" s="28"/>
      <c r="F36" s="27">
        <v>1.6</v>
      </c>
      <c r="G36" s="27"/>
      <c r="H36" s="27">
        <f t="shared" si="4"/>
        <v>299</v>
      </c>
      <c r="I36" s="27">
        <f t="shared" si="5"/>
        <v>4</v>
      </c>
      <c r="J36" s="27"/>
      <c r="K36" s="164">
        <f t="shared" si="6"/>
        <v>170</v>
      </c>
      <c r="L36" s="164"/>
      <c r="M36" s="164"/>
      <c r="N36" s="27">
        <f t="shared" si="7"/>
        <v>4</v>
      </c>
      <c r="O36" s="27"/>
      <c r="P36" s="33"/>
    </row>
    <row r="37" spans="1:16">
      <c r="A37" s="24" t="str">
        <f>'1. 소켓인수검사'!A35</f>
        <v>27</v>
      </c>
      <c r="B37" s="26">
        <f>'1. 소켓인수검사'!C35</f>
        <v>300</v>
      </c>
      <c r="C37" s="26">
        <f>'1. 소켓인수검사'!D35</f>
        <v>250</v>
      </c>
      <c r="D37" s="27">
        <v>1</v>
      </c>
      <c r="E37" s="28"/>
      <c r="F37" s="27">
        <v>1.6</v>
      </c>
      <c r="G37" s="27"/>
      <c r="H37" s="27">
        <f t="shared" si="4"/>
        <v>299</v>
      </c>
      <c r="I37" s="27">
        <f t="shared" si="5"/>
        <v>4</v>
      </c>
      <c r="J37" s="27"/>
      <c r="K37" s="164">
        <f t="shared" si="6"/>
        <v>220</v>
      </c>
      <c r="L37" s="164"/>
      <c r="M37" s="164"/>
      <c r="N37" s="27">
        <f t="shared" si="7"/>
        <v>4</v>
      </c>
      <c r="O37" s="27"/>
      <c r="P37" s="33"/>
    </row>
    <row r="38" spans="1:16">
      <c r="A38" s="24" t="str">
        <f>'1. 소켓인수검사'!A36</f>
        <v>28</v>
      </c>
      <c r="B38" s="26">
        <f>'1. 소켓인수검사'!C36</f>
        <v>300</v>
      </c>
      <c r="C38" s="26">
        <f>'1. 소켓인수검사'!D36</f>
        <v>250</v>
      </c>
      <c r="D38" s="27">
        <v>1</v>
      </c>
      <c r="E38" s="28"/>
      <c r="F38" s="27">
        <v>1.6</v>
      </c>
      <c r="G38" s="27"/>
      <c r="H38" s="27">
        <f t="shared" si="4"/>
        <v>299</v>
      </c>
      <c r="I38" s="27">
        <f t="shared" si="5"/>
        <v>4</v>
      </c>
      <c r="J38" s="27"/>
      <c r="K38" s="164">
        <f t="shared" si="6"/>
        <v>220</v>
      </c>
      <c r="L38" s="164"/>
      <c r="M38" s="164"/>
      <c r="N38" s="27">
        <f t="shared" si="7"/>
        <v>4</v>
      </c>
      <c r="O38" s="27"/>
      <c r="P38" s="33"/>
    </row>
    <row r="39" spans="1:16">
      <c r="A39" s="24" t="str">
        <f>'1. 소켓인수검사'!A37</f>
        <v>29</v>
      </c>
      <c r="B39" s="26">
        <f>'1. 소켓인수검사'!C37</f>
        <v>300</v>
      </c>
      <c r="C39" s="26">
        <f>'1. 소켓인수검사'!D37</f>
        <v>300</v>
      </c>
      <c r="D39" s="27">
        <v>1</v>
      </c>
      <c r="E39" s="28"/>
      <c r="F39" s="27">
        <v>1.6</v>
      </c>
      <c r="G39" s="27"/>
      <c r="H39" s="27">
        <f t="shared" si="4"/>
        <v>299</v>
      </c>
      <c r="I39" s="27">
        <f t="shared" si="5"/>
        <v>4</v>
      </c>
      <c r="J39" s="27"/>
      <c r="K39" s="164">
        <f t="shared" si="6"/>
        <v>270</v>
      </c>
      <c r="L39" s="164"/>
      <c r="M39" s="164"/>
      <c r="N39" s="27">
        <f t="shared" si="7"/>
        <v>4</v>
      </c>
      <c r="O39" s="27"/>
      <c r="P39" s="33"/>
    </row>
    <row r="40" spans="1:16">
      <c r="A40" s="24" t="str">
        <f>'1. 소켓인수검사'!A38</f>
        <v>30</v>
      </c>
      <c r="B40" s="26">
        <f>'1. 소켓인수검사'!C38</f>
        <v>350</v>
      </c>
      <c r="C40" s="26">
        <f>'1. 소켓인수검사'!D38</f>
        <v>250</v>
      </c>
      <c r="D40" s="27">
        <v>1</v>
      </c>
      <c r="E40" s="28"/>
      <c r="F40" s="27">
        <v>1.6</v>
      </c>
      <c r="G40" s="27"/>
      <c r="H40" s="27">
        <f t="shared" si="4"/>
        <v>349</v>
      </c>
      <c r="I40" s="27">
        <f t="shared" si="5"/>
        <v>4</v>
      </c>
      <c r="J40" s="27"/>
      <c r="K40" s="164">
        <f t="shared" si="6"/>
        <v>220</v>
      </c>
      <c r="L40" s="164"/>
      <c r="M40" s="164"/>
      <c r="N40" s="27">
        <f t="shared" si="7"/>
        <v>4</v>
      </c>
      <c r="O40" s="27"/>
      <c r="P40" s="33"/>
    </row>
    <row r="41" spans="1:16">
      <c r="A41" s="24" t="str">
        <f>'1. 소켓인수검사'!A39</f>
        <v>31</v>
      </c>
      <c r="B41" s="26">
        <f>'1. 소켓인수검사'!C39</f>
        <v>350</v>
      </c>
      <c r="C41" s="26">
        <f>'1. 소켓인수검사'!D39</f>
        <v>250</v>
      </c>
      <c r="D41" s="27">
        <v>1</v>
      </c>
      <c r="E41" s="28"/>
      <c r="F41" s="27">
        <v>1.6</v>
      </c>
      <c r="G41" s="27"/>
      <c r="H41" s="27">
        <f t="shared" si="4"/>
        <v>349</v>
      </c>
      <c r="I41" s="27">
        <f t="shared" si="5"/>
        <v>4</v>
      </c>
      <c r="J41" s="27"/>
      <c r="K41" s="164">
        <f t="shared" si="6"/>
        <v>220</v>
      </c>
      <c r="L41" s="164"/>
      <c r="M41" s="164"/>
      <c r="N41" s="27">
        <f t="shared" si="7"/>
        <v>4</v>
      </c>
      <c r="O41" s="27"/>
      <c r="P41" s="33"/>
    </row>
    <row r="42" spans="1:16">
      <c r="A42" s="24" t="str">
        <f>'1. 소켓인수검사'!A40</f>
        <v>32</v>
      </c>
      <c r="B42" s="26">
        <f>'1. 소켓인수검사'!C40</f>
        <v>400</v>
      </c>
      <c r="C42" s="26">
        <f>'1. 소켓인수검사'!D40</f>
        <v>200</v>
      </c>
      <c r="D42" s="27">
        <v>1</v>
      </c>
      <c r="E42" s="28"/>
      <c r="F42" s="27">
        <v>1.6</v>
      </c>
      <c r="G42" s="27"/>
      <c r="H42" s="27">
        <f t="shared" si="4"/>
        <v>399</v>
      </c>
      <c r="I42" s="27">
        <f t="shared" si="5"/>
        <v>4</v>
      </c>
      <c r="J42" s="27"/>
      <c r="K42" s="164">
        <f t="shared" si="6"/>
        <v>170</v>
      </c>
      <c r="L42" s="164"/>
      <c r="M42" s="164"/>
      <c r="N42" s="27">
        <f t="shared" si="7"/>
        <v>4</v>
      </c>
      <c r="O42" s="27"/>
      <c r="P42" s="33"/>
    </row>
    <row r="43" spans="1:16">
      <c r="A43" s="24" t="str">
        <f>'1. 소켓인수검사'!A41</f>
        <v>33</v>
      </c>
      <c r="B43" s="26">
        <f>'1. 소켓인수검사'!C41</f>
        <v>400</v>
      </c>
      <c r="C43" s="26">
        <f>'1. 소켓인수검사'!D41</f>
        <v>300</v>
      </c>
      <c r="D43" s="27">
        <v>1</v>
      </c>
      <c r="E43" s="28"/>
      <c r="F43" s="27">
        <v>1.6</v>
      </c>
      <c r="G43" s="27"/>
      <c r="H43" s="27">
        <f t="shared" si="4"/>
        <v>399</v>
      </c>
      <c r="I43" s="27">
        <f t="shared" si="5"/>
        <v>4</v>
      </c>
      <c r="J43" s="27"/>
      <c r="K43" s="164">
        <f t="shared" si="6"/>
        <v>270</v>
      </c>
      <c r="L43" s="164"/>
      <c r="M43" s="164"/>
      <c r="N43" s="27">
        <f t="shared" si="7"/>
        <v>4</v>
      </c>
      <c r="O43" s="27"/>
      <c r="P43" s="33"/>
    </row>
    <row r="44" spans="1:16">
      <c r="A44" s="24" t="str">
        <f>'1. 소켓인수검사'!A42</f>
        <v>34</v>
      </c>
      <c r="B44" s="26">
        <f>'1. 소켓인수검사'!C42</f>
        <v>400</v>
      </c>
      <c r="C44" s="26">
        <f>'1. 소켓인수검사'!D42</f>
        <v>300</v>
      </c>
      <c r="D44" s="27">
        <v>1</v>
      </c>
      <c r="E44" s="28"/>
      <c r="F44" s="27">
        <v>1.6</v>
      </c>
      <c r="G44" s="27"/>
      <c r="H44" s="27">
        <f t="shared" si="4"/>
        <v>399</v>
      </c>
      <c r="I44" s="27">
        <f t="shared" si="5"/>
        <v>4</v>
      </c>
      <c r="J44" s="27"/>
      <c r="K44" s="164">
        <f t="shared" si="6"/>
        <v>270</v>
      </c>
      <c r="L44" s="164"/>
      <c r="M44" s="164"/>
      <c r="N44" s="27">
        <f t="shared" si="7"/>
        <v>4</v>
      </c>
      <c r="O44" s="27"/>
      <c r="P44" s="33"/>
    </row>
    <row r="45" spans="1:16">
      <c r="A45" s="24" t="str">
        <f>'1. 소켓인수검사'!A43</f>
        <v>35</v>
      </c>
      <c r="B45" s="26">
        <f>'1. 소켓인수검사'!C43</f>
        <v>450</v>
      </c>
      <c r="C45" s="26">
        <f>'1. 소켓인수검사'!D43</f>
        <v>350</v>
      </c>
      <c r="D45" s="27">
        <v>1</v>
      </c>
      <c r="E45" s="28"/>
      <c r="F45" s="27">
        <v>1.6</v>
      </c>
      <c r="G45" s="27"/>
      <c r="H45" s="27">
        <f t="shared" si="4"/>
        <v>449</v>
      </c>
      <c r="I45" s="27">
        <f t="shared" si="5"/>
        <v>4</v>
      </c>
      <c r="J45" s="27"/>
      <c r="K45" s="164">
        <f t="shared" si="6"/>
        <v>320</v>
      </c>
      <c r="L45" s="164"/>
      <c r="M45" s="164"/>
      <c r="N45" s="27">
        <f t="shared" si="7"/>
        <v>4</v>
      </c>
      <c r="O45" s="27"/>
      <c r="P45" s="33"/>
    </row>
    <row r="46" spans="1:16">
      <c r="A46" s="24" t="str">
        <f>'1. 소켓인수검사'!A44</f>
        <v>36</v>
      </c>
      <c r="B46" s="26">
        <f>'1. 소켓인수검사'!C44</f>
        <v>450</v>
      </c>
      <c r="C46" s="26">
        <f>'1. 소켓인수검사'!D44</f>
        <v>350</v>
      </c>
      <c r="D46" s="27">
        <v>1</v>
      </c>
      <c r="E46" s="28"/>
      <c r="F46" s="27">
        <v>1.6</v>
      </c>
      <c r="G46" s="27"/>
      <c r="H46" s="27">
        <f t="shared" si="4"/>
        <v>449</v>
      </c>
      <c r="I46" s="27">
        <f t="shared" si="5"/>
        <v>4</v>
      </c>
      <c r="J46" s="27"/>
      <c r="K46" s="164">
        <f t="shared" si="6"/>
        <v>320</v>
      </c>
      <c r="L46" s="164"/>
      <c r="M46" s="164"/>
      <c r="N46" s="27">
        <f t="shared" si="7"/>
        <v>4</v>
      </c>
      <c r="O46" s="27"/>
      <c r="P46" s="33"/>
    </row>
    <row r="47" spans="1:16">
      <c r="A47" s="24" t="str">
        <f>'1. 소켓인수검사'!A45</f>
        <v>37</v>
      </c>
      <c r="B47" s="26">
        <f>'1. 소켓인수검사'!C45</f>
        <v>500</v>
      </c>
      <c r="C47" s="26">
        <f>'1. 소켓인수검사'!D45</f>
        <v>300</v>
      </c>
      <c r="D47" s="27">
        <v>1</v>
      </c>
      <c r="E47" s="28"/>
      <c r="F47" s="27">
        <v>1.6</v>
      </c>
      <c r="G47" s="27"/>
      <c r="H47" s="27">
        <f t="shared" si="4"/>
        <v>499</v>
      </c>
      <c r="I47" s="27">
        <f t="shared" si="5"/>
        <v>4</v>
      </c>
      <c r="J47" s="27"/>
      <c r="K47" s="164">
        <f t="shared" si="6"/>
        <v>270</v>
      </c>
      <c r="L47" s="164"/>
      <c r="M47" s="164"/>
      <c r="N47" s="27">
        <f t="shared" si="7"/>
        <v>4</v>
      </c>
      <c r="O47" s="27"/>
      <c r="P47" s="33"/>
    </row>
    <row r="48" spans="1:16">
      <c r="A48" s="24" t="str">
        <f>'1. 소켓인수검사'!A46</f>
        <v>38</v>
      </c>
      <c r="B48" s="26">
        <f>'1. 소켓인수검사'!C46</f>
        <v>600</v>
      </c>
      <c r="C48" s="26">
        <f>'1. 소켓인수검사'!D46</f>
        <v>250</v>
      </c>
      <c r="D48" s="27">
        <v>1</v>
      </c>
      <c r="E48" s="28"/>
      <c r="F48" s="27">
        <v>1.6</v>
      </c>
      <c r="G48" s="27"/>
      <c r="H48" s="27">
        <f t="shared" si="4"/>
        <v>599</v>
      </c>
      <c r="I48" s="27">
        <f t="shared" si="5"/>
        <v>4</v>
      </c>
      <c r="J48" s="27"/>
      <c r="K48" s="164">
        <f t="shared" si="6"/>
        <v>220</v>
      </c>
      <c r="L48" s="164"/>
      <c r="M48" s="164"/>
      <c r="N48" s="27">
        <f t="shared" si="7"/>
        <v>4</v>
      </c>
      <c r="O48" s="27"/>
      <c r="P48" s="33"/>
    </row>
    <row r="49" spans="1:16">
      <c r="A49" s="24" t="str">
        <f>'1. 소켓인수검사'!A47</f>
        <v>39</v>
      </c>
      <c r="B49" s="26">
        <f>'1. 소켓인수검사'!C47</f>
        <v>900</v>
      </c>
      <c r="C49" s="26">
        <f>'1. 소켓인수검사'!D47</f>
        <v>400</v>
      </c>
      <c r="D49" s="27">
        <v>1</v>
      </c>
      <c r="E49" s="28"/>
      <c r="F49" s="27">
        <v>1.6</v>
      </c>
      <c r="G49" s="27"/>
      <c r="H49" s="27">
        <f t="shared" si="4"/>
        <v>899</v>
      </c>
      <c r="I49" s="27">
        <f t="shared" si="5"/>
        <v>4</v>
      </c>
      <c r="J49" s="27"/>
      <c r="K49" s="164">
        <f t="shared" si="6"/>
        <v>370</v>
      </c>
      <c r="L49" s="164"/>
      <c r="M49" s="164"/>
      <c r="N49" s="27">
        <f t="shared" si="7"/>
        <v>4</v>
      </c>
      <c r="O49" s="27"/>
      <c r="P49" s="33"/>
    </row>
    <row r="50" spans="1:16">
      <c r="A50" s="24" t="str">
        <f>'1. 소켓인수검사'!A48</f>
        <v>40</v>
      </c>
      <c r="B50" s="26">
        <f>'1. 소켓인수검사'!C48</f>
        <v>1000</v>
      </c>
      <c r="C50" s="26">
        <f>'1. 소켓인수검사'!D48</f>
        <v>400</v>
      </c>
      <c r="D50" s="27">
        <v>1</v>
      </c>
      <c r="E50" s="28"/>
      <c r="F50" s="27">
        <v>1.6</v>
      </c>
      <c r="G50" s="27"/>
      <c r="H50" s="27">
        <f t="shared" si="4"/>
        <v>999</v>
      </c>
      <c r="I50" s="27">
        <f t="shared" si="5"/>
        <v>4</v>
      </c>
      <c r="J50" s="27"/>
      <c r="K50" s="164">
        <f t="shared" si="6"/>
        <v>370</v>
      </c>
      <c r="L50" s="164"/>
      <c r="M50" s="164"/>
      <c r="N50" s="27">
        <f t="shared" si="7"/>
        <v>4</v>
      </c>
      <c r="O50" s="27"/>
      <c r="P50" s="33"/>
    </row>
    <row r="51" spans="1:16">
      <c r="A51" s="24" t="str">
        <f>'1. 소켓인수검사'!A49</f>
        <v>41</v>
      </c>
      <c r="B51" s="26">
        <f>'1. 소켓인수검사'!C49</f>
        <v>500</v>
      </c>
      <c r="C51" s="26">
        <f>'1. 소켓인수검사'!D49</f>
        <v>300</v>
      </c>
      <c r="D51" s="27">
        <v>1</v>
      </c>
      <c r="E51" s="28"/>
      <c r="F51" s="27">
        <v>1.6</v>
      </c>
      <c r="G51" s="27"/>
      <c r="H51" s="27">
        <f t="shared" ref="H51:H55" si="8">B51-1</f>
        <v>499</v>
      </c>
      <c r="I51" s="27">
        <f t="shared" ref="I51:I55" si="9">D51*4</f>
        <v>4</v>
      </c>
      <c r="J51" s="27"/>
      <c r="K51" s="164">
        <f t="shared" ref="K51:K55" si="10">C51-30</f>
        <v>270</v>
      </c>
      <c r="L51" s="164"/>
      <c r="M51" s="164"/>
      <c r="N51" s="27">
        <f t="shared" ref="N51:N55" si="11">D51*4</f>
        <v>4</v>
      </c>
      <c r="O51" s="27"/>
      <c r="P51" s="33"/>
    </row>
    <row r="52" spans="1:16">
      <c r="A52" s="24" t="str">
        <f>'1. 소켓인수검사'!A50</f>
        <v>42</v>
      </c>
      <c r="B52" s="26">
        <f>'1. 소켓인수검사'!C50</f>
        <v>500</v>
      </c>
      <c r="C52" s="26">
        <f>'1. 소켓인수검사'!D50</f>
        <v>300</v>
      </c>
      <c r="D52" s="27">
        <v>1</v>
      </c>
      <c r="E52" s="28"/>
      <c r="F52" s="27">
        <v>1.6</v>
      </c>
      <c r="G52" s="27"/>
      <c r="H52" s="27">
        <f t="shared" si="8"/>
        <v>499</v>
      </c>
      <c r="I52" s="27">
        <f t="shared" si="9"/>
        <v>4</v>
      </c>
      <c r="J52" s="27"/>
      <c r="K52" s="164">
        <f t="shared" si="10"/>
        <v>270</v>
      </c>
      <c r="L52" s="164"/>
      <c r="M52" s="164"/>
      <c r="N52" s="27">
        <f t="shared" si="11"/>
        <v>4</v>
      </c>
      <c r="O52" s="27"/>
      <c r="P52" s="33"/>
    </row>
    <row r="53" spans="1:16">
      <c r="A53" s="24" t="str">
        <f>'1. 소켓인수검사'!A51</f>
        <v>43</v>
      </c>
      <c r="B53" s="26">
        <f>'1. 소켓인수검사'!C51</f>
        <v>700</v>
      </c>
      <c r="C53" s="26">
        <f>'1. 소켓인수검사'!D51</f>
        <v>250</v>
      </c>
      <c r="D53" s="27">
        <v>1</v>
      </c>
      <c r="E53" s="28"/>
      <c r="F53" s="27">
        <v>1.6</v>
      </c>
      <c r="G53" s="27"/>
      <c r="H53" s="27">
        <f t="shared" si="8"/>
        <v>699</v>
      </c>
      <c r="I53" s="27">
        <f t="shared" si="9"/>
        <v>4</v>
      </c>
      <c r="J53" s="27"/>
      <c r="K53" s="164">
        <f t="shared" si="10"/>
        <v>220</v>
      </c>
      <c r="L53" s="164"/>
      <c r="M53" s="164"/>
      <c r="N53" s="27">
        <f t="shared" si="11"/>
        <v>4</v>
      </c>
      <c r="O53" s="27"/>
      <c r="P53" s="33"/>
    </row>
    <row r="54" spans="1:16">
      <c r="A54" s="24" t="str">
        <f>'1. 소켓인수검사'!A52</f>
        <v>44</v>
      </c>
      <c r="B54" s="26">
        <f>'1. 소켓인수검사'!C52</f>
        <v>700</v>
      </c>
      <c r="C54" s="26">
        <f>'1. 소켓인수검사'!D52</f>
        <v>250</v>
      </c>
      <c r="D54" s="27">
        <v>1</v>
      </c>
      <c r="E54" s="28"/>
      <c r="F54" s="27">
        <v>1.6</v>
      </c>
      <c r="G54" s="27"/>
      <c r="H54" s="27">
        <f t="shared" si="8"/>
        <v>699</v>
      </c>
      <c r="I54" s="27">
        <f t="shared" si="9"/>
        <v>4</v>
      </c>
      <c r="J54" s="27"/>
      <c r="K54" s="164">
        <f t="shared" si="10"/>
        <v>220</v>
      </c>
      <c r="L54" s="164"/>
      <c r="M54" s="164"/>
      <c r="N54" s="27">
        <f t="shared" si="11"/>
        <v>4</v>
      </c>
      <c r="O54" s="27"/>
      <c r="P54" s="33"/>
    </row>
    <row r="55" spans="1:16">
      <c r="A55" s="24" t="str">
        <f>'1. 소켓인수검사'!A53</f>
        <v>45</v>
      </c>
      <c r="B55" s="26">
        <f>'1. 소켓인수검사'!C53</f>
        <v>1000</v>
      </c>
      <c r="C55" s="26">
        <f>'1. 소켓인수검사'!D53</f>
        <v>350</v>
      </c>
      <c r="D55" s="27">
        <v>1</v>
      </c>
      <c r="E55" s="28"/>
      <c r="F55" s="27">
        <v>1.6</v>
      </c>
      <c r="G55" s="27"/>
      <c r="H55" s="27">
        <f t="shared" si="8"/>
        <v>999</v>
      </c>
      <c r="I55" s="27">
        <f t="shared" si="9"/>
        <v>4</v>
      </c>
      <c r="J55" s="27"/>
      <c r="K55" s="164">
        <f t="shared" si="10"/>
        <v>320</v>
      </c>
      <c r="L55" s="164"/>
      <c r="M55" s="164"/>
      <c r="N55" s="27">
        <f t="shared" si="11"/>
        <v>4</v>
      </c>
      <c r="O55" s="27"/>
      <c r="P55" s="33"/>
    </row>
    <row r="56" spans="1:16" ht="8.1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</row>
    <row r="57" spans="1:16">
      <c r="A57" s="162" t="s">
        <v>47</v>
      </c>
      <c r="B57" s="162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</row>
    <row r="58" spans="1:16">
      <c r="A58" s="162"/>
      <c r="B58" s="162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</row>
    <row r="59" spans="1:16">
      <c r="A59" s="162"/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</row>
    <row r="60" spans="1:16">
      <c r="A60" s="162"/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</row>
  </sheetData>
  <mergeCells count="76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A56:P56"/>
    <mergeCell ref="A57:B60"/>
    <mergeCell ref="C57:P60"/>
    <mergeCell ref="K51:M51"/>
    <mergeCell ref="K52:M52"/>
    <mergeCell ref="K53:M53"/>
    <mergeCell ref="K54:M54"/>
    <mergeCell ref="K55:M5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64"/>
  <sheetViews>
    <sheetView zoomScaleNormal="100" zoomScaleSheetLayoutView="100" workbookViewId="0">
      <pane ySplit="9" topLeftCell="A37" activePane="bottomLeft" state="frozen"/>
      <selection pane="bottomLeft" activeCell="A55" sqref="A55:XFD259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01"/>
      <c r="B1" s="101"/>
      <c r="C1" s="101"/>
      <c r="D1" s="219" t="s">
        <v>45</v>
      </c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20"/>
      <c r="R1" s="221"/>
      <c r="S1" s="14"/>
    </row>
    <row r="2" spans="1:19">
      <c r="A2" s="101"/>
      <c r="B2" s="101"/>
      <c r="C2" s="101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20"/>
      <c r="R2" s="222"/>
      <c r="S2" s="223"/>
    </row>
    <row r="3" spans="1:19" ht="24" customHeight="1">
      <c r="A3" s="101"/>
      <c r="B3" s="101"/>
      <c r="C3" s="101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20"/>
      <c r="R3" s="222"/>
      <c r="S3" s="223"/>
    </row>
    <row r="4" spans="1:19">
      <c r="A4" s="101" t="s">
        <v>17</v>
      </c>
      <c r="B4" s="101"/>
      <c r="C4" s="1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20"/>
      <c r="R4" s="222"/>
      <c r="S4" s="223"/>
    </row>
    <row r="5" spans="1:19">
      <c r="A5" s="101" t="s">
        <v>26</v>
      </c>
      <c r="B5" s="101"/>
      <c r="C5" s="101"/>
      <c r="D5" s="2" t="s">
        <v>32</v>
      </c>
      <c r="E5" s="213"/>
      <c r="F5" s="214"/>
      <c r="G5" s="205" t="s">
        <v>58</v>
      </c>
      <c r="H5" s="217"/>
      <c r="I5" s="197"/>
      <c r="J5" s="197"/>
      <c r="K5" s="218"/>
      <c r="L5" s="205" t="s">
        <v>21</v>
      </c>
      <c r="M5" s="62"/>
      <c r="N5" s="62"/>
      <c r="O5" s="205" t="s">
        <v>21</v>
      </c>
      <c r="P5" s="207" t="str">
        <f>'1. 소켓인수검사'!R2</f>
        <v>26.06.04 씨에스_우진아이엔에스_포스코건설_양평동삼화인쇄</v>
      </c>
      <c r="Q5" s="208"/>
      <c r="R5" s="208"/>
      <c r="S5" s="209"/>
    </row>
    <row r="6" spans="1:19">
      <c r="A6" s="101"/>
      <c r="B6" s="101"/>
      <c r="C6" s="101"/>
      <c r="D6" s="2" t="s">
        <v>29</v>
      </c>
      <c r="E6" s="213"/>
      <c r="F6" s="214"/>
      <c r="G6" s="206"/>
      <c r="H6" s="215"/>
      <c r="I6" s="139"/>
      <c r="J6" s="139"/>
      <c r="K6" s="216"/>
      <c r="L6" s="206"/>
      <c r="M6" s="63"/>
      <c r="N6" s="63"/>
      <c r="O6" s="206"/>
      <c r="P6" s="210"/>
      <c r="Q6" s="211"/>
      <c r="R6" s="211"/>
      <c r="S6" s="212"/>
    </row>
    <row r="7" spans="1:19" ht="8.1" customHeight="1">
      <c r="A7" s="215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216"/>
    </row>
    <row r="8" spans="1:19" ht="16.5" customHeight="1">
      <c r="A8" s="113" t="s">
        <v>55</v>
      </c>
      <c r="B8" s="200" t="s">
        <v>62</v>
      </c>
      <c r="C8" s="200" t="s">
        <v>60</v>
      </c>
      <c r="D8" s="200" t="s">
        <v>65</v>
      </c>
      <c r="E8" s="200" t="s">
        <v>50</v>
      </c>
      <c r="F8" s="200" t="s">
        <v>57</v>
      </c>
      <c r="G8" s="200" t="s">
        <v>23</v>
      </c>
      <c r="H8" s="200"/>
      <c r="I8" s="200"/>
      <c r="J8" s="200" t="s">
        <v>0</v>
      </c>
      <c r="K8" s="200"/>
      <c r="L8" s="200"/>
      <c r="M8" s="200" t="s">
        <v>0</v>
      </c>
      <c r="N8" s="200"/>
      <c r="O8" s="200"/>
      <c r="P8" s="200" t="s">
        <v>0</v>
      </c>
      <c r="Q8" s="200"/>
      <c r="R8" s="200"/>
      <c r="S8" s="202"/>
    </row>
    <row r="9" spans="1:19" ht="33" customHeight="1">
      <c r="A9" s="204"/>
      <c r="B9" s="201"/>
      <c r="C9" s="201"/>
      <c r="D9" s="201"/>
      <c r="E9" s="201"/>
      <c r="F9" s="201"/>
      <c r="G9" s="65" t="s">
        <v>33</v>
      </c>
      <c r="H9" s="65" t="s">
        <v>53</v>
      </c>
      <c r="I9" s="65" t="s">
        <v>52</v>
      </c>
      <c r="J9" s="65" t="s">
        <v>19</v>
      </c>
      <c r="K9" s="65" t="s">
        <v>53</v>
      </c>
      <c r="L9" s="65" t="s">
        <v>52</v>
      </c>
      <c r="M9" s="65" t="s">
        <v>25</v>
      </c>
      <c r="N9" s="65" t="s">
        <v>53</v>
      </c>
      <c r="O9" s="65" t="s">
        <v>52</v>
      </c>
      <c r="P9" s="65" t="s">
        <v>22</v>
      </c>
      <c r="Q9" s="65" t="s">
        <v>53</v>
      </c>
      <c r="R9" s="201" t="s">
        <v>52</v>
      </c>
      <c r="S9" s="203"/>
    </row>
    <row r="10" spans="1:19">
      <c r="A10" s="50" t="str">
        <f>'1. 소켓인수검사'!A9</f>
        <v>01</v>
      </c>
      <c r="B10" s="36">
        <f>'1. 소켓인수검사'!C9</f>
        <v>150</v>
      </c>
      <c r="C10" s="36">
        <f>'1. 소켓인수검사'!D9</f>
        <v>150</v>
      </c>
      <c r="D10" s="51" t="s">
        <v>16</v>
      </c>
      <c r="E10" s="59">
        <f>B10*C10/1000000</f>
        <v>2.2499999999999999E-2</v>
      </c>
      <c r="F10" s="59">
        <f>(B10+C10)*2/1000</f>
        <v>0.6</v>
      </c>
      <c r="G10" s="26">
        <f>(F10+0.4)</f>
        <v>1</v>
      </c>
      <c r="H10" s="26">
        <v>4</v>
      </c>
      <c r="I10" s="60">
        <f>G10*H10</f>
        <v>4</v>
      </c>
      <c r="J10" s="26"/>
      <c r="K10" s="26"/>
      <c r="L10" s="26"/>
      <c r="M10" s="26"/>
      <c r="N10" s="26"/>
      <c r="O10" s="26"/>
      <c r="P10" s="26"/>
      <c r="Q10" s="26"/>
      <c r="R10" s="198"/>
      <c r="S10" s="199"/>
    </row>
    <row r="11" spans="1:19">
      <c r="A11" s="50" t="str">
        <f>'1. 소켓인수검사'!A10</f>
        <v>02</v>
      </c>
      <c r="B11" s="36">
        <f>'1. 소켓인수검사'!C10</f>
        <v>150</v>
      </c>
      <c r="C11" s="36">
        <f>'1. 소켓인수검사'!D10</f>
        <v>150</v>
      </c>
      <c r="D11" s="51" t="s">
        <v>16</v>
      </c>
      <c r="E11" s="59">
        <f t="shared" ref="E11:E54" si="0">B11*C11/1000000</f>
        <v>2.2499999999999999E-2</v>
      </c>
      <c r="F11" s="59">
        <f t="shared" ref="F11:F54" si="1">(B11+C11)*2/1000</f>
        <v>0.6</v>
      </c>
      <c r="G11" s="26">
        <f>(F11+0.4)</f>
        <v>1</v>
      </c>
      <c r="H11" s="26">
        <v>4</v>
      </c>
      <c r="I11" s="60">
        <f>G11*H11</f>
        <v>4</v>
      </c>
      <c r="J11" s="26"/>
      <c r="K11" s="26"/>
      <c r="L11" s="26"/>
      <c r="M11" s="26"/>
      <c r="N11" s="26"/>
      <c r="O11" s="26"/>
      <c r="P11" s="26"/>
      <c r="Q11" s="26"/>
      <c r="R11" s="198"/>
      <c r="S11" s="199"/>
    </row>
    <row r="12" spans="1:19">
      <c r="A12" s="50" t="str">
        <f>'1. 소켓인수검사'!A11</f>
        <v>03</v>
      </c>
      <c r="B12" s="36">
        <f>'1. 소켓인수검사'!C11</f>
        <v>150</v>
      </c>
      <c r="C12" s="36">
        <f>'1. 소켓인수검사'!D11</f>
        <v>150</v>
      </c>
      <c r="D12" s="51" t="s">
        <v>16</v>
      </c>
      <c r="E12" s="59">
        <f t="shared" si="0"/>
        <v>2.2499999999999999E-2</v>
      </c>
      <c r="F12" s="59">
        <f t="shared" si="1"/>
        <v>0.6</v>
      </c>
      <c r="G12" s="26">
        <f t="shared" ref="G12:G42" si="2">(F12+0.4)</f>
        <v>1</v>
      </c>
      <c r="H12" s="26">
        <v>4</v>
      </c>
      <c r="I12" s="60">
        <f t="shared" ref="I12:I22" si="3">G12*H12</f>
        <v>4</v>
      </c>
      <c r="J12" s="26"/>
      <c r="K12" s="26"/>
      <c r="L12" s="26"/>
      <c r="M12" s="26"/>
      <c r="N12" s="26"/>
      <c r="O12" s="26"/>
      <c r="P12" s="26"/>
      <c r="Q12" s="26"/>
      <c r="R12" s="198"/>
      <c r="S12" s="199"/>
    </row>
    <row r="13" spans="1:19">
      <c r="A13" s="50" t="str">
        <f>'1. 소켓인수검사'!A12</f>
        <v>04</v>
      </c>
      <c r="B13" s="36">
        <f>'1. 소켓인수검사'!C12</f>
        <v>200</v>
      </c>
      <c r="C13" s="36">
        <f>'1. 소켓인수검사'!D12</f>
        <v>150</v>
      </c>
      <c r="D13" s="51" t="s">
        <v>16</v>
      </c>
      <c r="E13" s="59">
        <f t="shared" si="0"/>
        <v>0.03</v>
      </c>
      <c r="F13" s="59">
        <f t="shared" si="1"/>
        <v>0.7</v>
      </c>
      <c r="G13" s="26">
        <f t="shared" si="2"/>
        <v>1.1000000000000001</v>
      </c>
      <c r="H13" s="26">
        <v>4</v>
      </c>
      <c r="I13" s="60">
        <f t="shared" si="3"/>
        <v>4.4000000000000004</v>
      </c>
      <c r="J13" s="26"/>
      <c r="K13" s="26"/>
      <c r="L13" s="26"/>
      <c r="M13" s="26"/>
      <c r="N13" s="26"/>
      <c r="O13" s="26"/>
      <c r="P13" s="26"/>
      <c r="Q13" s="26"/>
      <c r="R13" s="198"/>
      <c r="S13" s="199"/>
    </row>
    <row r="14" spans="1:19">
      <c r="A14" s="50" t="str">
        <f>'1. 소켓인수검사'!A13</f>
        <v>05</v>
      </c>
      <c r="B14" s="36">
        <f>'1. 소켓인수검사'!C13</f>
        <v>200</v>
      </c>
      <c r="C14" s="36">
        <f>'1. 소켓인수검사'!D13</f>
        <v>150</v>
      </c>
      <c r="D14" s="51" t="s">
        <v>16</v>
      </c>
      <c r="E14" s="59">
        <f t="shared" si="0"/>
        <v>0.03</v>
      </c>
      <c r="F14" s="59">
        <f t="shared" si="1"/>
        <v>0.7</v>
      </c>
      <c r="G14" s="26">
        <f t="shared" si="2"/>
        <v>1.1000000000000001</v>
      </c>
      <c r="H14" s="26">
        <v>4</v>
      </c>
      <c r="I14" s="60">
        <f t="shared" si="3"/>
        <v>4.4000000000000004</v>
      </c>
      <c r="J14" s="26"/>
      <c r="K14" s="26"/>
      <c r="L14" s="26"/>
      <c r="M14" s="26"/>
      <c r="N14" s="26"/>
      <c r="O14" s="26"/>
      <c r="P14" s="26"/>
      <c r="Q14" s="26"/>
      <c r="R14" s="198"/>
      <c r="S14" s="199"/>
    </row>
    <row r="15" spans="1:19">
      <c r="A15" s="50" t="str">
        <f>'1. 소켓인수검사'!A14</f>
        <v>06</v>
      </c>
      <c r="B15" s="36">
        <f>'1. 소켓인수검사'!C14</f>
        <v>200</v>
      </c>
      <c r="C15" s="36">
        <f>'1. 소켓인수검사'!D14</f>
        <v>150</v>
      </c>
      <c r="D15" s="51" t="s">
        <v>16</v>
      </c>
      <c r="E15" s="59">
        <f t="shared" si="0"/>
        <v>0.03</v>
      </c>
      <c r="F15" s="59">
        <f t="shared" si="1"/>
        <v>0.7</v>
      </c>
      <c r="G15" s="26">
        <f t="shared" si="2"/>
        <v>1.1000000000000001</v>
      </c>
      <c r="H15" s="26">
        <v>4</v>
      </c>
      <c r="I15" s="60">
        <f t="shared" si="3"/>
        <v>4.4000000000000004</v>
      </c>
      <c r="J15" s="26"/>
      <c r="K15" s="26"/>
      <c r="L15" s="26"/>
      <c r="M15" s="26"/>
      <c r="N15" s="26"/>
      <c r="O15" s="26"/>
      <c r="P15" s="26"/>
      <c r="Q15" s="26"/>
      <c r="R15" s="198"/>
      <c r="S15" s="199"/>
    </row>
    <row r="16" spans="1:19">
      <c r="A16" s="50" t="str">
        <f>'1. 소켓인수검사'!A15</f>
        <v>07</v>
      </c>
      <c r="B16" s="36">
        <f>'1. 소켓인수검사'!C15</f>
        <v>200</v>
      </c>
      <c r="C16" s="36">
        <f>'1. 소켓인수검사'!D15</f>
        <v>150</v>
      </c>
      <c r="D16" s="51" t="s">
        <v>16</v>
      </c>
      <c r="E16" s="59">
        <f t="shared" si="0"/>
        <v>0.03</v>
      </c>
      <c r="F16" s="59">
        <f t="shared" si="1"/>
        <v>0.7</v>
      </c>
      <c r="G16" s="26">
        <f t="shared" si="2"/>
        <v>1.1000000000000001</v>
      </c>
      <c r="H16" s="26">
        <v>4</v>
      </c>
      <c r="I16" s="60">
        <f t="shared" si="3"/>
        <v>4.4000000000000004</v>
      </c>
      <c r="J16" s="26"/>
      <c r="K16" s="26"/>
      <c r="L16" s="26"/>
      <c r="M16" s="26"/>
      <c r="N16" s="26"/>
      <c r="O16" s="26"/>
      <c r="P16" s="26"/>
      <c r="Q16" s="26"/>
      <c r="R16" s="198"/>
      <c r="S16" s="199"/>
    </row>
    <row r="17" spans="1:19">
      <c r="A17" s="50" t="str">
        <f>'1. 소켓인수검사'!A16</f>
        <v>08</v>
      </c>
      <c r="B17" s="36">
        <f>'1. 소켓인수검사'!C16</f>
        <v>200</v>
      </c>
      <c r="C17" s="36">
        <f>'1. 소켓인수검사'!D16</f>
        <v>200</v>
      </c>
      <c r="D17" s="51" t="s">
        <v>16</v>
      </c>
      <c r="E17" s="59">
        <f t="shared" si="0"/>
        <v>0.04</v>
      </c>
      <c r="F17" s="59">
        <f t="shared" si="1"/>
        <v>0.8</v>
      </c>
      <c r="G17" s="26">
        <f t="shared" si="2"/>
        <v>1.2000000000000002</v>
      </c>
      <c r="H17" s="26">
        <v>4</v>
      </c>
      <c r="I17" s="60">
        <f t="shared" si="3"/>
        <v>4.8000000000000007</v>
      </c>
      <c r="J17" s="26"/>
      <c r="K17" s="26"/>
      <c r="L17" s="26"/>
      <c r="M17" s="26"/>
      <c r="N17" s="26"/>
      <c r="O17" s="26"/>
      <c r="P17" s="26"/>
      <c r="Q17" s="26"/>
      <c r="R17" s="198"/>
      <c r="S17" s="199"/>
    </row>
    <row r="18" spans="1:19">
      <c r="A18" s="50" t="str">
        <f>'1. 소켓인수검사'!A17</f>
        <v>09</v>
      </c>
      <c r="B18" s="36">
        <f>'1. 소켓인수검사'!C17</f>
        <v>200</v>
      </c>
      <c r="C18" s="36">
        <f>'1. 소켓인수검사'!D17</f>
        <v>200</v>
      </c>
      <c r="D18" s="51" t="s">
        <v>16</v>
      </c>
      <c r="E18" s="59">
        <f t="shared" si="0"/>
        <v>0.04</v>
      </c>
      <c r="F18" s="59">
        <f t="shared" si="1"/>
        <v>0.8</v>
      </c>
      <c r="G18" s="26">
        <f t="shared" si="2"/>
        <v>1.2000000000000002</v>
      </c>
      <c r="H18" s="26">
        <v>4</v>
      </c>
      <c r="I18" s="60">
        <f t="shared" si="3"/>
        <v>4.8000000000000007</v>
      </c>
      <c r="J18" s="26"/>
      <c r="K18" s="26"/>
      <c r="L18" s="26"/>
      <c r="M18" s="26"/>
      <c r="N18" s="26"/>
      <c r="O18" s="26"/>
      <c r="P18" s="26"/>
      <c r="Q18" s="26"/>
      <c r="R18" s="198"/>
      <c r="S18" s="199"/>
    </row>
    <row r="19" spans="1:19">
      <c r="A19" s="50" t="str">
        <f>'1. 소켓인수검사'!A18</f>
        <v>10</v>
      </c>
      <c r="B19" s="36">
        <f>'1. 소켓인수검사'!C18</f>
        <v>200</v>
      </c>
      <c r="C19" s="36">
        <f>'1. 소켓인수검사'!D18</f>
        <v>200</v>
      </c>
      <c r="D19" s="51" t="s">
        <v>16</v>
      </c>
      <c r="E19" s="59">
        <f t="shared" si="0"/>
        <v>0.04</v>
      </c>
      <c r="F19" s="59">
        <f t="shared" si="1"/>
        <v>0.8</v>
      </c>
      <c r="G19" s="26">
        <f t="shared" si="2"/>
        <v>1.2000000000000002</v>
      </c>
      <c r="H19" s="26">
        <v>4</v>
      </c>
      <c r="I19" s="60">
        <f t="shared" si="3"/>
        <v>4.8000000000000007</v>
      </c>
      <c r="J19" s="26"/>
      <c r="K19" s="26"/>
      <c r="L19" s="26"/>
      <c r="M19" s="26"/>
      <c r="N19" s="26"/>
      <c r="O19" s="26"/>
      <c r="P19" s="26"/>
      <c r="Q19" s="26"/>
      <c r="R19" s="198"/>
      <c r="S19" s="199"/>
    </row>
    <row r="20" spans="1:19">
      <c r="A20" s="50" t="str">
        <f>'1. 소켓인수검사'!A19</f>
        <v>11</v>
      </c>
      <c r="B20" s="36">
        <f>'1. 소켓인수검사'!C19</f>
        <v>200</v>
      </c>
      <c r="C20" s="36">
        <f>'1. 소켓인수검사'!D19</f>
        <v>200</v>
      </c>
      <c r="D20" s="51" t="s">
        <v>16</v>
      </c>
      <c r="E20" s="59">
        <f t="shared" si="0"/>
        <v>0.04</v>
      </c>
      <c r="F20" s="59">
        <f t="shared" si="1"/>
        <v>0.8</v>
      </c>
      <c r="G20" s="26">
        <f t="shared" si="2"/>
        <v>1.2000000000000002</v>
      </c>
      <c r="H20" s="26">
        <v>4</v>
      </c>
      <c r="I20" s="60">
        <f t="shared" si="3"/>
        <v>4.8000000000000007</v>
      </c>
      <c r="J20" s="26"/>
      <c r="K20" s="26"/>
      <c r="L20" s="26"/>
      <c r="M20" s="26"/>
      <c r="N20" s="26"/>
      <c r="O20" s="26"/>
      <c r="P20" s="26"/>
      <c r="Q20" s="26"/>
      <c r="R20" s="198"/>
      <c r="S20" s="199"/>
    </row>
    <row r="21" spans="1:19">
      <c r="A21" s="50" t="str">
        <f>'1. 소켓인수검사'!A20</f>
        <v>12</v>
      </c>
      <c r="B21" s="36">
        <f>'1. 소켓인수검사'!C20</f>
        <v>200</v>
      </c>
      <c r="C21" s="36">
        <f>'1. 소켓인수검사'!D20</f>
        <v>200</v>
      </c>
      <c r="D21" s="51" t="s">
        <v>16</v>
      </c>
      <c r="E21" s="59">
        <f t="shared" si="0"/>
        <v>0.04</v>
      </c>
      <c r="F21" s="59">
        <f t="shared" si="1"/>
        <v>0.8</v>
      </c>
      <c r="G21" s="26">
        <f t="shared" si="2"/>
        <v>1.2000000000000002</v>
      </c>
      <c r="H21" s="26">
        <v>4</v>
      </c>
      <c r="I21" s="60">
        <f t="shared" si="3"/>
        <v>4.8000000000000007</v>
      </c>
      <c r="J21" s="26"/>
      <c r="K21" s="26"/>
      <c r="L21" s="26"/>
      <c r="M21" s="26"/>
      <c r="N21" s="26"/>
      <c r="O21" s="26"/>
      <c r="P21" s="26"/>
      <c r="Q21" s="26"/>
      <c r="R21" s="198"/>
      <c r="S21" s="199"/>
    </row>
    <row r="22" spans="1:19">
      <c r="A22" s="50" t="str">
        <f>'1. 소켓인수검사'!A21</f>
        <v>13</v>
      </c>
      <c r="B22" s="36">
        <f>'1. 소켓인수검사'!C21</f>
        <v>200</v>
      </c>
      <c r="C22" s="36">
        <f>'1. 소켓인수검사'!D21</f>
        <v>200</v>
      </c>
      <c r="D22" s="51" t="s">
        <v>16</v>
      </c>
      <c r="E22" s="59">
        <f t="shared" si="0"/>
        <v>0.04</v>
      </c>
      <c r="F22" s="59">
        <f t="shared" si="1"/>
        <v>0.8</v>
      </c>
      <c r="G22" s="26">
        <f t="shared" si="2"/>
        <v>1.2000000000000002</v>
      </c>
      <c r="H22" s="26">
        <v>4</v>
      </c>
      <c r="I22" s="60">
        <f t="shared" si="3"/>
        <v>4.8000000000000007</v>
      </c>
      <c r="J22" s="26"/>
      <c r="K22" s="26"/>
      <c r="L22" s="26"/>
      <c r="M22" s="26"/>
      <c r="N22" s="26"/>
      <c r="O22" s="26"/>
      <c r="P22" s="26"/>
      <c r="Q22" s="26"/>
      <c r="R22" s="198"/>
      <c r="S22" s="199"/>
    </row>
    <row r="23" spans="1:19">
      <c r="A23" s="50" t="str">
        <f>'1. 소켓인수검사'!A22</f>
        <v>14</v>
      </c>
      <c r="B23" s="36">
        <f>'1. 소켓인수검사'!C22</f>
        <v>200</v>
      </c>
      <c r="C23" s="36">
        <f>'1. 소켓인수검사'!D22</f>
        <v>200</v>
      </c>
      <c r="D23" s="51" t="s">
        <v>16</v>
      </c>
      <c r="E23" s="59">
        <f t="shared" si="0"/>
        <v>0.04</v>
      </c>
      <c r="F23" s="59">
        <f t="shared" si="1"/>
        <v>0.8</v>
      </c>
      <c r="G23" s="26">
        <f t="shared" si="2"/>
        <v>1.2000000000000002</v>
      </c>
      <c r="H23" s="26">
        <f>2*2</f>
        <v>4</v>
      </c>
      <c r="I23" s="60">
        <f>G23*H23</f>
        <v>4.8000000000000007</v>
      </c>
      <c r="J23" s="26"/>
      <c r="K23" s="26"/>
      <c r="L23" s="26"/>
      <c r="M23" s="26"/>
      <c r="N23" s="26"/>
      <c r="O23" s="26"/>
      <c r="P23" s="26"/>
      <c r="Q23" s="26"/>
      <c r="R23" s="198"/>
      <c r="S23" s="199"/>
    </row>
    <row r="24" spans="1:19">
      <c r="A24" s="50" t="str">
        <f>'1. 소켓인수검사'!A23</f>
        <v>15</v>
      </c>
      <c r="B24" s="36">
        <f>'1. 소켓인수검사'!C23</f>
        <v>250</v>
      </c>
      <c r="C24" s="36">
        <f>'1. 소켓인수검사'!D23</f>
        <v>150</v>
      </c>
      <c r="D24" s="51" t="s">
        <v>16</v>
      </c>
      <c r="E24" s="59">
        <f t="shared" si="0"/>
        <v>3.7499999999999999E-2</v>
      </c>
      <c r="F24" s="59">
        <f t="shared" si="1"/>
        <v>0.8</v>
      </c>
      <c r="G24" s="26">
        <f t="shared" si="2"/>
        <v>1.2000000000000002</v>
      </c>
      <c r="H24" s="26">
        <f t="shared" ref="H24:H42" si="4">2*2</f>
        <v>4</v>
      </c>
      <c r="I24" s="60">
        <f t="shared" ref="I24:I42" si="5">G24*H24</f>
        <v>4.8000000000000007</v>
      </c>
      <c r="J24" s="26"/>
      <c r="K24" s="26"/>
      <c r="L24" s="26"/>
      <c r="M24" s="26"/>
      <c r="N24" s="26"/>
      <c r="O24" s="26"/>
      <c r="P24" s="26"/>
      <c r="Q24" s="26"/>
      <c r="R24" s="198"/>
      <c r="S24" s="199"/>
    </row>
    <row r="25" spans="1:19">
      <c r="A25" s="50" t="str">
        <f>'1. 소켓인수검사'!A24</f>
        <v>16</v>
      </c>
      <c r="B25" s="36">
        <f>'1. 소켓인수검사'!C24</f>
        <v>250</v>
      </c>
      <c r="C25" s="36">
        <f>'1. 소켓인수검사'!D24</f>
        <v>150</v>
      </c>
      <c r="D25" s="51" t="s">
        <v>16</v>
      </c>
      <c r="E25" s="59">
        <f t="shared" si="0"/>
        <v>3.7499999999999999E-2</v>
      </c>
      <c r="F25" s="59">
        <f t="shared" si="1"/>
        <v>0.8</v>
      </c>
      <c r="G25" s="26">
        <f t="shared" si="2"/>
        <v>1.2000000000000002</v>
      </c>
      <c r="H25" s="26">
        <f t="shared" si="4"/>
        <v>4</v>
      </c>
      <c r="I25" s="60">
        <f t="shared" si="5"/>
        <v>4.8000000000000007</v>
      </c>
      <c r="J25" s="26"/>
      <c r="K25" s="26"/>
      <c r="L25" s="26"/>
      <c r="M25" s="26"/>
      <c r="N25" s="26"/>
      <c r="O25" s="26"/>
      <c r="P25" s="26"/>
      <c r="Q25" s="26"/>
      <c r="R25" s="198"/>
      <c r="S25" s="199"/>
    </row>
    <row r="26" spans="1:19">
      <c r="A26" s="50" t="str">
        <f>'1. 소켓인수검사'!A25</f>
        <v>17</v>
      </c>
      <c r="B26" s="36">
        <f>'1. 소켓인수검사'!C25</f>
        <v>250</v>
      </c>
      <c r="C26" s="36">
        <f>'1. 소켓인수검사'!D25</f>
        <v>150</v>
      </c>
      <c r="D26" s="51" t="s">
        <v>16</v>
      </c>
      <c r="E26" s="59">
        <f t="shared" si="0"/>
        <v>3.7499999999999999E-2</v>
      </c>
      <c r="F26" s="59">
        <f t="shared" si="1"/>
        <v>0.8</v>
      </c>
      <c r="G26" s="26">
        <f t="shared" si="2"/>
        <v>1.2000000000000002</v>
      </c>
      <c r="H26" s="26">
        <f t="shared" si="4"/>
        <v>4</v>
      </c>
      <c r="I26" s="60">
        <f t="shared" si="5"/>
        <v>4.8000000000000007</v>
      </c>
      <c r="J26" s="26"/>
      <c r="K26" s="26"/>
      <c r="L26" s="26"/>
      <c r="M26" s="26"/>
      <c r="N26" s="26"/>
      <c r="O26" s="26"/>
      <c r="P26" s="26"/>
      <c r="Q26" s="26"/>
      <c r="R26" s="198"/>
      <c r="S26" s="199"/>
    </row>
    <row r="27" spans="1:19">
      <c r="A27" s="50" t="str">
        <f>'1. 소켓인수검사'!A26</f>
        <v>18</v>
      </c>
      <c r="B27" s="36">
        <f>'1. 소켓인수검사'!C26</f>
        <v>250</v>
      </c>
      <c r="C27" s="36">
        <f>'1. 소켓인수검사'!D26</f>
        <v>250</v>
      </c>
      <c r="D27" s="51" t="s">
        <v>16</v>
      </c>
      <c r="E27" s="59">
        <f t="shared" si="0"/>
        <v>6.25E-2</v>
      </c>
      <c r="F27" s="59">
        <f t="shared" si="1"/>
        <v>1</v>
      </c>
      <c r="G27" s="26">
        <f t="shared" si="2"/>
        <v>1.4</v>
      </c>
      <c r="H27" s="26">
        <f t="shared" si="4"/>
        <v>4</v>
      </c>
      <c r="I27" s="60">
        <f t="shared" si="5"/>
        <v>5.6</v>
      </c>
      <c r="J27" s="26"/>
      <c r="K27" s="26"/>
      <c r="L27" s="26"/>
      <c r="M27" s="26"/>
      <c r="N27" s="26"/>
      <c r="O27" s="26"/>
      <c r="P27" s="26"/>
      <c r="Q27" s="26"/>
      <c r="R27" s="198"/>
      <c r="S27" s="199"/>
    </row>
    <row r="28" spans="1:19">
      <c r="A28" s="50" t="str">
        <f>'1. 소켓인수검사'!A27</f>
        <v>19</v>
      </c>
      <c r="B28" s="36">
        <f>'1. 소켓인수검사'!C27</f>
        <v>250</v>
      </c>
      <c r="C28" s="36">
        <f>'1. 소켓인수검사'!D27</f>
        <v>250</v>
      </c>
      <c r="D28" s="51" t="s">
        <v>16</v>
      </c>
      <c r="E28" s="59">
        <f t="shared" si="0"/>
        <v>6.25E-2</v>
      </c>
      <c r="F28" s="59">
        <f t="shared" si="1"/>
        <v>1</v>
      </c>
      <c r="G28" s="26">
        <f t="shared" si="2"/>
        <v>1.4</v>
      </c>
      <c r="H28" s="26">
        <f t="shared" si="4"/>
        <v>4</v>
      </c>
      <c r="I28" s="60">
        <f t="shared" si="5"/>
        <v>5.6</v>
      </c>
      <c r="J28" s="26"/>
      <c r="K28" s="26"/>
      <c r="L28" s="26"/>
      <c r="M28" s="26"/>
      <c r="N28" s="26"/>
      <c r="O28" s="26"/>
      <c r="P28" s="26"/>
      <c r="Q28" s="26"/>
      <c r="R28" s="198"/>
      <c r="S28" s="199"/>
    </row>
    <row r="29" spans="1:19">
      <c r="A29" s="50" t="str">
        <f>'1. 소켓인수검사'!A28</f>
        <v>20</v>
      </c>
      <c r="B29" s="36">
        <f>'1. 소켓인수검사'!C28</f>
        <v>250</v>
      </c>
      <c r="C29" s="36">
        <f>'1. 소켓인수검사'!D28</f>
        <v>250</v>
      </c>
      <c r="D29" s="51" t="s">
        <v>16</v>
      </c>
      <c r="E29" s="59">
        <f t="shared" si="0"/>
        <v>6.25E-2</v>
      </c>
      <c r="F29" s="59">
        <f t="shared" si="1"/>
        <v>1</v>
      </c>
      <c r="G29" s="26">
        <f t="shared" si="2"/>
        <v>1.4</v>
      </c>
      <c r="H29" s="26">
        <f t="shared" si="4"/>
        <v>4</v>
      </c>
      <c r="I29" s="60">
        <f t="shared" si="5"/>
        <v>5.6</v>
      </c>
      <c r="J29" s="26"/>
      <c r="K29" s="26"/>
      <c r="L29" s="26"/>
      <c r="M29" s="26"/>
      <c r="N29" s="26"/>
      <c r="O29" s="26"/>
      <c r="P29" s="26"/>
      <c r="Q29" s="26"/>
      <c r="R29" s="198"/>
      <c r="S29" s="199"/>
    </row>
    <row r="30" spans="1:19">
      <c r="A30" s="50" t="str">
        <f>'1. 소켓인수검사'!A29</f>
        <v>21</v>
      </c>
      <c r="B30" s="36">
        <f>'1. 소켓인수검사'!C29</f>
        <v>250</v>
      </c>
      <c r="C30" s="36">
        <f>'1. 소켓인수검사'!D29</f>
        <v>250</v>
      </c>
      <c r="D30" s="51" t="s">
        <v>16</v>
      </c>
      <c r="E30" s="59">
        <f t="shared" si="0"/>
        <v>6.25E-2</v>
      </c>
      <c r="F30" s="59">
        <f t="shared" si="1"/>
        <v>1</v>
      </c>
      <c r="G30" s="26">
        <f t="shared" si="2"/>
        <v>1.4</v>
      </c>
      <c r="H30" s="26">
        <f t="shared" si="4"/>
        <v>4</v>
      </c>
      <c r="I30" s="60">
        <f t="shared" si="5"/>
        <v>5.6</v>
      </c>
      <c r="J30" s="26"/>
      <c r="K30" s="26"/>
      <c r="L30" s="26"/>
      <c r="M30" s="26"/>
      <c r="N30" s="26"/>
      <c r="O30" s="26"/>
      <c r="P30" s="26"/>
      <c r="Q30" s="26"/>
      <c r="R30" s="198"/>
      <c r="S30" s="199"/>
    </row>
    <row r="31" spans="1:19">
      <c r="A31" s="50" t="str">
        <f>'1. 소켓인수검사'!A30</f>
        <v>22</v>
      </c>
      <c r="B31" s="36">
        <f>'1. 소켓인수검사'!C30</f>
        <v>250</v>
      </c>
      <c r="C31" s="36">
        <f>'1. 소켓인수검사'!D30</f>
        <v>250</v>
      </c>
      <c r="D31" s="51" t="s">
        <v>16</v>
      </c>
      <c r="E31" s="59">
        <f t="shared" si="0"/>
        <v>6.25E-2</v>
      </c>
      <c r="F31" s="59">
        <f t="shared" si="1"/>
        <v>1</v>
      </c>
      <c r="G31" s="26">
        <f t="shared" si="2"/>
        <v>1.4</v>
      </c>
      <c r="H31" s="26">
        <f t="shared" si="4"/>
        <v>4</v>
      </c>
      <c r="I31" s="60">
        <f t="shared" si="5"/>
        <v>5.6</v>
      </c>
      <c r="J31" s="26"/>
      <c r="K31" s="26"/>
      <c r="L31" s="26"/>
      <c r="M31" s="26"/>
      <c r="N31" s="26"/>
      <c r="O31" s="26"/>
      <c r="P31" s="26"/>
      <c r="Q31" s="26"/>
      <c r="R31" s="198"/>
      <c r="S31" s="199"/>
    </row>
    <row r="32" spans="1:19">
      <c r="A32" s="50" t="str">
        <f>'1. 소켓인수검사'!A31</f>
        <v>23</v>
      </c>
      <c r="B32" s="36">
        <f>'1. 소켓인수검사'!C31</f>
        <v>300</v>
      </c>
      <c r="C32" s="36">
        <f>'1. 소켓인수검사'!D31</f>
        <v>200</v>
      </c>
      <c r="D32" s="51" t="s">
        <v>16</v>
      </c>
      <c r="E32" s="59">
        <f t="shared" si="0"/>
        <v>0.06</v>
      </c>
      <c r="F32" s="59">
        <f t="shared" si="1"/>
        <v>1</v>
      </c>
      <c r="G32" s="26">
        <f t="shared" si="2"/>
        <v>1.4</v>
      </c>
      <c r="H32" s="26">
        <f t="shared" si="4"/>
        <v>4</v>
      </c>
      <c r="I32" s="60">
        <f t="shared" si="5"/>
        <v>5.6</v>
      </c>
      <c r="J32" s="26"/>
      <c r="K32" s="26"/>
      <c r="L32" s="26"/>
      <c r="M32" s="26"/>
      <c r="N32" s="26"/>
      <c r="O32" s="26"/>
      <c r="P32" s="26"/>
      <c r="Q32" s="26"/>
      <c r="R32" s="198"/>
      <c r="S32" s="199"/>
    </row>
    <row r="33" spans="1:19">
      <c r="A33" s="50" t="str">
        <f>'1. 소켓인수검사'!A32</f>
        <v>24</v>
      </c>
      <c r="B33" s="36">
        <f>'1. 소켓인수검사'!C32</f>
        <v>300</v>
      </c>
      <c r="C33" s="36">
        <f>'1. 소켓인수검사'!D32</f>
        <v>200</v>
      </c>
      <c r="D33" s="51" t="s">
        <v>16</v>
      </c>
      <c r="E33" s="59">
        <f t="shared" si="0"/>
        <v>0.06</v>
      </c>
      <c r="F33" s="59">
        <f t="shared" si="1"/>
        <v>1</v>
      </c>
      <c r="G33" s="26">
        <f t="shared" si="2"/>
        <v>1.4</v>
      </c>
      <c r="H33" s="26">
        <f t="shared" si="4"/>
        <v>4</v>
      </c>
      <c r="I33" s="60">
        <f t="shared" si="5"/>
        <v>5.6</v>
      </c>
      <c r="J33" s="61"/>
      <c r="K33" s="26"/>
      <c r="L33" s="26"/>
      <c r="M33" s="61"/>
      <c r="N33" s="26"/>
      <c r="O33" s="26"/>
      <c r="P33" s="61"/>
      <c r="Q33" s="26"/>
      <c r="R33" s="198"/>
      <c r="S33" s="199"/>
    </row>
    <row r="34" spans="1:19">
      <c r="A34" s="50" t="str">
        <f>'1. 소켓인수검사'!A33</f>
        <v>25</v>
      </c>
      <c r="B34" s="36">
        <f>'1. 소켓인수검사'!C33</f>
        <v>300</v>
      </c>
      <c r="C34" s="36">
        <f>'1. 소켓인수검사'!D33</f>
        <v>200</v>
      </c>
      <c r="D34" s="51" t="s">
        <v>16</v>
      </c>
      <c r="E34" s="59">
        <f t="shared" si="0"/>
        <v>0.06</v>
      </c>
      <c r="F34" s="59">
        <f t="shared" si="1"/>
        <v>1</v>
      </c>
      <c r="G34" s="26">
        <f t="shared" si="2"/>
        <v>1.4</v>
      </c>
      <c r="H34" s="26">
        <f t="shared" si="4"/>
        <v>4</v>
      </c>
      <c r="I34" s="60">
        <f t="shared" si="5"/>
        <v>5.6</v>
      </c>
      <c r="J34" s="61"/>
      <c r="K34" s="26"/>
      <c r="L34" s="26"/>
      <c r="M34" s="61"/>
      <c r="N34" s="26"/>
      <c r="O34" s="26"/>
      <c r="P34" s="61"/>
      <c r="Q34" s="26"/>
      <c r="R34" s="198"/>
      <c r="S34" s="199"/>
    </row>
    <row r="35" spans="1:19">
      <c r="A35" s="50" t="str">
        <f>'1. 소켓인수검사'!A34</f>
        <v>26</v>
      </c>
      <c r="B35" s="36">
        <f>'1. 소켓인수검사'!C34</f>
        <v>300</v>
      </c>
      <c r="C35" s="36">
        <f>'1. 소켓인수검사'!D34</f>
        <v>200</v>
      </c>
      <c r="D35" s="51" t="s">
        <v>16</v>
      </c>
      <c r="E35" s="59">
        <f t="shared" si="0"/>
        <v>0.06</v>
      </c>
      <c r="F35" s="59">
        <f t="shared" si="1"/>
        <v>1</v>
      </c>
      <c r="G35" s="26">
        <f t="shared" si="2"/>
        <v>1.4</v>
      </c>
      <c r="H35" s="26">
        <f t="shared" si="4"/>
        <v>4</v>
      </c>
      <c r="I35" s="60">
        <f t="shared" si="5"/>
        <v>5.6</v>
      </c>
      <c r="J35" s="61"/>
      <c r="K35" s="26"/>
      <c r="L35" s="26"/>
      <c r="M35" s="61"/>
      <c r="N35" s="26"/>
      <c r="O35" s="26"/>
      <c r="P35" s="61"/>
      <c r="Q35" s="26"/>
      <c r="R35" s="198"/>
      <c r="S35" s="199"/>
    </row>
    <row r="36" spans="1:19">
      <c r="A36" s="50" t="str">
        <f>'1. 소켓인수검사'!A35</f>
        <v>27</v>
      </c>
      <c r="B36" s="36">
        <f>'1. 소켓인수검사'!C35</f>
        <v>300</v>
      </c>
      <c r="C36" s="36">
        <f>'1. 소켓인수검사'!D35</f>
        <v>250</v>
      </c>
      <c r="D36" s="51" t="s">
        <v>16</v>
      </c>
      <c r="E36" s="59">
        <f t="shared" si="0"/>
        <v>7.4999999999999997E-2</v>
      </c>
      <c r="F36" s="59">
        <f t="shared" si="1"/>
        <v>1.1000000000000001</v>
      </c>
      <c r="G36" s="26">
        <f t="shared" si="2"/>
        <v>1.5</v>
      </c>
      <c r="H36" s="26">
        <f t="shared" si="4"/>
        <v>4</v>
      </c>
      <c r="I36" s="60">
        <f t="shared" si="5"/>
        <v>6</v>
      </c>
      <c r="J36" s="61"/>
      <c r="K36" s="26"/>
      <c r="L36" s="26"/>
      <c r="M36" s="61"/>
      <c r="N36" s="26"/>
      <c r="O36" s="26"/>
      <c r="P36" s="61"/>
      <c r="Q36" s="26"/>
      <c r="R36" s="198"/>
      <c r="S36" s="199"/>
    </row>
    <row r="37" spans="1:19">
      <c r="A37" s="50" t="str">
        <f>'1. 소켓인수검사'!A36</f>
        <v>28</v>
      </c>
      <c r="B37" s="36">
        <f>'1. 소켓인수검사'!C36</f>
        <v>300</v>
      </c>
      <c r="C37" s="36">
        <f>'1. 소켓인수검사'!D36</f>
        <v>250</v>
      </c>
      <c r="D37" s="51" t="s">
        <v>16</v>
      </c>
      <c r="E37" s="59">
        <f t="shared" si="0"/>
        <v>7.4999999999999997E-2</v>
      </c>
      <c r="F37" s="59">
        <f t="shared" si="1"/>
        <v>1.1000000000000001</v>
      </c>
      <c r="G37" s="26">
        <f t="shared" si="2"/>
        <v>1.5</v>
      </c>
      <c r="H37" s="26">
        <f t="shared" si="4"/>
        <v>4</v>
      </c>
      <c r="I37" s="60">
        <f t="shared" si="5"/>
        <v>6</v>
      </c>
      <c r="J37" s="26"/>
      <c r="K37" s="26"/>
      <c r="L37" s="26"/>
      <c r="M37" s="26"/>
      <c r="N37" s="26"/>
      <c r="O37" s="26"/>
      <c r="P37" s="26"/>
      <c r="Q37" s="26"/>
      <c r="R37" s="198"/>
      <c r="S37" s="199"/>
    </row>
    <row r="38" spans="1:19">
      <c r="A38" s="50" t="str">
        <f>'1. 소켓인수검사'!A37</f>
        <v>29</v>
      </c>
      <c r="B38" s="36">
        <f>'1. 소켓인수검사'!C37</f>
        <v>300</v>
      </c>
      <c r="C38" s="36">
        <f>'1. 소켓인수검사'!D37</f>
        <v>300</v>
      </c>
      <c r="D38" s="51" t="s">
        <v>16</v>
      </c>
      <c r="E38" s="59">
        <f t="shared" si="0"/>
        <v>0.09</v>
      </c>
      <c r="F38" s="59">
        <f t="shared" si="1"/>
        <v>1.2</v>
      </c>
      <c r="G38" s="26">
        <f t="shared" si="2"/>
        <v>1.6</v>
      </c>
      <c r="H38" s="26">
        <f t="shared" si="4"/>
        <v>4</v>
      </c>
      <c r="I38" s="60">
        <f t="shared" si="5"/>
        <v>6.4</v>
      </c>
      <c r="J38" s="26"/>
      <c r="K38" s="26"/>
      <c r="L38" s="26"/>
      <c r="M38" s="26"/>
      <c r="N38" s="26"/>
      <c r="O38" s="26"/>
      <c r="P38" s="26"/>
      <c r="Q38" s="26"/>
      <c r="R38" s="198"/>
      <c r="S38" s="199"/>
    </row>
    <row r="39" spans="1:19">
      <c r="A39" s="50" t="str">
        <f>'1. 소켓인수검사'!A38</f>
        <v>30</v>
      </c>
      <c r="B39" s="36">
        <f>'1. 소켓인수검사'!C38</f>
        <v>350</v>
      </c>
      <c r="C39" s="36">
        <f>'1. 소켓인수검사'!D38</f>
        <v>250</v>
      </c>
      <c r="D39" s="51" t="s">
        <v>16</v>
      </c>
      <c r="E39" s="59">
        <f t="shared" si="0"/>
        <v>8.7499999999999994E-2</v>
      </c>
      <c r="F39" s="59">
        <f t="shared" si="1"/>
        <v>1.2</v>
      </c>
      <c r="G39" s="26">
        <f t="shared" si="2"/>
        <v>1.6</v>
      </c>
      <c r="H39" s="26">
        <f t="shared" si="4"/>
        <v>4</v>
      </c>
      <c r="I39" s="60">
        <f t="shared" si="5"/>
        <v>6.4</v>
      </c>
      <c r="J39" s="26"/>
      <c r="K39" s="26"/>
      <c r="L39" s="26"/>
      <c r="M39" s="26"/>
      <c r="N39" s="26"/>
      <c r="O39" s="26"/>
      <c r="P39" s="26"/>
      <c r="Q39" s="26"/>
      <c r="R39" s="198"/>
      <c r="S39" s="199"/>
    </row>
    <row r="40" spans="1:19">
      <c r="A40" s="50" t="str">
        <f>'1. 소켓인수검사'!A39</f>
        <v>31</v>
      </c>
      <c r="B40" s="36">
        <f>'1. 소켓인수검사'!C39</f>
        <v>350</v>
      </c>
      <c r="C40" s="36">
        <f>'1. 소켓인수검사'!D39</f>
        <v>250</v>
      </c>
      <c r="D40" s="51" t="s">
        <v>16</v>
      </c>
      <c r="E40" s="59">
        <f t="shared" ref="E40:E42" si="6">B40*C40/1000000</f>
        <v>8.7499999999999994E-2</v>
      </c>
      <c r="F40" s="59">
        <f t="shared" ref="F40:F42" si="7">(B40+C40)*2/1000</f>
        <v>1.2</v>
      </c>
      <c r="G40" s="26">
        <f t="shared" si="2"/>
        <v>1.6</v>
      </c>
      <c r="H40" s="26">
        <f t="shared" si="4"/>
        <v>4</v>
      </c>
      <c r="I40" s="60">
        <f t="shared" si="5"/>
        <v>6.4</v>
      </c>
      <c r="J40" s="26"/>
      <c r="K40" s="26"/>
      <c r="L40" s="26"/>
      <c r="M40" s="26"/>
      <c r="N40" s="26"/>
      <c r="O40" s="26"/>
      <c r="P40" s="26"/>
      <c r="Q40" s="26"/>
      <c r="R40" s="198"/>
      <c r="S40" s="199"/>
    </row>
    <row r="41" spans="1:19">
      <c r="A41" s="50" t="str">
        <f>'1. 소켓인수검사'!A40</f>
        <v>32</v>
      </c>
      <c r="B41" s="36">
        <f>'1. 소켓인수검사'!C40</f>
        <v>400</v>
      </c>
      <c r="C41" s="36">
        <f>'1. 소켓인수검사'!D40</f>
        <v>200</v>
      </c>
      <c r="D41" s="51" t="s">
        <v>16</v>
      </c>
      <c r="E41" s="59">
        <f t="shared" si="6"/>
        <v>0.08</v>
      </c>
      <c r="F41" s="59">
        <f t="shared" si="7"/>
        <v>1.2</v>
      </c>
      <c r="G41" s="26">
        <f t="shared" si="2"/>
        <v>1.6</v>
      </c>
      <c r="H41" s="26">
        <f t="shared" si="4"/>
        <v>4</v>
      </c>
      <c r="I41" s="60">
        <f t="shared" si="5"/>
        <v>6.4</v>
      </c>
      <c r="J41" s="26"/>
      <c r="K41" s="26"/>
      <c r="L41" s="26"/>
      <c r="M41" s="26"/>
      <c r="N41" s="26"/>
      <c r="O41" s="26"/>
      <c r="P41" s="26"/>
      <c r="Q41" s="26"/>
      <c r="R41" s="198"/>
      <c r="S41" s="199"/>
    </row>
    <row r="42" spans="1:19">
      <c r="A42" s="50" t="str">
        <f>'1. 소켓인수검사'!A41</f>
        <v>33</v>
      </c>
      <c r="B42" s="36">
        <f>'1. 소켓인수검사'!C41</f>
        <v>400</v>
      </c>
      <c r="C42" s="36">
        <f>'1. 소켓인수검사'!D41</f>
        <v>300</v>
      </c>
      <c r="D42" s="51" t="s">
        <v>16</v>
      </c>
      <c r="E42" s="59">
        <f t="shared" si="6"/>
        <v>0.12</v>
      </c>
      <c r="F42" s="59">
        <f t="shared" si="7"/>
        <v>1.4</v>
      </c>
      <c r="G42" s="26">
        <f t="shared" si="2"/>
        <v>1.7999999999999998</v>
      </c>
      <c r="H42" s="26">
        <f t="shared" si="4"/>
        <v>4</v>
      </c>
      <c r="I42" s="60">
        <f t="shared" si="5"/>
        <v>7.1999999999999993</v>
      </c>
      <c r="J42" s="26"/>
      <c r="K42" s="26"/>
      <c r="L42" s="26"/>
      <c r="M42" s="26"/>
      <c r="N42" s="26"/>
      <c r="O42" s="26"/>
      <c r="P42" s="26"/>
      <c r="Q42" s="26"/>
      <c r="R42" s="198"/>
      <c r="S42" s="199"/>
    </row>
    <row r="43" spans="1:19">
      <c r="A43" s="50" t="str">
        <f>'1. 소켓인수검사'!A42</f>
        <v>34</v>
      </c>
      <c r="B43" s="36">
        <f>'1. 소켓인수검사'!C42</f>
        <v>400</v>
      </c>
      <c r="C43" s="36">
        <f>'1. 소켓인수검사'!D42</f>
        <v>300</v>
      </c>
      <c r="D43" s="51" t="s">
        <v>16</v>
      </c>
      <c r="E43" s="59">
        <f>B43*C43/1000000</f>
        <v>0.12</v>
      </c>
      <c r="F43" s="59">
        <f>(B43+C43)*2/1000</f>
        <v>1.4</v>
      </c>
      <c r="G43" s="26">
        <f>(F43+0.4)</f>
        <v>1.7999999999999998</v>
      </c>
      <c r="H43" s="26">
        <v>4</v>
      </c>
      <c r="I43" s="60">
        <f>G43*H43</f>
        <v>7.1999999999999993</v>
      </c>
      <c r="J43" s="26"/>
      <c r="K43" s="26"/>
      <c r="L43" s="26"/>
      <c r="M43" s="26"/>
      <c r="N43" s="26"/>
      <c r="O43" s="26"/>
      <c r="P43" s="26"/>
      <c r="Q43" s="26"/>
      <c r="R43" s="198"/>
      <c r="S43" s="199"/>
    </row>
    <row r="44" spans="1:19">
      <c r="A44" s="50" t="str">
        <f>'1. 소켓인수검사'!A43</f>
        <v>35</v>
      </c>
      <c r="B44" s="36">
        <f>'1. 소켓인수검사'!C43</f>
        <v>450</v>
      </c>
      <c r="C44" s="36">
        <f>'1. 소켓인수검사'!D43</f>
        <v>350</v>
      </c>
      <c r="D44" s="51" t="s">
        <v>16</v>
      </c>
      <c r="E44" s="59">
        <f t="shared" ref="E44:E49" si="8">B44*C44/1000000</f>
        <v>0.1575</v>
      </c>
      <c r="F44" s="59">
        <f t="shared" ref="F44:F49" si="9">(B44+C44)*2/1000</f>
        <v>1.6</v>
      </c>
      <c r="G44" s="26">
        <f>(F44+0.4)</f>
        <v>2</v>
      </c>
      <c r="H44" s="26">
        <v>4</v>
      </c>
      <c r="I44" s="60">
        <f>G44*H44</f>
        <v>8</v>
      </c>
      <c r="J44" s="26"/>
      <c r="K44" s="26"/>
      <c r="L44" s="26"/>
      <c r="M44" s="26"/>
      <c r="N44" s="26"/>
      <c r="O44" s="26"/>
      <c r="P44" s="26"/>
      <c r="Q44" s="26"/>
      <c r="R44" s="198"/>
      <c r="S44" s="199"/>
    </row>
    <row r="45" spans="1:19">
      <c r="A45" s="50" t="str">
        <f>'1. 소켓인수검사'!A44</f>
        <v>36</v>
      </c>
      <c r="B45" s="36">
        <f>'1. 소켓인수검사'!C44</f>
        <v>450</v>
      </c>
      <c r="C45" s="36">
        <f>'1. 소켓인수검사'!D44</f>
        <v>350</v>
      </c>
      <c r="D45" s="51" t="s">
        <v>16</v>
      </c>
      <c r="E45" s="59">
        <f t="shared" si="8"/>
        <v>0.1575</v>
      </c>
      <c r="F45" s="59">
        <f t="shared" si="9"/>
        <v>1.6</v>
      </c>
      <c r="G45" s="26">
        <f t="shared" ref="G45:G49" si="10">(F45+0.4)</f>
        <v>2</v>
      </c>
      <c r="H45" s="26">
        <v>4</v>
      </c>
      <c r="I45" s="60">
        <f t="shared" ref="I45:I49" si="11">G45*H45</f>
        <v>8</v>
      </c>
      <c r="J45" s="26"/>
      <c r="K45" s="26"/>
      <c r="L45" s="26"/>
      <c r="M45" s="26"/>
      <c r="N45" s="26"/>
      <c r="O45" s="26"/>
      <c r="P45" s="26"/>
      <c r="Q45" s="26"/>
      <c r="R45" s="198"/>
      <c r="S45" s="199"/>
    </row>
    <row r="46" spans="1:19">
      <c r="A46" s="50" t="str">
        <f>'1. 소켓인수검사'!A45</f>
        <v>37</v>
      </c>
      <c r="B46" s="36">
        <f>'1. 소켓인수검사'!C45</f>
        <v>500</v>
      </c>
      <c r="C46" s="36">
        <f>'1. 소켓인수검사'!D45</f>
        <v>300</v>
      </c>
      <c r="D46" s="51" t="s">
        <v>16</v>
      </c>
      <c r="E46" s="59">
        <f t="shared" si="8"/>
        <v>0.15</v>
      </c>
      <c r="F46" s="59">
        <f t="shared" si="9"/>
        <v>1.6</v>
      </c>
      <c r="G46" s="26">
        <f t="shared" si="10"/>
        <v>2</v>
      </c>
      <c r="H46" s="26">
        <v>4</v>
      </c>
      <c r="I46" s="60">
        <f t="shared" si="11"/>
        <v>8</v>
      </c>
      <c r="J46" s="26"/>
      <c r="K46" s="26"/>
      <c r="L46" s="26"/>
      <c r="M46" s="26"/>
      <c r="N46" s="26"/>
      <c r="O46" s="26"/>
      <c r="P46" s="26"/>
      <c r="Q46" s="26"/>
      <c r="R46" s="198"/>
      <c r="S46" s="199"/>
    </row>
    <row r="47" spans="1:19">
      <c r="A47" s="50" t="str">
        <f>'1. 소켓인수검사'!A46</f>
        <v>38</v>
      </c>
      <c r="B47" s="36">
        <f>'1. 소켓인수검사'!C46</f>
        <v>600</v>
      </c>
      <c r="C47" s="36">
        <f>'1. 소켓인수검사'!D46</f>
        <v>250</v>
      </c>
      <c r="D47" s="51" t="s">
        <v>16</v>
      </c>
      <c r="E47" s="59">
        <f t="shared" si="8"/>
        <v>0.15</v>
      </c>
      <c r="F47" s="59">
        <f t="shared" si="9"/>
        <v>1.7</v>
      </c>
      <c r="G47" s="26">
        <f t="shared" si="10"/>
        <v>2.1</v>
      </c>
      <c r="H47" s="26">
        <v>4</v>
      </c>
      <c r="I47" s="60">
        <f t="shared" si="11"/>
        <v>8.4</v>
      </c>
      <c r="J47" s="26"/>
      <c r="K47" s="26"/>
      <c r="L47" s="26"/>
      <c r="M47" s="26"/>
      <c r="N47" s="26"/>
      <c r="O47" s="26"/>
      <c r="P47" s="26"/>
      <c r="Q47" s="26"/>
      <c r="R47" s="198"/>
      <c r="S47" s="199"/>
    </row>
    <row r="48" spans="1:19">
      <c r="A48" s="50" t="str">
        <f>'1. 소켓인수검사'!A47</f>
        <v>39</v>
      </c>
      <c r="B48" s="36">
        <f>'1. 소켓인수검사'!C47</f>
        <v>900</v>
      </c>
      <c r="C48" s="36">
        <f>'1. 소켓인수검사'!D47</f>
        <v>400</v>
      </c>
      <c r="D48" s="51" t="s">
        <v>16</v>
      </c>
      <c r="E48" s="59">
        <f t="shared" si="8"/>
        <v>0.36</v>
      </c>
      <c r="F48" s="59">
        <f t="shared" si="9"/>
        <v>2.6</v>
      </c>
      <c r="G48" s="26">
        <f t="shared" si="10"/>
        <v>3</v>
      </c>
      <c r="H48" s="26">
        <v>4</v>
      </c>
      <c r="I48" s="60">
        <f t="shared" si="11"/>
        <v>12</v>
      </c>
      <c r="J48" s="26"/>
      <c r="K48" s="26"/>
      <c r="L48" s="26"/>
      <c r="M48" s="26"/>
      <c r="N48" s="26"/>
      <c r="O48" s="26"/>
      <c r="P48" s="26"/>
      <c r="Q48" s="26"/>
      <c r="R48" s="198"/>
      <c r="S48" s="199"/>
    </row>
    <row r="49" spans="1:19">
      <c r="A49" s="50" t="str">
        <f>'1. 소켓인수검사'!A48</f>
        <v>40</v>
      </c>
      <c r="B49" s="36">
        <f>'1. 소켓인수검사'!C48</f>
        <v>1000</v>
      </c>
      <c r="C49" s="36">
        <f>'1. 소켓인수검사'!D48</f>
        <v>400</v>
      </c>
      <c r="D49" s="51" t="s">
        <v>16</v>
      </c>
      <c r="E49" s="59">
        <f t="shared" si="8"/>
        <v>0.4</v>
      </c>
      <c r="F49" s="59">
        <f t="shared" si="9"/>
        <v>2.8</v>
      </c>
      <c r="G49" s="26">
        <f t="shared" si="10"/>
        <v>3.1999999999999997</v>
      </c>
      <c r="H49" s="26">
        <v>4</v>
      </c>
      <c r="I49" s="60">
        <f t="shared" si="11"/>
        <v>12.799999999999999</v>
      </c>
      <c r="J49" s="26"/>
      <c r="K49" s="26"/>
      <c r="L49" s="26"/>
      <c r="M49" s="26"/>
      <c r="N49" s="26"/>
      <c r="O49" s="26"/>
      <c r="P49" s="26"/>
      <c r="Q49" s="26"/>
      <c r="R49" s="198"/>
      <c r="S49" s="199"/>
    </row>
    <row r="50" spans="1:19">
      <c r="A50" s="50" t="str">
        <f>'1. 소켓인수검사'!A49</f>
        <v>41</v>
      </c>
      <c r="B50" s="36">
        <f>'1. 소켓인수검사'!C49</f>
        <v>500</v>
      </c>
      <c r="C50" s="36">
        <f>'1. 소켓인수검사'!D49</f>
        <v>300</v>
      </c>
      <c r="D50" s="55" t="s">
        <v>48</v>
      </c>
      <c r="E50" s="59">
        <f>B50*C50/1000000</f>
        <v>0.15</v>
      </c>
      <c r="F50" s="59">
        <f>(B50+C50)*2/1000</f>
        <v>1.6</v>
      </c>
      <c r="G50" s="26"/>
      <c r="H50" s="36"/>
      <c r="I50" s="26"/>
      <c r="J50" s="26"/>
      <c r="K50" s="36"/>
      <c r="L50" s="26"/>
      <c r="M50" s="26">
        <f>F50+0.5</f>
        <v>2.1</v>
      </c>
      <c r="N50" s="36">
        <v>4</v>
      </c>
      <c r="O50" s="26">
        <f>+N50*M50</f>
        <v>8.4</v>
      </c>
      <c r="P50" s="26"/>
      <c r="Q50" s="36"/>
      <c r="R50" s="198"/>
      <c r="S50" s="199"/>
    </row>
    <row r="51" spans="1:19">
      <c r="A51" s="50" t="str">
        <f>'1. 소켓인수검사'!A50</f>
        <v>42</v>
      </c>
      <c r="B51" s="36">
        <f>'1. 소켓인수검사'!C50</f>
        <v>500</v>
      </c>
      <c r="C51" s="36">
        <f>'1. 소켓인수검사'!D50</f>
        <v>300</v>
      </c>
      <c r="D51" s="55" t="s">
        <v>48</v>
      </c>
      <c r="E51" s="59">
        <f>B51*C51/1000000</f>
        <v>0.15</v>
      </c>
      <c r="F51" s="59">
        <f>(B51+C51)*2/1000</f>
        <v>1.6</v>
      </c>
      <c r="G51" s="26"/>
      <c r="H51" s="36"/>
      <c r="I51" s="26"/>
      <c r="J51" s="26"/>
      <c r="K51" s="36"/>
      <c r="L51" s="26"/>
      <c r="M51" s="26">
        <f t="shared" ref="M51:M54" si="12">F51+0.5</f>
        <v>2.1</v>
      </c>
      <c r="N51" s="36">
        <v>4</v>
      </c>
      <c r="O51" s="26">
        <f t="shared" ref="O51:O54" si="13">+N51*M51</f>
        <v>8.4</v>
      </c>
      <c r="P51" s="26"/>
      <c r="Q51" s="36"/>
      <c r="R51" s="198"/>
      <c r="S51" s="199"/>
    </row>
    <row r="52" spans="1:19">
      <c r="A52" s="50" t="str">
        <f>'1. 소켓인수검사'!A51</f>
        <v>43</v>
      </c>
      <c r="B52" s="36">
        <f>'1. 소켓인수검사'!C51</f>
        <v>700</v>
      </c>
      <c r="C52" s="36">
        <f>'1. 소켓인수검사'!D51</f>
        <v>250</v>
      </c>
      <c r="D52" s="55" t="s">
        <v>48</v>
      </c>
      <c r="E52" s="59">
        <f t="shared" si="0"/>
        <v>0.17499999999999999</v>
      </c>
      <c r="F52" s="59">
        <f t="shared" si="1"/>
        <v>1.9</v>
      </c>
      <c r="G52" s="26"/>
      <c r="H52" s="36"/>
      <c r="I52" s="26"/>
      <c r="J52" s="26"/>
      <c r="K52" s="36"/>
      <c r="L52" s="26"/>
      <c r="M52" s="26">
        <f t="shared" si="12"/>
        <v>2.4</v>
      </c>
      <c r="N52" s="36">
        <v>4</v>
      </c>
      <c r="O52" s="26">
        <f t="shared" si="13"/>
        <v>9.6</v>
      </c>
      <c r="P52" s="26"/>
      <c r="Q52" s="36"/>
      <c r="R52" s="198"/>
      <c r="S52" s="199"/>
    </row>
    <row r="53" spans="1:19">
      <c r="A53" s="50" t="str">
        <f>'1. 소켓인수검사'!A52</f>
        <v>44</v>
      </c>
      <c r="B53" s="36">
        <f>'1. 소켓인수검사'!C52</f>
        <v>700</v>
      </c>
      <c r="C53" s="36">
        <f>'1. 소켓인수검사'!D52</f>
        <v>250</v>
      </c>
      <c r="D53" s="55" t="s">
        <v>48</v>
      </c>
      <c r="E53" s="59">
        <f t="shared" si="0"/>
        <v>0.17499999999999999</v>
      </c>
      <c r="F53" s="59">
        <f t="shared" si="1"/>
        <v>1.9</v>
      </c>
      <c r="G53" s="26"/>
      <c r="H53" s="36"/>
      <c r="I53" s="26"/>
      <c r="J53" s="26"/>
      <c r="K53" s="36"/>
      <c r="L53" s="26"/>
      <c r="M53" s="26">
        <f t="shared" si="12"/>
        <v>2.4</v>
      </c>
      <c r="N53" s="36">
        <v>4</v>
      </c>
      <c r="O53" s="26">
        <f t="shared" si="13"/>
        <v>9.6</v>
      </c>
      <c r="P53" s="26"/>
      <c r="Q53" s="36"/>
      <c r="R53" s="198"/>
      <c r="S53" s="199"/>
    </row>
    <row r="54" spans="1:19">
      <c r="A54" s="50" t="str">
        <f>'1. 소켓인수검사'!A53</f>
        <v>45</v>
      </c>
      <c r="B54" s="36">
        <f>'1. 소켓인수검사'!C53</f>
        <v>1000</v>
      </c>
      <c r="C54" s="36">
        <f>'1. 소켓인수검사'!D53</f>
        <v>350</v>
      </c>
      <c r="D54" s="55" t="s">
        <v>48</v>
      </c>
      <c r="E54" s="59">
        <f t="shared" si="0"/>
        <v>0.35</v>
      </c>
      <c r="F54" s="59">
        <f t="shared" si="1"/>
        <v>2.7</v>
      </c>
      <c r="G54" s="26"/>
      <c r="H54" s="36"/>
      <c r="I54" s="26"/>
      <c r="J54" s="26"/>
      <c r="K54" s="36"/>
      <c r="L54" s="26"/>
      <c r="M54" s="26">
        <f t="shared" si="12"/>
        <v>3.2</v>
      </c>
      <c r="N54" s="36">
        <v>4</v>
      </c>
      <c r="O54" s="26">
        <f t="shared" si="13"/>
        <v>12.8</v>
      </c>
      <c r="P54" s="26"/>
      <c r="Q54" s="36"/>
      <c r="R54" s="198"/>
      <c r="S54" s="199"/>
    </row>
    <row r="55" spans="1:19">
      <c r="A55" s="183" t="s">
        <v>3</v>
      </c>
      <c r="B55" s="184"/>
      <c r="C55" s="184"/>
      <c r="D55" s="184"/>
      <c r="E55" s="184"/>
      <c r="F55" s="185"/>
      <c r="G55" s="34"/>
      <c r="H55" s="44"/>
      <c r="I55" s="69">
        <f>SUM(I10:I54)</f>
        <v>237.19999999999993</v>
      </c>
      <c r="J55" s="34"/>
      <c r="K55" s="34"/>
      <c r="L55" s="69">
        <f>SUM(L10:L54)</f>
        <v>0</v>
      </c>
      <c r="M55" s="34"/>
      <c r="N55" s="34"/>
      <c r="O55" s="69">
        <f>SUM(O10:O54)</f>
        <v>48.8</v>
      </c>
      <c r="P55" s="34"/>
      <c r="Q55" s="34"/>
      <c r="R55" s="186">
        <f>SUM(R10:S54)</f>
        <v>0</v>
      </c>
      <c r="S55" s="187"/>
    </row>
    <row r="56" spans="1:19" ht="17.25" customHeight="1">
      <c r="A56" s="190" t="s">
        <v>14</v>
      </c>
      <c r="B56" s="191"/>
      <c r="C56" s="191"/>
      <c r="D56" s="191"/>
      <c r="E56" s="191"/>
      <c r="F56" s="192"/>
      <c r="G56" s="193">
        <f>I55/20</f>
        <v>11.859999999999996</v>
      </c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5"/>
    </row>
    <row r="57" spans="1:19">
      <c r="A57" s="190" t="s">
        <v>13</v>
      </c>
      <c r="B57" s="191"/>
      <c r="C57" s="191"/>
      <c r="D57" s="191"/>
      <c r="E57" s="191"/>
      <c r="F57" s="192"/>
      <c r="G57" s="193">
        <f>L55/3.6</f>
        <v>0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5"/>
    </row>
    <row r="58" spans="1:19">
      <c r="A58" s="196" t="s">
        <v>72</v>
      </c>
      <c r="B58" s="191"/>
      <c r="C58" s="191"/>
      <c r="D58" s="191"/>
      <c r="E58" s="191"/>
      <c r="F58" s="192"/>
      <c r="G58" s="193">
        <f>O55/7.4</f>
        <v>6.5945945945945939</v>
      </c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5"/>
    </row>
    <row r="59" spans="1:19">
      <c r="A59" s="190" t="s">
        <v>15</v>
      </c>
      <c r="B59" s="191"/>
      <c r="C59" s="191"/>
      <c r="D59" s="191"/>
      <c r="E59" s="191"/>
      <c r="F59" s="192"/>
      <c r="G59" s="193">
        <f>R55/3.6</f>
        <v>0</v>
      </c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5"/>
    </row>
    <row r="60" spans="1:19" ht="8.1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</row>
    <row r="61" spans="1:19">
      <c r="A61" s="101" t="s">
        <v>47</v>
      </c>
      <c r="B61" s="101"/>
      <c r="C61" s="188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</row>
    <row r="62" spans="1:19">
      <c r="A62" s="101"/>
      <c r="B62" s="101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</row>
    <row r="63" spans="1:19">
      <c r="A63" s="101"/>
      <c r="B63" s="101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</row>
    <row r="64" spans="1:19">
      <c r="A64" s="101"/>
      <c r="B64" s="101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</row>
  </sheetData>
  <mergeCells count="84"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A55:F55"/>
    <mergeCell ref="R55:S55"/>
    <mergeCell ref="A61:B64"/>
    <mergeCell ref="C61:S64"/>
    <mergeCell ref="A56:F56"/>
    <mergeCell ref="G56:S56"/>
    <mergeCell ref="A57:F57"/>
    <mergeCell ref="G57:S57"/>
    <mergeCell ref="A58:F58"/>
    <mergeCell ref="G58:S58"/>
    <mergeCell ref="A59:F59"/>
    <mergeCell ref="G59:S59"/>
    <mergeCell ref="A60:S60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59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L52" sqref="L52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01"/>
      <c r="B1" s="101"/>
      <c r="C1" s="101"/>
      <c r="D1" s="101"/>
      <c r="E1" s="79" t="s">
        <v>7</v>
      </c>
      <c r="F1" s="232" t="s">
        <v>69</v>
      </c>
      <c r="G1" s="232"/>
      <c r="H1" s="232"/>
      <c r="I1" s="232"/>
      <c r="J1" s="232"/>
      <c r="K1" s="156" t="str">
        <f>'1. 소켓인수검사'!R2</f>
        <v>26.06.04 씨에스_우진아이엔에스_포스코건설_양평동삼화인쇄</v>
      </c>
      <c r="L1" s="156"/>
      <c r="M1" s="156"/>
      <c r="N1" s="156"/>
      <c r="O1" s="156"/>
      <c r="P1" s="156"/>
      <c r="Q1" s="156"/>
      <c r="R1" s="156"/>
      <c r="S1" s="156"/>
      <c r="T1" s="156"/>
      <c r="U1" s="157"/>
    </row>
    <row r="2" spans="1:21" ht="16.5" customHeight="1">
      <c r="A2" s="101"/>
      <c r="B2" s="101"/>
      <c r="C2" s="101"/>
      <c r="D2" s="101"/>
      <c r="E2" s="78"/>
      <c r="F2" s="233"/>
      <c r="G2" s="233"/>
      <c r="H2" s="233"/>
      <c r="I2" s="233"/>
      <c r="J2" s="233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9"/>
    </row>
    <row r="3" spans="1:21" ht="24" customHeight="1">
      <c r="A3" s="101"/>
      <c r="B3" s="101"/>
      <c r="C3" s="101"/>
      <c r="D3" s="101"/>
      <c r="E3" s="80"/>
      <c r="F3" s="234"/>
      <c r="G3" s="234"/>
      <c r="H3" s="234"/>
      <c r="I3" s="234"/>
      <c r="J3" s="234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1"/>
    </row>
    <row r="4" spans="1:21" ht="8.1" customHeight="1">
      <c r="A4" s="215"/>
      <c r="B4" s="139"/>
      <c r="C4" s="139"/>
      <c r="D4" s="139"/>
      <c r="E4" s="139"/>
      <c r="F4" s="139"/>
      <c r="G4" s="139"/>
      <c r="H4" s="215"/>
      <c r="I4" s="139"/>
      <c r="J4" s="139"/>
      <c r="K4" s="139"/>
      <c r="L4" s="139"/>
      <c r="M4" s="139"/>
      <c r="N4" s="139"/>
      <c r="O4" s="139"/>
      <c r="P4" s="139"/>
      <c r="Q4" s="3"/>
      <c r="S4" s="3"/>
      <c r="T4" s="3"/>
      <c r="U4" s="3"/>
    </row>
    <row r="5" spans="1:21" ht="16.5" customHeight="1">
      <c r="A5" s="113" t="s">
        <v>55</v>
      </c>
      <c r="B5" s="237" t="s">
        <v>36</v>
      </c>
      <c r="C5" s="200" t="s">
        <v>62</v>
      </c>
      <c r="D5" s="200" t="s">
        <v>60</v>
      </c>
      <c r="E5" s="200" t="s">
        <v>24</v>
      </c>
      <c r="F5" s="200" t="s">
        <v>50</v>
      </c>
      <c r="G5" s="200" t="s">
        <v>57</v>
      </c>
      <c r="H5" s="200" t="s">
        <v>40</v>
      </c>
      <c r="I5" s="200" t="s">
        <v>23</v>
      </c>
      <c r="J5" s="200"/>
      <c r="K5" s="200" t="s">
        <v>0</v>
      </c>
      <c r="L5" s="200"/>
      <c r="M5" s="200" t="s">
        <v>0</v>
      </c>
      <c r="N5" s="200"/>
      <c r="O5" s="200" t="s">
        <v>0</v>
      </c>
      <c r="P5" s="200"/>
      <c r="Q5" s="225" t="s">
        <v>49</v>
      </c>
      <c r="R5" s="225"/>
      <c r="S5" s="226" t="s">
        <v>30</v>
      </c>
      <c r="T5" s="226" t="s">
        <v>54</v>
      </c>
      <c r="U5" s="228" t="s">
        <v>18</v>
      </c>
    </row>
    <row r="6" spans="1:21" ht="26.45" customHeight="1">
      <c r="A6" s="204"/>
      <c r="B6" s="238"/>
      <c r="C6" s="201"/>
      <c r="D6" s="201"/>
      <c r="E6" s="201"/>
      <c r="F6" s="201"/>
      <c r="G6" s="201"/>
      <c r="H6" s="201"/>
      <c r="I6" s="65" t="s">
        <v>8</v>
      </c>
      <c r="J6" s="35" t="s">
        <v>53</v>
      </c>
      <c r="K6" s="65" t="s">
        <v>70</v>
      </c>
      <c r="L6" s="35" t="s">
        <v>53</v>
      </c>
      <c r="M6" s="65" t="s">
        <v>35</v>
      </c>
      <c r="N6" s="35" t="s">
        <v>53</v>
      </c>
      <c r="O6" s="65" t="s">
        <v>37</v>
      </c>
      <c r="P6" s="35" t="s">
        <v>53</v>
      </c>
      <c r="Q6" s="65" t="s">
        <v>51</v>
      </c>
      <c r="R6" s="35" t="s">
        <v>63</v>
      </c>
      <c r="S6" s="227"/>
      <c r="T6" s="227"/>
      <c r="U6" s="229"/>
    </row>
    <row r="7" spans="1:21">
      <c r="A7" s="50" t="str">
        <f>'1. 소켓인수검사'!A9</f>
        <v>01</v>
      </c>
      <c r="B7" s="66" t="s">
        <v>42</v>
      </c>
      <c r="C7" s="36">
        <f>'1. 소켓인수검사'!C9</f>
        <v>150</v>
      </c>
      <c r="D7" s="36">
        <f>'1. 소켓인수검사'!D9</f>
        <v>150</v>
      </c>
      <c r="E7" s="37"/>
      <c r="F7" s="38">
        <f>C7*D7/1000000</f>
        <v>2.2499999999999999E-2</v>
      </c>
      <c r="G7" s="38">
        <f>(C7+D7)*2/1000</f>
        <v>0.6</v>
      </c>
      <c r="H7" s="43">
        <v>2</v>
      </c>
      <c r="I7" s="65">
        <f>(G7+0.4)</f>
        <v>1</v>
      </c>
      <c r="J7" s="35">
        <v>10</v>
      </c>
      <c r="K7" s="26"/>
      <c r="L7" s="35"/>
      <c r="M7" s="26"/>
      <c r="N7" s="35"/>
      <c r="O7" s="26"/>
      <c r="P7" s="35"/>
      <c r="Q7" s="39">
        <f>(((C7+60)+250+(D7+60))*2/1000)*2</f>
        <v>2.68</v>
      </c>
      <c r="R7" s="98">
        <f>Q7*2</f>
        <v>5.36</v>
      </c>
      <c r="S7" s="40" t="s">
        <v>9</v>
      </c>
      <c r="T7" s="41" t="s">
        <v>12</v>
      </c>
      <c r="U7" s="42" t="str">
        <f>'1. 소켓인수검사'!G9</f>
        <v>B1F</v>
      </c>
    </row>
    <row r="8" spans="1:21">
      <c r="A8" s="50" t="str">
        <f>'1. 소켓인수검사'!A10</f>
        <v>02</v>
      </c>
      <c r="B8" s="66" t="s">
        <v>41</v>
      </c>
      <c r="C8" s="36">
        <f>'1. 소켓인수검사'!C10</f>
        <v>150</v>
      </c>
      <c r="D8" s="36">
        <f>'1. 소켓인수검사'!D10</f>
        <v>150</v>
      </c>
      <c r="E8" s="37"/>
      <c r="F8" s="38">
        <f t="shared" ref="F8:F9" si="0">C8*D8/1000000</f>
        <v>2.2499999999999999E-2</v>
      </c>
      <c r="G8" s="38">
        <f t="shared" ref="G8:G9" si="1">(C8+D8)*2/1000</f>
        <v>0.6</v>
      </c>
      <c r="H8" s="43">
        <v>2</v>
      </c>
      <c r="I8" s="65">
        <f>(G8+0.4)</f>
        <v>1</v>
      </c>
      <c r="J8" s="35">
        <v>10</v>
      </c>
      <c r="K8" s="26"/>
      <c r="L8" s="35"/>
      <c r="M8" s="26"/>
      <c r="N8" s="35"/>
      <c r="O8" s="26"/>
      <c r="P8" s="35"/>
      <c r="Q8" s="39">
        <f t="shared" ref="Q8:Q46" si="2">(((C8+60)+250+(D8+60))*2/1000)*2</f>
        <v>2.68</v>
      </c>
      <c r="R8" s="98">
        <f>Q8*2</f>
        <v>5.36</v>
      </c>
      <c r="S8" s="40" t="s">
        <v>9</v>
      </c>
      <c r="T8" s="41" t="s">
        <v>12</v>
      </c>
      <c r="U8" s="42" t="str">
        <f>'1. 소켓인수검사'!G10</f>
        <v>B1F</v>
      </c>
    </row>
    <row r="9" spans="1:21">
      <c r="A9" s="50" t="str">
        <f>'1. 소켓인수검사'!A11</f>
        <v>03</v>
      </c>
      <c r="B9" s="66" t="s">
        <v>39</v>
      </c>
      <c r="C9" s="36">
        <f>'1. 소켓인수검사'!C11</f>
        <v>150</v>
      </c>
      <c r="D9" s="36">
        <f>'1. 소켓인수검사'!D11</f>
        <v>150</v>
      </c>
      <c r="E9" s="37"/>
      <c r="F9" s="38">
        <f t="shared" si="0"/>
        <v>2.2499999999999999E-2</v>
      </c>
      <c r="G9" s="38">
        <f t="shared" si="1"/>
        <v>0.6</v>
      </c>
      <c r="H9" s="43">
        <v>2</v>
      </c>
      <c r="I9" s="65">
        <f>(G9+0.4)</f>
        <v>1</v>
      </c>
      <c r="J9" s="35">
        <v>10</v>
      </c>
      <c r="K9" s="26"/>
      <c r="L9" s="35"/>
      <c r="M9" s="26"/>
      <c r="N9" s="35"/>
      <c r="O9" s="26"/>
      <c r="P9" s="35"/>
      <c r="Q9" s="39">
        <f t="shared" si="2"/>
        <v>2.68</v>
      </c>
      <c r="R9" s="98">
        <f t="shared" ref="R9:R51" si="3">Q9*2</f>
        <v>5.36</v>
      </c>
      <c r="S9" s="40" t="s">
        <v>9</v>
      </c>
      <c r="T9" s="41" t="s">
        <v>12</v>
      </c>
      <c r="U9" s="42" t="str">
        <f>'1. 소켓인수검사'!G11</f>
        <v>B2F</v>
      </c>
    </row>
    <row r="10" spans="1:21">
      <c r="A10" s="50" t="str">
        <f>'1. 소켓인수검사'!A12</f>
        <v>04</v>
      </c>
      <c r="B10" s="66" t="s">
        <v>39</v>
      </c>
      <c r="C10" s="36">
        <f>'1. 소켓인수검사'!C12</f>
        <v>200</v>
      </c>
      <c r="D10" s="36">
        <f>'1. 소켓인수검사'!D12</f>
        <v>150</v>
      </c>
      <c r="E10" s="37"/>
      <c r="F10" s="38">
        <f t="shared" ref="F10:F46" si="4">C10*D10/1000000</f>
        <v>0.03</v>
      </c>
      <c r="G10" s="38">
        <f t="shared" ref="G10:G46" si="5">(C10+D10)*2/1000</f>
        <v>0.7</v>
      </c>
      <c r="H10" s="43">
        <v>2</v>
      </c>
      <c r="I10" s="65">
        <f t="shared" ref="I10:I46" si="6">(G10+0.4)</f>
        <v>1.1000000000000001</v>
      </c>
      <c r="J10" s="35">
        <v>10</v>
      </c>
      <c r="K10" s="26"/>
      <c r="L10" s="35"/>
      <c r="M10" s="26"/>
      <c r="N10" s="35"/>
      <c r="O10" s="26"/>
      <c r="P10" s="35"/>
      <c r="Q10" s="39">
        <f t="shared" si="2"/>
        <v>2.88</v>
      </c>
      <c r="R10" s="98">
        <f t="shared" si="3"/>
        <v>5.76</v>
      </c>
      <c r="S10" s="40" t="s">
        <v>9</v>
      </c>
      <c r="T10" s="41" t="s">
        <v>12</v>
      </c>
      <c r="U10" s="42" t="str">
        <f>'1. 소켓인수검사'!G12</f>
        <v>B1F</v>
      </c>
    </row>
    <row r="11" spans="1:21">
      <c r="A11" s="50" t="str">
        <f>'1. 소켓인수검사'!A13</f>
        <v>05</v>
      </c>
      <c r="B11" s="66" t="s">
        <v>39</v>
      </c>
      <c r="C11" s="36">
        <f>'1. 소켓인수검사'!C13</f>
        <v>200</v>
      </c>
      <c r="D11" s="36">
        <f>'1. 소켓인수검사'!D13</f>
        <v>150</v>
      </c>
      <c r="E11" s="37"/>
      <c r="F11" s="38">
        <f t="shared" si="4"/>
        <v>0.03</v>
      </c>
      <c r="G11" s="38">
        <f t="shared" si="5"/>
        <v>0.7</v>
      </c>
      <c r="H11" s="43">
        <v>2</v>
      </c>
      <c r="I11" s="65">
        <f t="shared" si="6"/>
        <v>1.1000000000000001</v>
      </c>
      <c r="J11" s="35">
        <v>10</v>
      </c>
      <c r="K11" s="26"/>
      <c r="L11" s="35"/>
      <c r="M11" s="26"/>
      <c r="N11" s="35"/>
      <c r="O11" s="26"/>
      <c r="P11" s="35"/>
      <c r="Q11" s="39">
        <f t="shared" si="2"/>
        <v>2.88</v>
      </c>
      <c r="R11" s="98">
        <f t="shared" si="3"/>
        <v>5.76</v>
      </c>
      <c r="S11" s="40" t="s">
        <v>9</v>
      </c>
      <c r="T11" s="41" t="s">
        <v>12</v>
      </c>
      <c r="U11" s="42" t="str">
        <f>'1. 소켓인수검사'!G13</f>
        <v>B1F</v>
      </c>
    </row>
    <row r="12" spans="1:21">
      <c r="A12" s="50" t="str">
        <f>'1. 소켓인수검사'!A14</f>
        <v>06</v>
      </c>
      <c r="B12" s="66" t="s">
        <v>39</v>
      </c>
      <c r="C12" s="36">
        <f>'1. 소켓인수검사'!C14</f>
        <v>200</v>
      </c>
      <c r="D12" s="36">
        <f>'1. 소켓인수검사'!D14</f>
        <v>150</v>
      </c>
      <c r="E12" s="37"/>
      <c r="F12" s="38">
        <f t="shared" si="4"/>
        <v>0.03</v>
      </c>
      <c r="G12" s="38">
        <f t="shared" si="5"/>
        <v>0.7</v>
      </c>
      <c r="H12" s="43">
        <v>2</v>
      </c>
      <c r="I12" s="65">
        <f t="shared" si="6"/>
        <v>1.1000000000000001</v>
      </c>
      <c r="J12" s="35">
        <v>10</v>
      </c>
      <c r="K12" s="26"/>
      <c r="L12" s="35"/>
      <c r="M12" s="26"/>
      <c r="N12" s="35"/>
      <c r="O12" s="26"/>
      <c r="P12" s="35"/>
      <c r="Q12" s="39">
        <f t="shared" si="2"/>
        <v>2.88</v>
      </c>
      <c r="R12" s="98">
        <f t="shared" si="3"/>
        <v>5.76</v>
      </c>
      <c r="S12" s="40" t="s">
        <v>9</v>
      </c>
      <c r="T12" s="41" t="s">
        <v>12</v>
      </c>
      <c r="U12" s="42" t="str">
        <f>'1. 소켓인수검사'!G14</f>
        <v>B3F</v>
      </c>
    </row>
    <row r="13" spans="1:21">
      <c r="A13" s="50" t="str">
        <f>'1. 소켓인수검사'!A15</f>
        <v>07</v>
      </c>
      <c r="B13" s="66" t="s">
        <v>39</v>
      </c>
      <c r="C13" s="36">
        <f>'1. 소켓인수검사'!C15</f>
        <v>200</v>
      </c>
      <c r="D13" s="36">
        <f>'1. 소켓인수검사'!D15</f>
        <v>150</v>
      </c>
      <c r="E13" s="37"/>
      <c r="F13" s="38">
        <f t="shared" si="4"/>
        <v>0.03</v>
      </c>
      <c r="G13" s="38">
        <f t="shared" si="5"/>
        <v>0.7</v>
      </c>
      <c r="H13" s="43">
        <v>2</v>
      </c>
      <c r="I13" s="65">
        <f t="shared" si="6"/>
        <v>1.1000000000000001</v>
      </c>
      <c r="J13" s="35">
        <v>10</v>
      </c>
      <c r="K13" s="26"/>
      <c r="L13" s="35"/>
      <c r="M13" s="26"/>
      <c r="N13" s="35"/>
      <c r="O13" s="26"/>
      <c r="P13" s="35"/>
      <c r="Q13" s="39">
        <f t="shared" si="2"/>
        <v>2.88</v>
      </c>
      <c r="R13" s="98">
        <f t="shared" si="3"/>
        <v>5.76</v>
      </c>
      <c r="S13" s="40" t="s">
        <v>9</v>
      </c>
      <c r="T13" s="41" t="s">
        <v>12</v>
      </c>
      <c r="U13" s="42" t="str">
        <f>'1. 소켓인수검사'!G15</f>
        <v>B3F</v>
      </c>
    </row>
    <row r="14" spans="1:21">
      <c r="A14" s="50" t="str">
        <f>'1. 소켓인수검사'!A16</f>
        <v>08</v>
      </c>
      <c r="B14" s="66" t="s">
        <v>39</v>
      </c>
      <c r="C14" s="36">
        <f>'1. 소켓인수검사'!C16</f>
        <v>200</v>
      </c>
      <c r="D14" s="36">
        <f>'1. 소켓인수검사'!D16</f>
        <v>200</v>
      </c>
      <c r="E14" s="37"/>
      <c r="F14" s="38">
        <f t="shared" si="4"/>
        <v>0.04</v>
      </c>
      <c r="G14" s="38">
        <f t="shared" si="5"/>
        <v>0.8</v>
      </c>
      <c r="H14" s="43">
        <v>2</v>
      </c>
      <c r="I14" s="65">
        <f t="shared" si="6"/>
        <v>1.2000000000000002</v>
      </c>
      <c r="J14" s="35">
        <v>10</v>
      </c>
      <c r="K14" s="26"/>
      <c r="L14" s="35"/>
      <c r="M14" s="26"/>
      <c r="N14" s="35"/>
      <c r="O14" s="26"/>
      <c r="P14" s="35"/>
      <c r="Q14" s="39">
        <f t="shared" si="2"/>
        <v>3.08</v>
      </c>
      <c r="R14" s="98">
        <f t="shared" si="3"/>
        <v>6.16</v>
      </c>
      <c r="S14" s="40" t="s">
        <v>9</v>
      </c>
      <c r="T14" s="41" t="s">
        <v>12</v>
      </c>
      <c r="U14" s="42" t="str">
        <f>'1. 소켓인수검사'!G16</f>
        <v>B1F</v>
      </c>
    </row>
    <row r="15" spans="1:21">
      <c r="A15" s="50" t="str">
        <f>'1. 소켓인수검사'!A17</f>
        <v>09</v>
      </c>
      <c r="B15" s="66" t="s">
        <v>39</v>
      </c>
      <c r="C15" s="36">
        <f>'1. 소켓인수검사'!C17</f>
        <v>200</v>
      </c>
      <c r="D15" s="36">
        <f>'1. 소켓인수검사'!D17</f>
        <v>200</v>
      </c>
      <c r="E15" s="37"/>
      <c r="F15" s="38">
        <f t="shared" si="4"/>
        <v>0.04</v>
      </c>
      <c r="G15" s="38">
        <f t="shared" si="5"/>
        <v>0.8</v>
      </c>
      <c r="H15" s="43">
        <v>2</v>
      </c>
      <c r="I15" s="65">
        <f t="shared" si="6"/>
        <v>1.2000000000000002</v>
      </c>
      <c r="J15" s="35">
        <v>10</v>
      </c>
      <c r="K15" s="26"/>
      <c r="L15" s="35"/>
      <c r="M15" s="26"/>
      <c r="N15" s="35"/>
      <c r="O15" s="26"/>
      <c r="P15" s="35"/>
      <c r="Q15" s="39">
        <f t="shared" si="2"/>
        <v>3.08</v>
      </c>
      <c r="R15" s="98">
        <f t="shared" si="3"/>
        <v>6.16</v>
      </c>
      <c r="S15" s="40" t="s">
        <v>9</v>
      </c>
      <c r="T15" s="41" t="s">
        <v>12</v>
      </c>
      <c r="U15" s="42" t="str">
        <f>'1. 소켓인수검사'!G17</f>
        <v>B1F</v>
      </c>
    </row>
    <row r="16" spans="1:21">
      <c r="A16" s="50" t="str">
        <f>'1. 소켓인수검사'!A18</f>
        <v>10</v>
      </c>
      <c r="B16" s="66" t="s">
        <v>39</v>
      </c>
      <c r="C16" s="36">
        <f>'1. 소켓인수검사'!C18</f>
        <v>200</v>
      </c>
      <c r="D16" s="36">
        <f>'1. 소켓인수검사'!D18</f>
        <v>200</v>
      </c>
      <c r="E16" s="37"/>
      <c r="F16" s="38">
        <f t="shared" si="4"/>
        <v>0.04</v>
      </c>
      <c r="G16" s="38">
        <f t="shared" si="5"/>
        <v>0.8</v>
      </c>
      <c r="H16" s="43">
        <v>2</v>
      </c>
      <c r="I16" s="65">
        <f t="shared" si="6"/>
        <v>1.2000000000000002</v>
      </c>
      <c r="J16" s="35">
        <v>10</v>
      </c>
      <c r="K16" s="26"/>
      <c r="L16" s="35"/>
      <c r="M16" s="26"/>
      <c r="N16" s="35"/>
      <c r="O16" s="26"/>
      <c r="P16" s="35"/>
      <c r="Q16" s="39">
        <f t="shared" si="2"/>
        <v>3.08</v>
      </c>
      <c r="R16" s="98">
        <f t="shared" si="3"/>
        <v>6.16</v>
      </c>
      <c r="S16" s="40" t="s">
        <v>9</v>
      </c>
      <c r="T16" s="41" t="s">
        <v>12</v>
      </c>
      <c r="U16" s="42" t="str">
        <f>'1. 소켓인수검사'!G18</f>
        <v>B1F</v>
      </c>
    </row>
    <row r="17" spans="1:21">
      <c r="A17" s="50" t="str">
        <f>'1. 소켓인수검사'!A19</f>
        <v>11</v>
      </c>
      <c r="B17" s="66" t="s">
        <v>39</v>
      </c>
      <c r="C17" s="36">
        <f>'1. 소켓인수검사'!C19</f>
        <v>200</v>
      </c>
      <c r="D17" s="36">
        <f>'1. 소켓인수검사'!D19</f>
        <v>200</v>
      </c>
      <c r="E17" s="37"/>
      <c r="F17" s="38">
        <f t="shared" si="4"/>
        <v>0.04</v>
      </c>
      <c r="G17" s="38">
        <f t="shared" si="5"/>
        <v>0.8</v>
      </c>
      <c r="H17" s="43">
        <v>2</v>
      </c>
      <c r="I17" s="65">
        <f t="shared" si="6"/>
        <v>1.2000000000000002</v>
      </c>
      <c r="J17" s="35">
        <v>10</v>
      </c>
      <c r="K17" s="26"/>
      <c r="L17" s="35"/>
      <c r="M17" s="26"/>
      <c r="N17" s="35"/>
      <c r="O17" s="26"/>
      <c r="P17" s="35"/>
      <c r="Q17" s="39">
        <f t="shared" si="2"/>
        <v>3.08</v>
      </c>
      <c r="R17" s="98">
        <f t="shared" si="3"/>
        <v>6.16</v>
      </c>
      <c r="S17" s="40" t="s">
        <v>9</v>
      </c>
      <c r="T17" s="41" t="s">
        <v>12</v>
      </c>
      <c r="U17" s="42" t="str">
        <f>'1. 소켓인수검사'!G19</f>
        <v>B1F</v>
      </c>
    </row>
    <row r="18" spans="1:21">
      <c r="A18" s="50" t="str">
        <f>'1. 소켓인수검사'!A20</f>
        <v>12</v>
      </c>
      <c r="B18" s="66" t="s">
        <v>39</v>
      </c>
      <c r="C18" s="36">
        <f>'1. 소켓인수검사'!C20</f>
        <v>200</v>
      </c>
      <c r="D18" s="36">
        <f>'1. 소켓인수검사'!D20</f>
        <v>200</v>
      </c>
      <c r="E18" s="37"/>
      <c r="F18" s="38">
        <f t="shared" si="4"/>
        <v>0.04</v>
      </c>
      <c r="G18" s="38">
        <f t="shared" si="5"/>
        <v>0.8</v>
      </c>
      <c r="H18" s="43">
        <v>2</v>
      </c>
      <c r="I18" s="65">
        <f t="shared" si="6"/>
        <v>1.2000000000000002</v>
      </c>
      <c r="J18" s="35">
        <v>10</v>
      </c>
      <c r="K18" s="26"/>
      <c r="L18" s="35"/>
      <c r="M18" s="26"/>
      <c r="N18" s="35"/>
      <c r="O18" s="26"/>
      <c r="P18" s="35"/>
      <c r="Q18" s="39">
        <f t="shared" si="2"/>
        <v>3.08</v>
      </c>
      <c r="R18" s="98">
        <f t="shared" si="3"/>
        <v>6.16</v>
      </c>
      <c r="S18" s="40" t="s">
        <v>9</v>
      </c>
      <c r="T18" s="41" t="s">
        <v>12</v>
      </c>
      <c r="U18" s="42" t="str">
        <f>'1. 소켓인수검사'!G20</f>
        <v>B2F</v>
      </c>
    </row>
    <row r="19" spans="1:21">
      <c r="A19" s="50" t="str">
        <f>'1. 소켓인수검사'!A21</f>
        <v>13</v>
      </c>
      <c r="B19" s="66" t="s">
        <v>39</v>
      </c>
      <c r="C19" s="36">
        <f>'1. 소켓인수검사'!C21</f>
        <v>200</v>
      </c>
      <c r="D19" s="36">
        <f>'1. 소켓인수검사'!D21</f>
        <v>200</v>
      </c>
      <c r="E19" s="37"/>
      <c r="F19" s="38">
        <f t="shared" si="4"/>
        <v>0.04</v>
      </c>
      <c r="G19" s="38">
        <f t="shared" si="5"/>
        <v>0.8</v>
      </c>
      <c r="H19" s="43">
        <v>2</v>
      </c>
      <c r="I19" s="65">
        <f t="shared" si="6"/>
        <v>1.2000000000000002</v>
      </c>
      <c r="J19" s="35">
        <v>10</v>
      </c>
      <c r="K19" s="26"/>
      <c r="L19" s="35"/>
      <c r="M19" s="26"/>
      <c r="N19" s="35"/>
      <c r="O19" s="26"/>
      <c r="P19" s="35"/>
      <c r="Q19" s="39">
        <f t="shared" si="2"/>
        <v>3.08</v>
      </c>
      <c r="R19" s="98">
        <f t="shared" si="3"/>
        <v>6.16</v>
      </c>
      <c r="S19" s="40" t="s">
        <v>9</v>
      </c>
      <c r="T19" s="41" t="s">
        <v>12</v>
      </c>
      <c r="U19" s="42" t="str">
        <f>'1. 소켓인수검사'!G21</f>
        <v>B2F</v>
      </c>
    </row>
    <row r="20" spans="1:21">
      <c r="A20" s="50" t="str">
        <f>'1. 소켓인수검사'!A22</f>
        <v>14</v>
      </c>
      <c r="B20" s="66" t="s">
        <v>39</v>
      </c>
      <c r="C20" s="36">
        <f>'1. 소켓인수검사'!C22</f>
        <v>200</v>
      </c>
      <c r="D20" s="36">
        <f>'1. 소켓인수검사'!D22</f>
        <v>200</v>
      </c>
      <c r="E20" s="37"/>
      <c r="F20" s="38">
        <f t="shared" si="4"/>
        <v>0.04</v>
      </c>
      <c r="G20" s="38">
        <f t="shared" si="5"/>
        <v>0.8</v>
      </c>
      <c r="H20" s="43">
        <v>2</v>
      </c>
      <c r="I20" s="65">
        <f t="shared" si="6"/>
        <v>1.2000000000000002</v>
      </c>
      <c r="J20" s="35">
        <v>10</v>
      </c>
      <c r="K20" s="26"/>
      <c r="L20" s="35"/>
      <c r="M20" s="26"/>
      <c r="N20" s="35"/>
      <c r="O20" s="26"/>
      <c r="P20" s="35"/>
      <c r="Q20" s="39">
        <f t="shared" si="2"/>
        <v>3.08</v>
      </c>
      <c r="R20" s="98">
        <f t="shared" si="3"/>
        <v>6.16</v>
      </c>
      <c r="S20" s="40" t="s">
        <v>9</v>
      </c>
      <c r="T20" s="41" t="s">
        <v>12</v>
      </c>
      <c r="U20" s="42" t="str">
        <f>'1. 소켓인수검사'!G22</f>
        <v>B2F</v>
      </c>
    </row>
    <row r="21" spans="1:21">
      <c r="A21" s="50" t="str">
        <f>'1. 소켓인수검사'!A23</f>
        <v>15</v>
      </c>
      <c r="B21" s="66" t="s">
        <v>39</v>
      </c>
      <c r="C21" s="36">
        <f>'1. 소켓인수검사'!C23</f>
        <v>250</v>
      </c>
      <c r="D21" s="36">
        <f>'1. 소켓인수검사'!D23</f>
        <v>150</v>
      </c>
      <c r="E21" s="37"/>
      <c r="F21" s="38">
        <f t="shared" si="4"/>
        <v>3.7499999999999999E-2</v>
      </c>
      <c r="G21" s="38">
        <f t="shared" si="5"/>
        <v>0.8</v>
      </c>
      <c r="H21" s="43">
        <v>2</v>
      </c>
      <c r="I21" s="65">
        <f t="shared" si="6"/>
        <v>1.2000000000000002</v>
      </c>
      <c r="J21" s="35">
        <v>10</v>
      </c>
      <c r="K21" s="26"/>
      <c r="L21" s="35"/>
      <c r="M21" s="26"/>
      <c r="N21" s="35"/>
      <c r="O21" s="26"/>
      <c r="P21" s="35"/>
      <c r="Q21" s="39">
        <f t="shared" si="2"/>
        <v>3.08</v>
      </c>
      <c r="R21" s="98">
        <f t="shared" si="3"/>
        <v>6.16</v>
      </c>
      <c r="S21" s="40" t="s">
        <v>9</v>
      </c>
      <c r="T21" s="41" t="s">
        <v>12</v>
      </c>
      <c r="U21" s="42" t="str">
        <f>'1. 소켓인수검사'!G23</f>
        <v>B2F</v>
      </c>
    </row>
    <row r="22" spans="1:21">
      <c r="A22" s="50" t="str">
        <f>'1. 소켓인수검사'!A24</f>
        <v>16</v>
      </c>
      <c r="B22" s="66" t="s">
        <v>39</v>
      </c>
      <c r="C22" s="36">
        <f>'1. 소켓인수검사'!C24</f>
        <v>250</v>
      </c>
      <c r="D22" s="36">
        <f>'1. 소켓인수검사'!D24</f>
        <v>150</v>
      </c>
      <c r="E22" s="37"/>
      <c r="F22" s="38">
        <f t="shared" si="4"/>
        <v>3.7499999999999999E-2</v>
      </c>
      <c r="G22" s="38">
        <f t="shared" si="5"/>
        <v>0.8</v>
      </c>
      <c r="H22" s="43">
        <v>2</v>
      </c>
      <c r="I22" s="65">
        <f t="shared" si="6"/>
        <v>1.2000000000000002</v>
      </c>
      <c r="J22" s="35">
        <v>10</v>
      </c>
      <c r="K22" s="26"/>
      <c r="L22" s="35"/>
      <c r="M22" s="26"/>
      <c r="N22" s="35"/>
      <c r="O22" s="26"/>
      <c r="P22" s="35"/>
      <c r="Q22" s="39">
        <f t="shared" si="2"/>
        <v>3.08</v>
      </c>
      <c r="R22" s="98">
        <f t="shared" si="3"/>
        <v>6.16</v>
      </c>
      <c r="S22" s="40" t="s">
        <v>9</v>
      </c>
      <c r="T22" s="41" t="s">
        <v>12</v>
      </c>
      <c r="U22" s="42" t="str">
        <f>'1. 소켓인수검사'!G24</f>
        <v>B2F</v>
      </c>
    </row>
    <row r="23" spans="1:21">
      <c r="A23" s="50" t="str">
        <f>'1. 소켓인수검사'!A25</f>
        <v>17</v>
      </c>
      <c r="B23" s="66" t="s">
        <v>39</v>
      </c>
      <c r="C23" s="36">
        <f>'1. 소켓인수검사'!C25</f>
        <v>250</v>
      </c>
      <c r="D23" s="36">
        <f>'1. 소켓인수검사'!D25</f>
        <v>150</v>
      </c>
      <c r="E23" s="37"/>
      <c r="F23" s="38">
        <f t="shared" si="4"/>
        <v>3.7499999999999999E-2</v>
      </c>
      <c r="G23" s="38">
        <f t="shared" si="5"/>
        <v>0.8</v>
      </c>
      <c r="H23" s="43">
        <v>2</v>
      </c>
      <c r="I23" s="65">
        <f t="shared" si="6"/>
        <v>1.2000000000000002</v>
      </c>
      <c r="J23" s="35">
        <v>10</v>
      </c>
      <c r="K23" s="26"/>
      <c r="L23" s="35"/>
      <c r="M23" s="26"/>
      <c r="N23" s="35"/>
      <c r="O23" s="26"/>
      <c r="P23" s="35"/>
      <c r="Q23" s="39">
        <f t="shared" si="2"/>
        <v>3.08</v>
      </c>
      <c r="R23" s="98">
        <f t="shared" si="3"/>
        <v>6.16</v>
      </c>
      <c r="S23" s="40" t="s">
        <v>9</v>
      </c>
      <c r="T23" s="41" t="s">
        <v>12</v>
      </c>
      <c r="U23" s="42" t="str">
        <f>'1. 소켓인수검사'!G25</f>
        <v>B2F</v>
      </c>
    </row>
    <row r="24" spans="1:21">
      <c r="A24" s="50" t="str">
        <f>'1. 소켓인수검사'!A26</f>
        <v>18</v>
      </c>
      <c r="B24" s="66" t="s">
        <v>39</v>
      </c>
      <c r="C24" s="36">
        <f>'1. 소켓인수검사'!C26</f>
        <v>250</v>
      </c>
      <c r="D24" s="36">
        <f>'1. 소켓인수검사'!D26</f>
        <v>250</v>
      </c>
      <c r="E24" s="37"/>
      <c r="F24" s="38">
        <f t="shared" si="4"/>
        <v>6.25E-2</v>
      </c>
      <c r="G24" s="38">
        <f t="shared" si="5"/>
        <v>1</v>
      </c>
      <c r="H24" s="43">
        <v>2</v>
      </c>
      <c r="I24" s="65">
        <f t="shared" si="6"/>
        <v>1.4</v>
      </c>
      <c r="J24" s="35">
        <v>10</v>
      </c>
      <c r="K24" s="26"/>
      <c r="L24" s="35"/>
      <c r="M24" s="26"/>
      <c r="N24" s="35"/>
      <c r="O24" s="26"/>
      <c r="P24" s="35"/>
      <c r="Q24" s="39">
        <f t="shared" si="2"/>
        <v>3.48</v>
      </c>
      <c r="R24" s="98">
        <f t="shared" si="3"/>
        <v>6.96</v>
      </c>
      <c r="S24" s="40" t="s">
        <v>9</v>
      </c>
      <c r="T24" s="41" t="s">
        <v>12</v>
      </c>
      <c r="U24" s="42" t="str">
        <f>'1. 소켓인수검사'!G26</f>
        <v>B1F</v>
      </c>
    </row>
    <row r="25" spans="1:21">
      <c r="A25" s="50" t="str">
        <f>'1. 소켓인수검사'!A27</f>
        <v>19</v>
      </c>
      <c r="B25" s="66" t="s">
        <v>39</v>
      </c>
      <c r="C25" s="36">
        <f>'1. 소켓인수검사'!C27</f>
        <v>250</v>
      </c>
      <c r="D25" s="36">
        <f>'1. 소켓인수검사'!D27</f>
        <v>250</v>
      </c>
      <c r="E25" s="37"/>
      <c r="F25" s="38">
        <f t="shared" si="4"/>
        <v>6.25E-2</v>
      </c>
      <c r="G25" s="38">
        <f t="shared" si="5"/>
        <v>1</v>
      </c>
      <c r="H25" s="43">
        <v>2</v>
      </c>
      <c r="I25" s="65">
        <f t="shared" si="6"/>
        <v>1.4</v>
      </c>
      <c r="J25" s="35">
        <v>10</v>
      </c>
      <c r="K25" s="26"/>
      <c r="L25" s="35"/>
      <c r="M25" s="26"/>
      <c r="N25" s="35"/>
      <c r="O25" s="26"/>
      <c r="P25" s="35"/>
      <c r="Q25" s="39">
        <f t="shared" si="2"/>
        <v>3.48</v>
      </c>
      <c r="R25" s="98">
        <f t="shared" si="3"/>
        <v>6.96</v>
      </c>
      <c r="S25" s="40" t="s">
        <v>9</v>
      </c>
      <c r="T25" s="41" t="s">
        <v>12</v>
      </c>
      <c r="U25" s="42" t="str">
        <f>'1. 소켓인수검사'!G27</f>
        <v>B1F</v>
      </c>
    </row>
    <row r="26" spans="1:21">
      <c r="A26" s="50" t="str">
        <f>'1. 소켓인수검사'!A28</f>
        <v>20</v>
      </c>
      <c r="B26" s="66" t="s">
        <v>39</v>
      </c>
      <c r="C26" s="36">
        <f>'1. 소켓인수검사'!C28</f>
        <v>250</v>
      </c>
      <c r="D26" s="36">
        <f>'1. 소켓인수검사'!D28</f>
        <v>250</v>
      </c>
      <c r="E26" s="37"/>
      <c r="F26" s="38">
        <f t="shared" si="4"/>
        <v>6.25E-2</v>
      </c>
      <c r="G26" s="38">
        <f t="shared" si="5"/>
        <v>1</v>
      </c>
      <c r="H26" s="43">
        <v>2</v>
      </c>
      <c r="I26" s="65">
        <f t="shared" si="6"/>
        <v>1.4</v>
      </c>
      <c r="J26" s="35">
        <v>10</v>
      </c>
      <c r="K26" s="26"/>
      <c r="L26" s="35"/>
      <c r="M26" s="26"/>
      <c r="N26" s="35"/>
      <c r="O26" s="26"/>
      <c r="P26" s="35"/>
      <c r="Q26" s="39">
        <f t="shared" si="2"/>
        <v>3.48</v>
      </c>
      <c r="R26" s="98">
        <f t="shared" si="3"/>
        <v>6.96</v>
      </c>
      <c r="S26" s="40" t="s">
        <v>9</v>
      </c>
      <c r="T26" s="41" t="s">
        <v>12</v>
      </c>
      <c r="U26" s="42" t="str">
        <f>'1. 소켓인수검사'!G28</f>
        <v>B1F</v>
      </c>
    </row>
    <row r="27" spans="1:21">
      <c r="A27" s="50" t="str">
        <f>'1. 소켓인수검사'!A29</f>
        <v>21</v>
      </c>
      <c r="B27" s="66" t="s">
        <v>39</v>
      </c>
      <c r="C27" s="36">
        <f>'1. 소켓인수검사'!C29</f>
        <v>250</v>
      </c>
      <c r="D27" s="36">
        <f>'1. 소켓인수검사'!D29</f>
        <v>250</v>
      </c>
      <c r="E27" s="37"/>
      <c r="F27" s="38">
        <f t="shared" si="4"/>
        <v>6.25E-2</v>
      </c>
      <c r="G27" s="38">
        <f t="shared" si="5"/>
        <v>1</v>
      </c>
      <c r="H27" s="43">
        <v>2</v>
      </c>
      <c r="I27" s="65">
        <f t="shared" si="6"/>
        <v>1.4</v>
      </c>
      <c r="J27" s="35">
        <v>10</v>
      </c>
      <c r="K27" s="26"/>
      <c r="L27" s="35"/>
      <c r="M27" s="26"/>
      <c r="N27" s="35"/>
      <c r="O27" s="26"/>
      <c r="P27" s="35"/>
      <c r="Q27" s="39">
        <f t="shared" si="2"/>
        <v>3.48</v>
      </c>
      <c r="R27" s="98">
        <f t="shared" si="3"/>
        <v>6.96</v>
      </c>
      <c r="S27" s="40" t="s">
        <v>9</v>
      </c>
      <c r="T27" s="41" t="s">
        <v>12</v>
      </c>
      <c r="U27" s="42" t="str">
        <f>'1. 소켓인수검사'!G29</f>
        <v>B1F</v>
      </c>
    </row>
    <row r="28" spans="1:21">
      <c r="A28" s="50" t="str">
        <f>'1. 소켓인수검사'!A30</f>
        <v>22</v>
      </c>
      <c r="B28" s="66" t="s">
        <v>39</v>
      </c>
      <c r="C28" s="36">
        <f>'1. 소켓인수검사'!C30</f>
        <v>250</v>
      </c>
      <c r="D28" s="36">
        <f>'1. 소켓인수검사'!D30</f>
        <v>250</v>
      </c>
      <c r="E28" s="37"/>
      <c r="F28" s="38">
        <f t="shared" si="4"/>
        <v>6.25E-2</v>
      </c>
      <c r="G28" s="38">
        <f t="shared" si="5"/>
        <v>1</v>
      </c>
      <c r="H28" s="43">
        <v>2</v>
      </c>
      <c r="I28" s="65">
        <f t="shared" si="6"/>
        <v>1.4</v>
      </c>
      <c r="J28" s="35">
        <v>10</v>
      </c>
      <c r="K28" s="26"/>
      <c r="L28" s="35"/>
      <c r="M28" s="26"/>
      <c r="N28" s="35"/>
      <c r="O28" s="26"/>
      <c r="P28" s="35"/>
      <c r="Q28" s="39">
        <f t="shared" si="2"/>
        <v>3.48</v>
      </c>
      <c r="R28" s="98">
        <f t="shared" si="3"/>
        <v>6.96</v>
      </c>
      <c r="S28" s="40" t="s">
        <v>9</v>
      </c>
      <c r="T28" s="41" t="s">
        <v>12</v>
      </c>
      <c r="U28" s="42" t="str">
        <f>'1. 소켓인수검사'!G30</f>
        <v>B1F</v>
      </c>
    </row>
    <row r="29" spans="1:21">
      <c r="A29" s="50" t="str">
        <f>'1. 소켓인수검사'!A31</f>
        <v>23</v>
      </c>
      <c r="B29" s="66" t="s">
        <v>39</v>
      </c>
      <c r="C29" s="36">
        <f>'1. 소켓인수검사'!C31</f>
        <v>300</v>
      </c>
      <c r="D29" s="36">
        <f>'1. 소켓인수검사'!D31</f>
        <v>200</v>
      </c>
      <c r="E29" s="37"/>
      <c r="F29" s="38">
        <f t="shared" si="4"/>
        <v>0.06</v>
      </c>
      <c r="G29" s="38">
        <f t="shared" si="5"/>
        <v>1</v>
      </c>
      <c r="H29" s="43">
        <v>2</v>
      </c>
      <c r="I29" s="65">
        <f t="shared" si="6"/>
        <v>1.4</v>
      </c>
      <c r="J29" s="35">
        <v>10</v>
      </c>
      <c r="K29" s="26"/>
      <c r="L29" s="35"/>
      <c r="M29" s="26"/>
      <c r="N29" s="35"/>
      <c r="O29" s="26"/>
      <c r="P29" s="35"/>
      <c r="Q29" s="39">
        <f t="shared" si="2"/>
        <v>3.48</v>
      </c>
      <c r="R29" s="98">
        <f t="shared" si="3"/>
        <v>6.96</v>
      </c>
      <c r="S29" s="40" t="s">
        <v>9</v>
      </c>
      <c r="T29" s="41" t="s">
        <v>12</v>
      </c>
      <c r="U29" s="42" t="str">
        <f>'1. 소켓인수검사'!G31</f>
        <v>B2F</v>
      </c>
    </row>
    <row r="30" spans="1:21">
      <c r="A30" s="50" t="str">
        <f>'1. 소켓인수검사'!A32</f>
        <v>24</v>
      </c>
      <c r="B30" s="66" t="s">
        <v>39</v>
      </c>
      <c r="C30" s="36">
        <f>'1. 소켓인수검사'!C32</f>
        <v>300</v>
      </c>
      <c r="D30" s="36">
        <f>'1. 소켓인수검사'!D32</f>
        <v>200</v>
      </c>
      <c r="E30" s="37"/>
      <c r="F30" s="38">
        <f t="shared" si="4"/>
        <v>0.06</v>
      </c>
      <c r="G30" s="38">
        <f t="shared" si="5"/>
        <v>1</v>
      </c>
      <c r="H30" s="43">
        <v>2</v>
      </c>
      <c r="I30" s="65">
        <f t="shared" si="6"/>
        <v>1.4</v>
      </c>
      <c r="J30" s="35">
        <v>10</v>
      </c>
      <c r="K30" s="26"/>
      <c r="L30" s="35"/>
      <c r="M30" s="26"/>
      <c r="N30" s="35"/>
      <c r="O30" s="26"/>
      <c r="P30" s="35"/>
      <c r="Q30" s="39">
        <f t="shared" si="2"/>
        <v>3.48</v>
      </c>
      <c r="R30" s="98">
        <f t="shared" si="3"/>
        <v>6.96</v>
      </c>
      <c r="S30" s="40" t="s">
        <v>9</v>
      </c>
      <c r="T30" s="41" t="s">
        <v>12</v>
      </c>
      <c r="U30" s="42" t="str">
        <f>'1. 소켓인수검사'!G32</f>
        <v>B2F</v>
      </c>
    </row>
    <row r="31" spans="1:21">
      <c r="A31" s="50" t="str">
        <f>'1. 소켓인수검사'!A33</f>
        <v>25</v>
      </c>
      <c r="B31" s="66" t="s">
        <v>39</v>
      </c>
      <c r="C31" s="36">
        <f>'1. 소켓인수검사'!C33</f>
        <v>300</v>
      </c>
      <c r="D31" s="36">
        <f>'1. 소켓인수검사'!D33</f>
        <v>200</v>
      </c>
      <c r="E31" s="37"/>
      <c r="F31" s="38">
        <f t="shared" si="4"/>
        <v>0.06</v>
      </c>
      <c r="G31" s="38">
        <f t="shared" si="5"/>
        <v>1</v>
      </c>
      <c r="H31" s="43">
        <v>2</v>
      </c>
      <c r="I31" s="65">
        <f t="shared" si="6"/>
        <v>1.4</v>
      </c>
      <c r="J31" s="35">
        <v>10</v>
      </c>
      <c r="K31" s="26"/>
      <c r="L31" s="35"/>
      <c r="M31" s="26"/>
      <c r="N31" s="35"/>
      <c r="O31" s="26"/>
      <c r="P31" s="35"/>
      <c r="Q31" s="39">
        <f t="shared" si="2"/>
        <v>3.48</v>
      </c>
      <c r="R31" s="98">
        <f t="shared" si="3"/>
        <v>6.96</v>
      </c>
      <c r="S31" s="40" t="s">
        <v>9</v>
      </c>
      <c r="T31" s="41" t="s">
        <v>12</v>
      </c>
      <c r="U31" s="42" t="str">
        <f>'1. 소켓인수검사'!G33</f>
        <v>B2F</v>
      </c>
    </row>
    <row r="32" spans="1:21">
      <c r="A32" s="50" t="str">
        <f>'1. 소켓인수검사'!A34</f>
        <v>26</v>
      </c>
      <c r="B32" s="66" t="s">
        <v>39</v>
      </c>
      <c r="C32" s="36">
        <f>'1. 소켓인수검사'!C34</f>
        <v>300</v>
      </c>
      <c r="D32" s="36">
        <f>'1. 소켓인수검사'!D34</f>
        <v>200</v>
      </c>
      <c r="E32" s="37"/>
      <c r="F32" s="38">
        <f t="shared" si="4"/>
        <v>0.06</v>
      </c>
      <c r="G32" s="38">
        <f t="shared" si="5"/>
        <v>1</v>
      </c>
      <c r="H32" s="43">
        <v>2</v>
      </c>
      <c r="I32" s="65">
        <f t="shared" si="6"/>
        <v>1.4</v>
      </c>
      <c r="J32" s="35">
        <v>10</v>
      </c>
      <c r="K32" s="26"/>
      <c r="L32" s="35"/>
      <c r="M32" s="26"/>
      <c r="N32" s="35"/>
      <c r="O32" s="26"/>
      <c r="P32" s="35"/>
      <c r="Q32" s="39">
        <f t="shared" si="2"/>
        <v>3.48</v>
      </c>
      <c r="R32" s="98">
        <f t="shared" si="3"/>
        <v>6.96</v>
      </c>
      <c r="S32" s="40" t="s">
        <v>9</v>
      </c>
      <c r="T32" s="41" t="s">
        <v>12</v>
      </c>
      <c r="U32" s="42" t="str">
        <f>'1. 소켓인수검사'!G34</f>
        <v>B2F</v>
      </c>
    </row>
    <row r="33" spans="1:21">
      <c r="A33" s="50" t="str">
        <f>'1. 소켓인수검사'!A35</f>
        <v>27</v>
      </c>
      <c r="B33" s="66" t="s">
        <v>39</v>
      </c>
      <c r="C33" s="36">
        <f>'1. 소켓인수검사'!C35</f>
        <v>300</v>
      </c>
      <c r="D33" s="36">
        <f>'1. 소켓인수검사'!D35</f>
        <v>250</v>
      </c>
      <c r="E33" s="37"/>
      <c r="F33" s="38">
        <f t="shared" si="4"/>
        <v>7.4999999999999997E-2</v>
      </c>
      <c r="G33" s="38">
        <f t="shared" si="5"/>
        <v>1.1000000000000001</v>
      </c>
      <c r="H33" s="43">
        <v>2</v>
      </c>
      <c r="I33" s="65">
        <f t="shared" si="6"/>
        <v>1.5</v>
      </c>
      <c r="J33" s="35">
        <v>10</v>
      </c>
      <c r="K33" s="26"/>
      <c r="L33" s="35"/>
      <c r="M33" s="26"/>
      <c r="N33" s="35"/>
      <c r="O33" s="26"/>
      <c r="P33" s="35"/>
      <c r="Q33" s="39">
        <f t="shared" si="2"/>
        <v>3.68</v>
      </c>
      <c r="R33" s="98">
        <f t="shared" si="3"/>
        <v>7.36</v>
      </c>
      <c r="S33" s="40" t="s">
        <v>9</v>
      </c>
      <c r="T33" s="41" t="s">
        <v>12</v>
      </c>
      <c r="U33" s="42" t="str">
        <f>'1. 소켓인수검사'!G35</f>
        <v>B2F</v>
      </c>
    </row>
    <row r="34" spans="1:21">
      <c r="A34" s="50" t="str">
        <f>'1. 소켓인수검사'!A36</f>
        <v>28</v>
      </c>
      <c r="B34" s="66" t="s">
        <v>39</v>
      </c>
      <c r="C34" s="36">
        <f>'1. 소켓인수검사'!C36</f>
        <v>300</v>
      </c>
      <c r="D34" s="36">
        <f>'1. 소켓인수검사'!D36</f>
        <v>250</v>
      </c>
      <c r="E34" s="37"/>
      <c r="F34" s="38">
        <f t="shared" si="4"/>
        <v>7.4999999999999997E-2</v>
      </c>
      <c r="G34" s="38">
        <f t="shared" si="5"/>
        <v>1.1000000000000001</v>
      </c>
      <c r="H34" s="43">
        <v>2</v>
      </c>
      <c r="I34" s="65">
        <f t="shared" si="6"/>
        <v>1.5</v>
      </c>
      <c r="J34" s="35">
        <v>10</v>
      </c>
      <c r="K34" s="26"/>
      <c r="L34" s="35"/>
      <c r="M34" s="26"/>
      <c r="N34" s="35"/>
      <c r="O34" s="26"/>
      <c r="P34" s="35"/>
      <c r="Q34" s="39">
        <f t="shared" si="2"/>
        <v>3.68</v>
      </c>
      <c r="R34" s="98">
        <f t="shared" si="3"/>
        <v>7.36</v>
      </c>
      <c r="S34" s="40" t="s">
        <v>9</v>
      </c>
      <c r="T34" s="41" t="s">
        <v>12</v>
      </c>
      <c r="U34" s="42" t="str">
        <f>'1. 소켓인수검사'!G36</f>
        <v>B3F</v>
      </c>
    </row>
    <row r="35" spans="1:21">
      <c r="A35" s="50" t="str">
        <f>'1. 소켓인수검사'!A37</f>
        <v>29</v>
      </c>
      <c r="B35" s="66" t="s">
        <v>39</v>
      </c>
      <c r="C35" s="36">
        <f>'1. 소켓인수검사'!C37</f>
        <v>300</v>
      </c>
      <c r="D35" s="36">
        <f>'1. 소켓인수검사'!D37</f>
        <v>300</v>
      </c>
      <c r="E35" s="37"/>
      <c r="F35" s="38">
        <f t="shared" si="4"/>
        <v>0.09</v>
      </c>
      <c r="G35" s="38">
        <f t="shared" si="5"/>
        <v>1.2</v>
      </c>
      <c r="H35" s="43">
        <v>2</v>
      </c>
      <c r="I35" s="65">
        <f t="shared" si="6"/>
        <v>1.6</v>
      </c>
      <c r="J35" s="35">
        <v>10</v>
      </c>
      <c r="K35" s="26"/>
      <c r="L35" s="35"/>
      <c r="M35" s="26"/>
      <c r="N35" s="35"/>
      <c r="O35" s="26"/>
      <c r="P35" s="35"/>
      <c r="Q35" s="39">
        <f t="shared" si="2"/>
        <v>3.88</v>
      </c>
      <c r="R35" s="98">
        <f t="shared" si="3"/>
        <v>7.76</v>
      </c>
      <c r="S35" s="40" t="s">
        <v>9</v>
      </c>
      <c r="T35" s="41" t="s">
        <v>12</v>
      </c>
      <c r="U35" s="42" t="str">
        <f>'1. 소켓인수검사'!G37</f>
        <v>B1F</v>
      </c>
    </row>
    <row r="36" spans="1:21">
      <c r="A36" s="50" t="str">
        <f>'1. 소켓인수검사'!A38</f>
        <v>30</v>
      </c>
      <c r="B36" s="66" t="s">
        <v>39</v>
      </c>
      <c r="C36" s="36">
        <f>'1. 소켓인수검사'!C38</f>
        <v>350</v>
      </c>
      <c r="D36" s="36">
        <f>'1. 소켓인수검사'!D38</f>
        <v>250</v>
      </c>
      <c r="E36" s="37"/>
      <c r="F36" s="38">
        <f t="shared" si="4"/>
        <v>8.7499999999999994E-2</v>
      </c>
      <c r="G36" s="38">
        <f t="shared" si="5"/>
        <v>1.2</v>
      </c>
      <c r="H36" s="43">
        <v>2</v>
      </c>
      <c r="I36" s="65">
        <f t="shared" si="6"/>
        <v>1.6</v>
      </c>
      <c r="J36" s="35">
        <v>10</v>
      </c>
      <c r="K36" s="26"/>
      <c r="L36" s="35"/>
      <c r="M36" s="26"/>
      <c r="N36" s="35"/>
      <c r="O36" s="26"/>
      <c r="P36" s="35"/>
      <c r="Q36" s="39">
        <f t="shared" si="2"/>
        <v>3.88</v>
      </c>
      <c r="R36" s="98">
        <f t="shared" si="3"/>
        <v>7.76</v>
      </c>
      <c r="S36" s="40" t="s">
        <v>9</v>
      </c>
      <c r="T36" s="41" t="s">
        <v>12</v>
      </c>
      <c r="U36" s="42" t="str">
        <f>'1. 소켓인수검사'!G38</f>
        <v>B4F</v>
      </c>
    </row>
    <row r="37" spans="1:21">
      <c r="A37" s="50" t="str">
        <f>'1. 소켓인수검사'!A39</f>
        <v>31</v>
      </c>
      <c r="B37" s="66" t="s">
        <v>39</v>
      </c>
      <c r="C37" s="36">
        <f>'1. 소켓인수검사'!C39</f>
        <v>350</v>
      </c>
      <c r="D37" s="36">
        <f>'1. 소켓인수검사'!D39</f>
        <v>250</v>
      </c>
      <c r="E37" s="37"/>
      <c r="F37" s="38">
        <f t="shared" si="4"/>
        <v>8.7499999999999994E-2</v>
      </c>
      <c r="G37" s="38">
        <f t="shared" si="5"/>
        <v>1.2</v>
      </c>
      <c r="H37" s="43">
        <v>2</v>
      </c>
      <c r="I37" s="65">
        <f t="shared" si="6"/>
        <v>1.6</v>
      </c>
      <c r="J37" s="35">
        <v>10</v>
      </c>
      <c r="K37" s="26"/>
      <c r="L37" s="35"/>
      <c r="M37" s="26"/>
      <c r="N37" s="35"/>
      <c r="O37" s="26"/>
      <c r="P37" s="35"/>
      <c r="Q37" s="39">
        <f t="shared" si="2"/>
        <v>3.88</v>
      </c>
      <c r="R37" s="98">
        <f t="shared" si="3"/>
        <v>7.76</v>
      </c>
      <c r="S37" s="40" t="s">
        <v>9</v>
      </c>
      <c r="T37" s="41" t="s">
        <v>12</v>
      </c>
      <c r="U37" s="42" t="str">
        <f>'1. 소켓인수검사'!G39</f>
        <v>B4F</v>
      </c>
    </row>
    <row r="38" spans="1:21">
      <c r="A38" s="50" t="str">
        <f>'1. 소켓인수검사'!A40</f>
        <v>32</v>
      </c>
      <c r="B38" s="66" t="s">
        <v>39</v>
      </c>
      <c r="C38" s="36">
        <f>'1. 소켓인수검사'!C40</f>
        <v>400</v>
      </c>
      <c r="D38" s="36">
        <f>'1. 소켓인수검사'!D40</f>
        <v>200</v>
      </c>
      <c r="E38" s="37"/>
      <c r="F38" s="38">
        <f t="shared" si="4"/>
        <v>0.08</v>
      </c>
      <c r="G38" s="38">
        <f t="shared" si="5"/>
        <v>1.2</v>
      </c>
      <c r="H38" s="43">
        <v>2</v>
      </c>
      <c r="I38" s="65">
        <f t="shared" si="6"/>
        <v>1.6</v>
      </c>
      <c r="J38" s="35">
        <v>10</v>
      </c>
      <c r="K38" s="26"/>
      <c r="L38" s="35"/>
      <c r="M38" s="26"/>
      <c r="N38" s="35"/>
      <c r="O38" s="26"/>
      <c r="P38" s="35"/>
      <c r="Q38" s="39">
        <f t="shared" si="2"/>
        <v>3.88</v>
      </c>
      <c r="R38" s="98">
        <f t="shared" si="3"/>
        <v>7.76</v>
      </c>
      <c r="S38" s="40" t="s">
        <v>9</v>
      </c>
      <c r="T38" s="41" t="s">
        <v>12</v>
      </c>
      <c r="U38" s="42" t="str">
        <f>'1. 소켓인수검사'!G40</f>
        <v>B2F</v>
      </c>
    </row>
    <row r="39" spans="1:21">
      <c r="A39" s="50" t="str">
        <f>'1. 소켓인수검사'!A41</f>
        <v>33</v>
      </c>
      <c r="B39" s="66" t="s">
        <v>39</v>
      </c>
      <c r="C39" s="36">
        <f>'1. 소켓인수검사'!C41</f>
        <v>400</v>
      </c>
      <c r="D39" s="36">
        <f>'1. 소켓인수검사'!D41</f>
        <v>300</v>
      </c>
      <c r="E39" s="37"/>
      <c r="F39" s="38">
        <f t="shared" si="4"/>
        <v>0.12</v>
      </c>
      <c r="G39" s="38">
        <f t="shared" si="5"/>
        <v>1.4</v>
      </c>
      <c r="H39" s="43">
        <v>2</v>
      </c>
      <c r="I39" s="65">
        <f t="shared" si="6"/>
        <v>1.7999999999999998</v>
      </c>
      <c r="J39" s="35">
        <v>10</v>
      </c>
      <c r="K39" s="26"/>
      <c r="L39" s="35"/>
      <c r="M39" s="26"/>
      <c r="N39" s="35"/>
      <c r="O39" s="26"/>
      <c r="P39" s="35"/>
      <c r="Q39" s="39">
        <f t="shared" si="2"/>
        <v>4.28</v>
      </c>
      <c r="R39" s="98">
        <f t="shared" si="3"/>
        <v>8.56</v>
      </c>
      <c r="S39" s="40" t="s">
        <v>9</v>
      </c>
      <c r="T39" s="41" t="s">
        <v>12</v>
      </c>
      <c r="U39" s="42" t="str">
        <f>'1. 소켓인수검사'!G41</f>
        <v>B1F</v>
      </c>
    </row>
    <row r="40" spans="1:21">
      <c r="A40" s="50" t="str">
        <f>'1. 소켓인수검사'!A42</f>
        <v>34</v>
      </c>
      <c r="B40" s="66" t="s">
        <v>39</v>
      </c>
      <c r="C40" s="36">
        <f>'1. 소켓인수검사'!C42</f>
        <v>400</v>
      </c>
      <c r="D40" s="36">
        <f>'1. 소켓인수검사'!D42</f>
        <v>300</v>
      </c>
      <c r="E40" s="37"/>
      <c r="F40" s="38">
        <f t="shared" si="4"/>
        <v>0.12</v>
      </c>
      <c r="G40" s="38">
        <f t="shared" si="5"/>
        <v>1.4</v>
      </c>
      <c r="H40" s="43">
        <v>2</v>
      </c>
      <c r="I40" s="65">
        <f t="shared" si="6"/>
        <v>1.7999999999999998</v>
      </c>
      <c r="J40" s="35">
        <v>10</v>
      </c>
      <c r="K40" s="26"/>
      <c r="L40" s="35"/>
      <c r="M40" s="26"/>
      <c r="N40" s="35"/>
      <c r="O40" s="26"/>
      <c r="P40" s="35"/>
      <c r="Q40" s="39">
        <f t="shared" si="2"/>
        <v>4.28</v>
      </c>
      <c r="R40" s="98">
        <f t="shared" si="3"/>
        <v>8.56</v>
      </c>
      <c r="S40" s="40" t="s">
        <v>9</v>
      </c>
      <c r="T40" s="41" t="s">
        <v>12</v>
      </c>
      <c r="U40" s="42" t="str">
        <f>'1. 소켓인수검사'!G42</f>
        <v>B1F</v>
      </c>
    </row>
    <row r="41" spans="1:21">
      <c r="A41" s="50" t="str">
        <f>'1. 소켓인수검사'!A43</f>
        <v>35</v>
      </c>
      <c r="B41" s="66" t="s">
        <v>39</v>
      </c>
      <c r="C41" s="36">
        <f>'1. 소켓인수검사'!C43</f>
        <v>450</v>
      </c>
      <c r="D41" s="36">
        <f>'1. 소켓인수검사'!D43</f>
        <v>350</v>
      </c>
      <c r="E41" s="37"/>
      <c r="F41" s="38">
        <f t="shared" si="4"/>
        <v>0.1575</v>
      </c>
      <c r="G41" s="38">
        <f t="shared" si="5"/>
        <v>1.6</v>
      </c>
      <c r="H41" s="43">
        <v>2</v>
      </c>
      <c r="I41" s="65">
        <f t="shared" si="6"/>
        <v>2</v>
      </c>
      <c r="J41" s="35">
        <v>10</v>
      </c>
      <c r="K41" s="26"/>
      <c r="L41" s="35"/>
      <c r="M41" s="26"/>
      <c r="N41" s="35"/>
      <c r="O41" s="26"/>
      <c r="P41" s="35"/>
      <c r="Q41" s="39">
        <f t="shared" si="2"/>
        <v>4.68</v>
      </c>
      <c r="R41" s="98">
        <f t="shared" si="3"/>
        <v>9.36</v>
      </c>
      <c r="S41" s="40" t="s">
        <v>9</v>
      </c>
      <c r="T41" s="41" t="s">
        <v>12</v>
      </c>
      <c r="U41" s="42" t="str">
        <f>'1. 소켓인수검사'!G43</f>
        <v>B1F</v>
      </c>
    </row>
    <row r="42" spans="1:21">
      <c r="A42" s="50" t="str">
        <f>'1. 소켓인수검사'!A44</f>
        <v>36</v>
      </c>
      <c r="B42" s="66" t="s">
        <v>39</v>
      </c>
      <c r="C42" s="36">
        <f>'1. 소켓인수검사'!C44</f>
        <v>450</v>
      </c>
      <c r="D42" s="36">
        <f>'1. 소켓인수검사'!D44</f>
        <v>350</v>
      </c>
      <c r="E42" s="37"/>
      <c r="F42" s="38">
        <f t="shared" si="4"/>
        <v>0.1575</v>
      </c>
      <c r="G42" s="38">
        <f t="shared" si="5"/>
        <v>1.6</v>
      </c>
      <c r="H42" s="43">
        <v>2</v>
      </c>
      <c r="I42" s="65">
        <f t="shared" si="6"/>
        <v>2</v>
      </c>
      <c r="J42" s="35">
        <v>10</v>
      </c>
      <c r="K42" s="26"/>
      <c r="L42" s="35"/>
      <c r="M42" s="26"/>
      <c r="N42" s="35"/>
      <c r="O42" s="26"/>
      <c r="P42" s="35"/>
      <c r="Q42" s="39">
        <f t="shared" si="2"/>
        <v>4.68</v>
      </c>
      <c r="R42" s="98">
        <f t="shared" si="3"/>
        <v>9.36</v>
      </c>
      <c r="S42" s="40" t="s">
        <v>9</v>
      </c>
      <c r="T42" s="41" t="s">
        <v>12</v>
      </c>
      <c r="U42" s="42" t="str">
        <f>'1. 소켓인수검사'!G44</f>
        <v>B1F</v>
      </c>
    </row>
    <row r="43" spans="1:21">
      <c r="A43" s="50" t="str">
        <f>'1. 소켓인수검사'!A45</f>
        <v>37</v>
      </c>
      <c r="B43" s="66" t="s">
        <v>39</v>
      </c>
      <c r="C43" s="36">
        <f>'1. 소켓인수검사'!C45</f>
        <v>500</v>
      </c>
      <c r="D43" s="36">
        <f>'1. 소켓인수검사'!D45</f>
        <v>300</v>
      </c>
      <c r="E43" s="37"/>
      <c r="F43" s="38">
        <f t="shared" si="4"/>
        <v>0.15</v>
      </c>
      <c r="G43" s="38">
        <f t="shared" si="5"/>
        <v>1.6</v>
      </c>
      <c r="H43" s="43">
        <v>2</v>
      </c>
      <c r="I43" s="65">
        <f t="shared" si="6"/>
        <v>2</v>
      </c>
      <c r="J43" s="35">
        <v>10</v>
      </c>
      <c r="K43" s="26"/>
      <c r="L43" s="35"/>
      <c r="M43" s="26"/>
      <c r="N43" s="35"/>
      <c r="O43" s="26"/>
      <c r="P43" s="35"/>
      <c r="Q43" s="39">
        <f t="shared" si="2"/>
        <v>4.68</v>
      </c>
      <c r="R43" s="98">
        <f t="shared" si="3"/>
        <v>9.36</v>
      </c>
      <c r="S43" s="40" t="s">
        <v>9</v>
      </c>
      <c r="T43" s="41" t="s">
        <v>12</v>
      </c>
      <c r="U43" s="42" t="str">
        <f>'1. 소켓인수검사'!G45</f>
        <v>B4F</v>
      </c>
    </row>
    <row r="44" spans="1:21">
      <c r="A44" s="50" t="str">
        <f>'1. 소켓인수검사'!A46</f>
        <v>38</v>
      </c>
      <c r="B44" s="66" t="s">
        <v>39</v>
      </c>
      <c r="C44" s="36">
        <f>'1. 소켓인수검사'!C46</f>
        <v>600</v>
      </c>
      <c r="D44" s="36">
        <f>'1. 소켓인수검사'!D46</f>
        <v>250</v>
      </c>
      <c r="E44" s="37"/>
      <c r="F44" s="38">
        <f t="shared" si="4"/>
        <v>0.15</v>
      </c>
      <c r="G44" s="38">
        <f t="shared" si="5"/>
        <v>1.7</v>
      </c>
      <c r="H44" s="43">
        <v>2</v>
      </c>
      <c r="I44" s="65">
        <f t="shared" si="6"/>
        <v>2.1</v>
      </c>
      <c r="J44" s="35">
        <v>10</v>
      </c>
      <c r="K44" s="26"/>
      <c r="L44" s="35"/>
      <c r="M44" s="26"/>
      <c r="N44" s="35"/>
      <c r="O44" s="26"/>
      <c r="P44" s="35"/>
      <c r="Q44" s="39">
        <f t="shared" si="2"/>
        <v>4.88</v>
      </c>
      <c r="R44" s="98">
        <f t="shared" si="3"/>
        <v>9.76</v>
      </c>
      <c r="S44" s="40" t="s">
        <v>9</v>
      </c>
      <c r="T44" s="41" t="s">
        <v>12</v>
      </c>
      <c r="U44" s="42" t="str">
        <f>'1. 소켓인수검사'!G46</f>
        <v>B4F</v>
      </c>
    </row>
    <row r="45" spans="1:21">
      <c r="A45" s="50" t="str">
        <f>'1. 소켓인수검사'!A47</f>
        <v>39</v>
      </c>
      <c r="B45" s="66" t="s">
        <v>39</v>
      </c>
      <c r="C45" s="36">
        <f>'1. 소켓인수검사'!C47</f>
        <v>900</v>
      </c>
      <c r="D45" s="36">
        <f>'1. 소켓인수검사'!D47</f>
        <v>400</v>
      </c>
      <c r="E45" s="37"/>
      <c r="F45" s="38">
        <f t="shared" si="4"/>
        <v>0.36</v>
      </c>
      <c r="G45" s="38">
        <f t="shared" si="5"/>
        <v>2.6</v>
      </c>
      <c r="H45" s="43">
        <v>2</v>
      </c>
      <c r="I45" s="65">
        <f t="shared" si="6"/>
        <v>3</v>
      </c>
      <c r="J45" s="35">
        <v>10</v>
      </c>
      <c r="K45" s="26"/>
      <c r="L45" s="35"/>
      <c r="M45" s="26"/>
      <c r="N45" s="35"/>
      <c r="O45" s="26"/>
      <c r="P45" s="35"/>
      <c r="Q45" s="39">
        <f t="shared" si="2"/>
        <v>6.68</v>
      </c>
      <c r="R45" s="98">
        <f t="shared" si="3"/>
        <v>13.36</v>
      </c>
      <c r="S45" s="40" t="s">
        <v>9</v>
      </c>
      <c r="T45" s="41" t="s">
        <v>12</v>
      </c>
      <c r="U45" s="42" t="str">
        <f>'1. 소켓인수검사'!G47</f>
        <v>B1F</v>
      </c>
    </row>
    <row r="46" spans="1:21">
      <c r="A46" s="50" t="str">
        <f>'1. 소켓인수검사'!A48</f>
        <v>40</v>
      </c>
      <c r="B46" s="66" t="s">
        <v>39</v>
      </c>
      <c r="C46" s="36">
        <f>'1. 소켓인수검사'!C48</f>
        <v>1000</v>
      </c>
      <c r="D46" s="36">
        <f>'1. 소켓인수검사'!D48</f>
        <v>400</v>
      </c>
      <c r="E46" s="37"/>
      <c r="F46" s="38">
        <f t="shared" si="4"/>
        <v>0.4</v>
      </c>
      <c r="G46" s="38">
        <f t="shared" si="5"/>
        <v>2.8</v>
      </c>
      <c r="H46" s="43">
        <v>2</v>
      </c>
      <c r="I46" s="65">
        <f t="shared" si="6"/>
        <v>3.1999999999999997</v>
      </c>
      <c r="J46" s="35">
        <v>10</v>
      </c>
      <c r="K46" s="26"/>
      <c r="L46" s="35"/>
      <c r="M46" s="26"/>
      <c r="N46" s="35"/>
      <c r="O46" s="26"/>
      <c r="P46" s="35"/>
      <c r="Q46" s="39">
        <f t="shared" si="2"/>
        <v>7.08</v>
      </c>
      <c r="R46" s="98">
        <f t="shared" si="3"/>
        <v>14.16</v>
      </c>
      <c r="S46" s="40" t="s">
        <v>9</v>
      </c>
      <c r="T46" s="41" t="s">
        <v>12</v>
      </c>
      <c r="U46" s="42" t="str">
        <f>'1. 소켓인수검사'!G48</f>
        <v>B1F</v>
      </c>
    </row>
    <row r="47" spans="1:21">
      <c r="A47" s="50" t="str">
        <f>'1. 소켓인수검사'!A49</f>
        <v>41</v>
      </c>
      <c r="B47" s="66" t="s">
        <v>39</v>
      </c>
      <c r="C47" s="36">
        <f>'1. 소켓인수검사'!C49</f>
        <v>500</v>
      </c>
      <c r="D47" s="36">
        <f>'1. 소켓인수검사'!D49</f>
        <v>300</v>
      </c>
      <c r="E47" s="37"/>
      <c r="F47" s="38">
        <f t="shared" ref="F47:F51" si="7">C47*D47/1000000</f>
        <v>0.15</v>
      </c>
      <c r="G47" s="38">
        <f t="shared" ref="G47:G51" si="8">(C47+D47)*2/1000</f>
        <v>1.6</v>
      </c>
      <c r="H47" s="43">
        <v>2</v>
      </c>
      <c r="I47" s="65"/>
      <c r="J47" s="35"/>
      <c r="K47" s="26">
        <f t="shared" ref="K47:K51" si="9">G47+0.5</f>
        <v>2.1</v>
      </c>
      <c r="L47" s="35">
        <v>10</v>
      </c>
      <c r="M47" s="26"/>
      <c r="N47" s="35"/>
      <c r="O47" s="26"/>
      <c r="P47" s="35"/>
      <c r="Q47" s="39">
        <f t="shared" ref="Q47:Q51" si="10">(((C47+60)+250+(D47+60))*2/1000)*2</f>
        <v>4.68</v>
      </c>
      <c r="R47" s="98">
        <f t="shared" si="3"/>
        <v>9.36</v>
      </c>
      <c r="S47" s="40" t="s">
        <v>44</v>
      </c>
      <c r="T47" s="41" t="s">
        <v>6</v>
      </c>
      <c r="U47" s="42" t="str">
        <f>'1. 소켓인수검사'!G49</f>
        <v>제연B4F</v>
      </c>
    </row>
    <row r="48" spans="1:21">
      <c r="A48" s="50" t="str">
        <f>'1. 소켓인수검사'!A50</f>
        <v>42</v>
      </c>
      <c r="B48" s="66" t="s">
        <v>39</v>
      </c>
      <c r="C48" s="36">
        <f>'1. 소켓인수검사'!C50</f>
        <v>500</v>
      </c>
      <c r="D48" s="36">
        <f>'1. 소켓인수검사'!D50</f>
        <v>300</v>
      </c>
      <c r="E48" s="37"/>
      <c r="F48" s="38">
        <f t="shared" si="7"/>
        <v>0.15</v>
      </c>
      <c r="G48" s="38">
        <f t="shared" si="8"/>
        <v>1.6</v>
      </c>
      <c r="H48" s="43">
        <v>2</v>
      </c>
      <c r="I48" s="65"/>
      <c r="J48" s="35"/>
      <c r="K48" s="26">
        <f t="shared" si="9"/>
        <v>2.1</v>
      </c>
      <c r="L48" s="35">
        <v>10</v>
      </c>
      <c r="M48" s="26"/>
      <c r="N48" s="35"/>
      <c r="O48" s="26"/>
      <c r="P48" s="35"/>
      <c r="Q48" s="39">
        <f t="shared" si="10"/>
        <v>4.68</v>
      </c>
      <c r="R48" s="98">
        <f t="shared" si="3"/>
        <v>9.36</v>
      </c>
      <c r="S48" s="40" t="s">
        <v>44</v>
      </c>
      <c r="T48" s="41" t="s">
        <v>6</v>
      </c>
      <c r="U48" s="42" t="str">
        <f>'1. 소켓인수검사'!G50</f>
        <v>제연B4F</v>
      </c>
    </row>
    <row r="49" spans="1:21">
      <c r="A49" s="50" t="str">
        <f>'1. 소켓인수검사'!A51</f>
        <v>43</v>
      </c>
      <c r="B49" s="66" t="s">
        <v>39</v>
      </c>
      <c r="C49" s="36">
        <f>'1. 소켓인수검사'!C51</f>
        <v>700</v>
      </c>
      <c r="D49" s="36">
        <f>'1. 소켓인수검사'!D51</f>
        <v>250</v>
      </c>
      <c r="E49" s="37"/>
      <c r="F49" s="38">
        <f t="shared" si="7"/>
        <v>0.17499999999999999</v>
      </c>
      <c r="G49" s="38">
        <f t="shared" si="8"/>
        <v>1.9</v>
      </c>
      <c r="H49" s="43">
        <v>2</v>
      </c>
      <c r="I49" s="65"/>
      <c r="J49" s="35"/>
      <c r="K49" s="26">
        <f t="shared" si="9"/>
        <v>2.4</v>
      </c>
      <c r="L49" s="35">
        <v>10</v>
      </c>
      <c r="M49" s="26"/>
      <c r="N49" s="35"/>
      <c r="O49" s="26"/>
      <c r="P49" s="35"/>
      <c r="Q49" s="39">
        <f t="shared" si="10"/>
        <v>5.28</v>
      </c>
      <c r="R49" s="98">
        <f t="shared" si="3"/>
        <v>10.56</v>
      </c>
      <c r="S49" s="40" t="s">
        <v>44</v>
      </c>
      <c r="T49" s="41" t="s">
        <v>6</v>
      </c>
      <c r="U49" s="42" t="str">
        <f>'1. 소켓인수검사'!G51</f>
        <v>제연B3~4F</v>
      </c>
    </row>
    <row r="50" spans="1:21">
      <c r="A50" s="50" t="str">
        <f>'1. 소켓인수검사'!A52</f>
        <v>44</v>
      </c>
      <c r="B50" s="66" t="s">
        <v>39</v>
      </c>
      <c r="C50" s="36">
        <f>'1. 소켓인수검사'!C52</f>
        <v>700</v>
      </c>
      <c r="D50" s="36">
        <f>'1. 소켓인수검사'!D52</f>
        <v>250</v>
      </c>
      <c r="E50" s="37"/>
      <c r="F50" s="38">
        <f t="shared" si="7"/>
        <v>0.17499999999999999</v>
      </c>
      <c r="G50" s="38">
        <f t="shared" si="8"/>
        <v>1.9</v>
      </c>
      <c r="H50" s="43">
        <v>2</v>
      </c>
      <c r="I50" s="65"/>
      <c r="J50" s="35"/>
      <c r="K50" s="26">
        <f t="shared" si="9"/>
        <v>2.4</v>
      </c>
      <c r="L50" s="35">
        <v>10</v>
      </c>
      <c r="M50" s="26"/>
      <c r="N50" s="35"/>
      <c r="O50" s="26"/>
      <c r="P50" s="35"/>
      <c r="Q50" s="39">
        <f t="shared" si="10"/>
        <v>5.28</v>
      </c>
      <c r="R50" s="98">
        <f t="shared" si="3"/>
        <v>10.56</v>
      </c>
      <c r="S50" s="40" t="s">
        <v>44</v>
      </c>
      <c r="T50" s="41" t="s">
        <v>6</v>
      </c>
      <c r="U50" s="42" t="str">
        <f>'1. 소켓인수검사'!G52</f>
        <v>제연B3~4F</v>
      </c>
    </row>
    <row r="51" spans="1:21">
      <c r="A51" s="50" t="str">
        <f>'1. 소켓인수검사'!A53</f>
        <v>45</v>
      </c>
      <c r="B51" s="66" t="s">
        <v>39</v>
      </c>
      <c r="C51" s="36">
        <f>'1. 소켓인수검사'!C53</f>
        <v>1000</v>
      </c>
      <c r="D51" s="36">
        <f>'1. 소켓인수검사'!D53</f>
        <v>350</v>
      </c>
      <c r="E51" s="37"/>
      <c r="F51" s="38">
        <f t="shared" si="7"/>
        <v>0.35</v>
      </c>
      <c r="G51" s="38">
        <f t="shared" si="8"/>
        <v>2.7</v>
      </c>
      <c r="H51" s="43">
        <v>2</v>
      </c>
      <c r="I51" s="65"/>
      <c r="J51" s="35"/>
      <c r="K51" s="26">
        <f t="shared" si="9"/>
        <v>3.2</v>
      </c>
      <c r="L51" s="35">
        <v>10</v>
      </c>
      <c r="M51" s="26"/>
      <c r="N51" s="35"/>
      <c r="O51" s="26"/>
      <c r="P51" s="35"/>
      <c r="Q51" s="39">
        <f t="shared" si="10"/>
        <v>6.88</v>
      </c>
      <c r="R51" s="98">
        <f t="shared" si="3"/>
        <v>13.76</v>
      </c>
      <c r="S51" s="40" t="s">
        <v>44</v>
      </c>
      <c r="T51" s="41" t="s">
        <v>6</v>
      </c>
      <c r="U51" s="42" t="str">
        <f>'1. 소켓인수검사'!G53</f>
        <v>제연B2F</v>
      </c>
    </row>
    <row r="52" spans="1:21">
      <c r="A52" s="230" t="s">
        <v>5</v>
      </c>
      <c r="B52" s="231"/>
      <c r="C52" s="231"/>
      <c r="D52" s="64"/>
      <c r="E52" s="46"/>
      <c r="F52" s="46"/>
      <c r="G52" s="46"/>
      <c r="H52" s="45">
        <f>SUM(H7:H51)</f>
        <v>90</v>
      </c>
      <c r="I52" s="70"/>
      <c r="J52" s="45">
        <f>SUM(J7:J51)</f>
        <v>400</v>
      </c>
      <c r="K52" s="70"/>
      <c r="L52" s="45">
        <f>SUM(L7:L51)</f>
        <v>50</v>
      </c>
      <c r="M52" s="70"/>
      <c r="N52" s="45">
        <f>SUM(N7:N51)</f>
        <v>0</v>
      </c>
      <c r="O52" s="70"/>
      <c r="P52" s="45">
        <f>SUM(P7:P51)</f>
        <v>0</v>
      </c>
      <c r="Q52" s="70">
        <f>SUM(Q7:Q51)</f>
        <v>172.60000000000002</v>
      </c>
      <c r="R52" s="45">
        <f>SUM(R7:R51)</f>
        <v>345.20000000000005</v>
      </c>
      <c r="S52" s="67"/>
      <c r="T52" s="67"/>
      <c r="U52" s="68"/>
    </row>
    <row r="53" spans="1:21" ht="8.1" customHeight="1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4"/>
    </row>
    <row r="54" spans="1:21">
      <c r="A54" s="101" t="s">
        <v>47</v>
      </c>
      <c r="B54" s="101"/>
      <c r="C54" s="101"/>
      <c r="D54" s="21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218"/>
    </row>
    <row r="55" spans="1:21">
      <c r="A55" s="101"/>
      <c r="B55" s="101"/>
      <c r="C55" s="101"/>
      <c r="D55" s="235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36"/>
    </row>
    <row r="56" spans="1:21">
      <c r="A56" s="101"/>
      <c r="B56" s="101"/>
      <c r="C56" s="101"/>
      <c r="D56" s="235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36"/>
    </row>
    <row r="57" spans="1:21">
      <c r="A57" s="101"/>
      <c r="B57" s="101"/>
      <c r="C57" s="101"/>
      <c r="D57" s="235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4"/>
      <c r="S57" s="224"/>
      <c r="T57" s="224"/>
      <c r="U57" s="236"/>
    </row>
    <row r="58" spans="1:21">
      <c r="A58" s="101"/>
      <c r="B58" s="101"/>
      <c r="C58" s="101"/>
      <c r="D58" s="235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36"/>
    </row>
    <row r="59" spans="1:21">
      <c r="A59" s="101"/>
      <c r="B59" s="101"/>
      <c r="C59" s="101"/>
      <c r="D59" s="215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216"/>
    </row>
  </sheetData>
  <mergeCells count="24">
    <mergeCell ref="U5:U6"/>
    <mergeCell ref="A52:C52"/>
    <mergeCell ref="F1:J3"/>
    <mergeCell ref="K1:U3"/>
    <mergeCell ref="D54:U59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53:P53"/>
    <mergeCell ref="A54:C59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7</vt:i4>
      </vt:variant>
    </vt:vector>
  </HeadingPairs>
  <TitlesOfParts>
    <vt:vector size="13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53</cp:revision>
  <cp:lastPrinted>2026-01-07T23:38:07Z</cp:lastPrinted>
  <dcterms:created xsi:type="dcterms:W3CDTF">2025-03-13T00:09:10Z</dcterms:created>
  <dcterms:modified xsi:type="dcterms:W3CDTF">2026-06-05T00:35:46Z</dcterms:modified>
  <cp:version>1200.0100.01</cp:version>
</cp:coreProperties>
</file>