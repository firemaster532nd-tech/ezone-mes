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968DF624-2DCE-4D1E-B5A4-7944E609D28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 소켓인수검사" sheetId="1" r:id="rId1"/>
    <sheet name="2.재단(VM)작업" sheetId="12" r:id="rId2"/>
    <sheet name="차열재 재단(VM,VT)" sheetId="2" r:id="rId3"/>
    <sheet name="3. 1절곡(VM)" sheetId="5" r:id="rId4"/>
    <sheet name="5. 차열재 출하용(VM,VT,VAG)" sheetId="9" r:id="rId5"/>
    <sheet name="6. 라벨소요량" sheetId="10" r:id="rId6"/>
    <sheet name="발주서정리" sheetId="11" r:id="rId7"/>
  </sheets>
  <definedNames>
    <definedName name="_xlnm.Print_Area" localSheetId="0">'1. 소켓인수검사'!$A$1:$P$10</definedName>
    <definedName name="_xlnm.Print_Titles" localSheetId="0">'1. 소켓인수검사'!$6:$8</definedName>
    <definedName name="_xlnm.Print_Titles" localSheetId="1">'2.재단(VM)작업'!$5:$7</definedName>
    <definedName name="_xlnm.Print_Titles" localSheetId="3">'3. 1절곡(VM)'!$1:$6</definedName>
    <definedName name="_xlnm.Print_Titles" localSheetId="4">'5. 차열재 출하용(VM,VT,VAG)'!$8:$9</definedName>
    <definedName name="_xlnm.Print_Titles" localSheetId="5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8" i="10" l="1"/>
  <c r="Q7" i="10"/>
  <c r="H1" i="12"/>
  <c r="D9" i="12"/>
  <c r="C9" i="12"/>
  <c r="D8" i="12"/>
  <c r="I8" i="12" s="1"/>
  <c r="C8" i="12"/>
  <c r="G8" i="12" s="1"/>
  <c r="A9" i="12"/>
  <c r="A8" i="12"/>
  <c r="J9" i="12"/>
  <c r="H9" i="12"/>
  <c r="J8" i="12"/>
  <c r="H8" i="12"/>
  <c r="G1" i="2"/>
  <c r="D9" i="2"/>
  <c r="I9" i="2" s="1"/>
  <c r="C9" i="2"/>
  <c r="D8" i="2"/>
  <c r="C8" i="2"/>
  <c r="K1" i="10"/>
  <c r="P5" i="9"/>
  <c r="N5" i="5"/>
  <c r="D1" i="1"/>
  <c r="P9" i="10"/>
  <c r="H9" i="10"/>
  <c r="U8" i="10"/>
  <c r="D8" i="10"/>
  <c r="C8" i="10"/>
  <c r="A8" i="10"/>
  <c r="U7" i="10"/>
  <c r="D7" i="10"/>
  <c r="C7" i="10"/>
  <c r="A7" i="10"/>
  <c r="C11" i="9"/>
  <c r="B11" i="9"/>
  <c r="A11" i="9"/>
  <c r="C10" i="9"/>
  <c r="B10" i="9"/>
  <c r="A10" i="9"/>
  <c r="N12" i="5"/>
  <c r="I12" i="5"/>
  <c r="C12" i="5"/>
  <c r="K12" i="5" s="1"/>
  <c r="B12" i="5"/>
  <c r="H12" i="5" s="1"/>
  <c r="A12" i="5"/>
  <c r="N11" i="5"/>
  <c r="I11" i="5"/>
  <c r="C11" i="5"/>
  <c r="K11" i="5" s="1"/>
  <c r="B11" i="5"/>
  <c r="H11" i="5" s="1"/>
  <c r="A11" i="5"/>
  <c r="A9" i="2"/>
  <c r="A8" i="2"/>
  <c r="G9" i="12" l="1"/>
  <c r="K9" i="12"/>
  <c r="K8" i="12"/>
  <c r="M9" i="12"/>
  <c r="I9" i="12"/>
  <c r="M8" i="12"/>
  <c r="G7" i="10"/>
  <c r="K7" i="10" s="1"/>
  <c r="E10" i="9"/>
  <c r="G9" i="2"/>
  <c r="I8" i="2"/>
  <c r="G8" i="2"/>
  <c r="F7" i="10"/>
  <c r="R7" i="10"/>
  <c r="N9" i="10"/>
  <c r="F10" i="9"/>
  <c r="M10" i="9" s="1"/>
  <c r="O10" i="9" s="1"/>
  <c r="E11" i="9"/>
  <c r="F11" i="9"/>
  <c r="M11" i="9" s="1"/>
  <c r="O11" i="9" s="1"/>
  <c r="J9" i="10"/>
  <c r="L9" i="10"/>
  <c r="R8" i="10"/>
  <c r="G8" i="10"/>
  <c r="F8" i="10"/>
  <c r="O12" i="9" l="1"/>
  <c r="G15" i="9" s="1"/>
  <c r="R9" i="10"/>
  <c r="Q9" i="10"/>
  <c r="K8" i="10"/>
  <c r="I12" i="9" l="1"/>
  <c r="G13" i="9" s="1"/>
  <c r="R12" i="9"/>
  <c r="G16" i="9" s="1"/>
  <c r="L12" i="9"/>
  <c r="G14" i="9" s="1"/>
</calcChain>
</file>

<file path=xl/sharedStrings.xml><?xml version="1.0" encoding="utf-8"?>
<sst xmlns="http://schemas.openxmlformats.org/spreadsheetml/2006/main" count="172" uniqueCount="78">
  <si>
    <t>차열재</t>
  </si>
  <si>
    <t>No</t>
  </si>
  <si>
    <t>비고</t>
  </si>
  <si>
    <t>합계</t>
  </si>
  <si>
    <t>규격</t>
  </si>
  <si>
    <t>TTL</t>
  </si>
  <si>
    <t>EZ F.B POSMAC Duct-VA-064</t>
  </si>
  <si>
    <t>라벨소요량(행복산업_KEC 구미공장_251128)</t>
  </si>
  <si>
    <t>25*
1400</t>
  </si>
  <si>
    <t>*VM 200(1000*1000)기준</t>
  </si>
  <si>
    <t>수량                확인</t>
  </si>
  <si>
    <t>차열재 50T*400*3.6M</t>
  </si>
  <si>
    <t>글라스울 25T*1400*20M</t>
  </si>
  <si>
    <t>차열재 50T*600*3.6M</t>
  </si>
  <si>
    <t>설비번호</t>
  </si>
  <si>
    <t>설치위치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</si>
  <si>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</si>
  <si>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</si>
  <si>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</si>
  <si>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</si>
  <si>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</si>
  <si>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</si>
  <si>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</si>
  <si>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</si>
  <si>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</si>
  <si>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</si>
  <si>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</si>
  <si>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</si>
  <si>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</si>
  <si>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</si>
  <si>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</si>
  <si>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</si>
  <si>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</si>
  <si>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</si>
  <si>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</si>
  <si>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</si>
  <si>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</si>
  <si>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</si>
  <si>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분할구조</t>
  </si>
  <si>
    <t>FS-MP25-0310-4</t>
  </si>
  <si>
    <t>차열재생산일지(출하용)</t>
  </si>
  <si>
    <t>특이사항 및
 조치사항</t>
  </si>
  <si>
    <t>특이사항 및   조치사항</t>
  </si>
  <si>
    <t>VA-064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</si>
  <si>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</si>
  <si>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</si>
  <si>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</si>
  <si>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</si>
  <si>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</si>
  <si>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</si>
  <si>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</si>
  <si>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</si>
  <si>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</si>
  <si>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</si>
  <si>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</si>
  <si>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</si>
  <si>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</si>
  <si>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</si>
  <si>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</si>
  <si>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</si>
  <si>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</si>
  <si>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2" type="noConversion"/>
  </si>
  <si>
    <t>재단작업지시서(VM)</t>
    <phoneticPr fontId="22" type="noConversion"/>
  </si>
  <si>
    <t>절 곡 생 산 일 지(VM)</t>
    <phoneticPr fontId="22" type="noConversion"/>
  </si>
  <si>
    <t>라벨소요량</t>
    <phoneticPr fontId="22" type="noConversion"/>
  </si>
  <si>
    <t>25*
200</t>
    <phoneticPr fontId="22" type="noConversion"/>
  </si>
  <si>
    <t>구조체작업지시서</t>
    <phoneticPr fontId="22" type="noConversion"/>
  </si>
  <si>
    <t>차열재 25T*200*7.4M</t>
    <phoneticPr fontId="22" type="noConversion"/>
  </si>
  <si>
    <t>재단작업지시서차열재</t>
    <phoneticPr fontId="22" type="noConversion"/>
  </si>
  <si>
    <t>엘레베이트</t>
  </si>
  <si>
    <t>PT구간</t>
  </si>
  <si>
    <t>01</t>
    <phoneticPr fontId="22" type="noConversion"/>
  </si>
  <si>
    <t>02</t>
    <phoneticPr fontId="22" type="noConversion"/>
  </si>
  <si>
    <t>단면시공</t>
    <phoneticPr fontId="22" type="noConversion"/>
  </si>
  <si>
    <t xml:space="preserve"> - 단면시공</t>
    <phoneticPr fontId="22" type="noConversion"/>
  </si>
  <si>
    <t>CM001</t>
    <phoneticPr fontId="22" type="noConversion"/>
  </si>
  <si>
    <t>CM002</t>
  </si>
  <si>
    <r>
      <t xml:space="preserve">26.06.15 </t>
    </r>
    <r>
      <rPr>
        <sz val="10"/>
        <color rgb="FF000000"/>
        <rFont val="맑은 고딕"/>
        <family val="3"/>
        <charset val="129"/>
      </rPr>
      <t>행복산업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새한에이치테크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이문타워</t>
    </r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</si>
</sst>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29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0"/>
      <color rgb="FF002060"/>
      <name val="Helvetica Neue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0" fillId="0" borderId="1" xfId="0" applyBorder="1" applyAlignment="1">
      <alignment horizontal="center" vertical="center"/>
    </xf>
    <xf numFmtId="0" fontId="21" fillId="0" borderId="0">
      <alignment vertical="center"/>
    </xf>
    <xf numFmtId="176" fontId="21" fillId="0" borderId="0">
      <alignment vertical="center"/>
    </xf>
    <xf numFmtId="0" fontId="1" fillId="0" borderId="0">
      <alignment vertical="center"/>
    </xf>
  </cellStyleXfs>
  <cellXfs count="22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0" xfId="2">
      <alignment vertical="center"/>
    </xf>
    <xf numFmtId="0" fontId="21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6" fontId="21" fillId="0" borderId="6" xfId="3" applyBorder="1" applyAlignment="1">
      <alignment horizontal="center" vertical="center"/>
    </xf>
    <xf numFmtId="176" fontId="21" fillId="0" borderId="7" xfId="3" applyBorder="1" applyAlignment="1">
      <alignment horizontal="center" vertical="center"/>
    </xf>
    <xf numFmtId="176" fontId="21" fillId="0" borderId="8" xfId="3" applyBorder="1" applyAlignment="1">
      <alignment horizontal="center" vertical="center"/>
    </xf>
    <xf numFmtId="176" fontId="21" fillId="0" borderId="10" xfId="3" applyBorder="1" applyAlignment="1">
      <alignment horizontal="center" vertical="center"/>
    </xf>
    <xf numFmtId="176" fontId="21" fillId="0" borderId="12" xfId="3" applyBorder="1" applyAlignment="1">
      <alignment horizontal="center" vertical="center"/>
    </xf>
    <xf numFmtId="0" fontId="21" fillId="0" borderId="15" xfId="2" applyBorder="1" applyAlignment="1">
      <alignment horizontal="center" vertical="center"/>
    </xf>
    <xf numFmtId="0" fontId="6" fillId="0" borderId="16" xfId="2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1" fillId="0" borderId="16" xfId="2" applyBorder="1" applyAlignment="1">
      <alignment horizontal="center" vertical="center" wrapText="1"/>
    </xf>
    <xf numFmtId="0" fontId="7" fillId="0" borderId="16" xfId="4" applyFont="1" applyBorder="1" applyAlignment="1">
      <alignment horizontal="center" vertical="center" wrapText="1"/>
    </xf>
    <xf numFmtId="0" fontId="21" fillId="0" borderId="17" xfId="2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8" fillId="0" borderId="16" xfId="4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177" fontId="6" fillId="0" borderId="16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shrinkToFit="1"/>
    </xf>
    <xf numFmtId="0" fontId="11" fillId="0" borderId="16" xfId="0" applyFont="1" applyBorder="1" applyAlignment="1">
      <alignment horizontal="center" vertical="center" shrinkToFit="1"/>
    </xf>
    <xf numFmtId="0" fontId="12" fillId="0" borderId="17" xfId="0" applyFont="1" applyBorder="1" applyAlignment="1">
      <alignment horizontal="center" vertical="center" shrinkToFit="1"/>
    </xf>
    <xf numFmtId="0" fontId="9" fillId="4" borderId="16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3" fillId="5" borderId="16" xfId="4" applyFont="1" applyFill="1" applyBorder="1" applyAlignment="1">
      <alignment horizontal="center" vertical="center" wrapText="1"/>
    </xf>
    <xf numFmtId="0" fontId="5" fillId="0" borderId="16" xfId="2" applyFont="1" applyBorder="1" applyAlignment="1">
      <alignment horizontal="center" vertical="center" wrapText="1"/>
    </xf>
    <xf numFmtId="0" fontId="16" fillId="0" borderId="16" xfId="4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21" xfId="0" applyBorder="1">
      <alignment vertical="center"/>
    </xf>
    <xf numFmtId="0" fontId="0" fillId="4" borderId="18" xfId="0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0" borderId="0" xfId="1" applyFont="1" applyBorder="1" applyAlignment="1">
      <alignment vertical="center"/>
    </xf>
    <xf numFmtId="0" fontId="1" fillId="8" borderId="0" xfId="4" applyFill="1">
      <alignment vertical="center"/>
    </xf>
    <xf numFmtId="0" fontId="1" fillId="0" borderId="33" xfId="4" applyBorder="1" applyAlignment="1">
      <alignment vertical="top" wrapText="1"/>
    </xf>
    <xf numFmtId="0" fontId="2" fillId="0" borderId="16" xfId="4" applyFont="1" applyBorder="1" applyAlignment="1">
      <alignment horizontal="center" vertical="center" wrapText="1"/>
    </xf>
    <xf numFmtId="0" fontId="2" fillId="0" borderId="17" xfId="4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3" fillId="0" borderId="28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1" fillId="0" borderId="15" xfId="4" quotePrefix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3" xfId="2" applyFont="1" applyFill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/>
    </xf>
    <xf numFmtId="0" fontId="14" fillId="0" borderId="16" xfId="2" applyFont="1" applyBorder="1" applyAlignment="1">
      <alignment horizontal="center" vertical="center" wrapText="1"/>
    </xf>
    <xf numFmtId="178" fontId="14" fillId="0" borderId="16" xfId="2" applyNumberFormat="1" applyFont="1" applyBorder="1" applyAlignment="1">
      <alignment horizontal="center" vertical="center" wrapText="1"/>
    </xf>
    <xf numFmtId="0" fontId="15" fillId="0" borderId="16" xfId="2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 wrapText="1"/>
    </xf>
    <xf numFmtId="0" fontId="25" fillId="5" borderId="16" xfId="4" applyFont="1" applyFill="1" applyBorder="1" applyAlignment="1">
      <alignment horizontal="center" vertical="center" wrapText="1"/>
    </xf>
    <xf numFmtId="177" fontId="6" fillId="4" borderId="16" xfId="0" applyNumberFormat="1" applyFont="1" applyFill="1" applyBorder="1" applyAlignment="1">
      <alignment horizontal="center" vertical="center" wrapText="1"/>
    </xf>
    <xf numFmtId="0" fontId="23" fillId="0" borderId="33" xfId="4" applyFont="1" applyBorder="1" applyAlignment="1">
      <alignment horizontal="center" vertical="center" wrapText="1"/>
    </xf>
    <xf numFmtId="0" fontId="23" fillId="0" borderId="35" xfId="4" applyFont="1" applyBorder="1" applyAlignment="1">
      <alignment horizontal="center" vertical="center" wrapText="1"/>
    </xf>
    <xf numFmtId="0" fontId="23" fillId="0" borderId="0" xfId="4" applyFont="1" applyAlignment="1">
      <alignment horizontal="center" vertical="center" wrapText="1"/>
    </xf>
    <xf numFmtId="0" fontId="23" fillId="0" borderId="37" xfId="4" applyFont="1" applyBorder="1" applyAlignment="1">
      <alignment horizontal="center" vertical="center" wrapText="1"/>
    </xf>
    <xf numFmtId="0" fontId="23" fillId="0" borderId="32" xfId="4" applyFont="1" applyBorder="1" applyAlignment="1">
      <alignment horizontal="center" vertical="center" wrapText="1"/>
    </xf>
    <xf numFmtId="0" fontId="24" fillId="0" borderId="33" xfId="4" applyFont="1" applyBorder="1" applyAlignment="1">
      <alignment horizontal="center" vertical="center" shrinkToFit="1"/>
    </xf>
    <xf numFmtId="0" fontId="24" fillId="0" borderId="34" xfId="4" applyFont="1" applyBorder="1" applyAlignment="1">
      <alignment horizontal="center" vertical="center" shrinkToFit="1"/>
    </xf>
    <xf numFmtId="0" fontId="24" fillId="0" borderId="0" xfId="4" applyFont="1" applyAlignment="1">
      <alignment horizontal="center" vertical="center" shrinkToFit="1"/>
    </xf>
    <xf numFmtId="0" fontId="24" fillId="0" borderId="36" xfId="4" applyFont="1" applyBorder="1" applyAlignment="1">
      <alignment horizontal="center" vertical="center" shrinkToFit="1"/>
    </xf>
    <xf numFmtId="0" fontId="24" fillId="0" borderId="32" xfId="4" applyFont="1" applyBorder="1" applyAlignment="1">
      <alignment horizontal="center" vertical="center" shrinkToFit="1"/>
    </xf>
    <xf numFmtId="0" fontId="24" fillId="0" borderId="38" xfId="4" applyFont="1" applyBorder="1" applyAlignment="1">
      <alignment horizontal="center" vertical="center" shrinkToFit="1"/>
    </xf>
    <xf numFmtId="0" fontId="0" fillId="0" borderId="19" xfId="0" applyBorder="1" applyAlignment="1">
      <alignment horizontal="center" vertical="center"/>
    </xf>
    <xf numFmtId="0" fontId="1" fillId="6" borderId="15" xfId="4" applyFill="1" applyBorder="1" applyAlignment="1">
      <alignment horizontal="center" vertical="center" wrapText="1"/>
    </xf>
    <xf numFmtId="0" fontId="2" fillId="6" borderId="13" xfId="4" applyFont="1" applyFill="1" applyBorder="1" applyAlignment="1">
      <alignment horizontal="center" vertical="center" wrapText="1"/>
    </xf>
    <xf numFmtId="0" fontId="2" fillId="6" borderId="16" xfId="4" applyFont="1" applyFill="1" applyBorder="1" applyAlignment="1">
      <alignment horizontal="center" vertical="center" wrapText="1"/>
    </xf>
    <xf numFmtId="0" fontId="2" fillId="6" borderId="14" xfId="4" applyFont="1" applyFill="1" applyBorder="1" applyAlignment="1">
      <alignment horizontal="center" vertical="center" wrapText="1"/>
    </xf>
    <xf numFmtId="0" fontId="2" fillId="6" borderId="17" xfId="4" applyFont="1" applyFill="1" applyBorder="1" applyAlignment="1">
      <alignment horizontal="center" vertical="center" wrapText="1"/>
    </xf>
    <xf numFmtId="0" fontId="3" fillId="0" borderId="24" xfId="4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3" borderId="4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3" fillId="0" borderId="22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28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3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3" fillId="0" borderId="27" xfId="2" applyFont="1" applyBorder="1" applyAlignment="1">
      <alignment horizontal="center" vertical="center" shrinkToFit="1"/>
    </xf>
    <xf numFmtId="0" fontId="21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26" xfId="2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 shrinkToFit="1"/>
    </xf>
    <xf numFmtId="0" fontId="27" fillId="0" borderId="11" xfId="0" applyFont="1" applyBorder="1" applyAlignment="1">
      <alignment horizontal="center" vertical="center" wrapText="1" shrinkToFit="1"/>
    </xf>
    <xf numFmtId="0" fontId="27" fillId="0" borderId="28" xfId="0" applyFont="1" applyBorder="1" applyAlignment="1">
      <alignment horizontal="center" vertical="center" wrapText="1" shrinkToFit="1"/>
    </xf>
    <xf numFmtId="0" fontId="27" fillId="0" borderId="0" xfId="0" applyFont="1" applyAlignment="1">
      <alignment horizontal="center" vertical="center" wrapText="1" shrinkToFit="1"/>
    </xf>
    <xf numFmtId="0" fontId="27" fillId="0" borderId="23" xfId="0" applyFont="1" applyBorder="1" applyAlignment="1">
      <alignment horizontal="center" vertical="center" wrapText="1" shrinkToFit="1"/>
    </xf>
    <xf numFmtId="0" fontId="27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9" fillId="0" borderId="22" xfId="2" applyFont="1" applyBorder="1" applyAlignment="1">
      <alignment horizontal="center" vertical="center" shrinkToFit="1"/>
    </xf>
    <xf numFmtId="0" fontId="19" fillId="0" borderId="11" xfId="2" applyFont="1" applyBorder="1" applyAlignment="1">
      <alignment horizontal="center" vertical="center" shrinkToFit="1"/>
    </xf>
    <xf numFmtId="0" fontId="19" fillId="0" borderId="3" xfId="2" applyFont="1" applyBorder="1" applyAlignment="1">
      <alignment horizontal="center" vertical="center" shrinkToFit="1"/>
    </xf>
    <xf numFmtId="0" fontId="19" fillId="0" borderId="28" xfId="2" applyFont="1" applyBorder="1" applyAlignment="1">
      <alignment horizontal="center" vertical="center" shrinkToFit="1"/>
    </xf>
    <xf numFmtId="0" fontId="19" fillId="0" borderId="0" xfId="2" applyFont="1" applyAlignment="1">
      <alignment horizontal="center" vertical="center" shrinkToFit="1"/>
    </xf>
    <xf numFmtId="0" fontId="19" fillId="0" borderId="29" xfId="2" applyFont="1" applyBorder="1" applyAlignment="1">
      <alignment horizontal="center" vertical="center" shrinkToFit="1"/>
    </xf>
    <xf numFmtId="0" fontId="19" fillId="0" borderId="23" xfId="2" applyFont="1" applyBorder="1" applyAlignment="1">
      <alignment horizontal="center" vertical="center" shrinkToFit="1"/>
    </xf>
    <xf numFmtId="0" fontId="19" fillId="0" borderId="2" xfId="2" applyFont="1" applyBorder="1" applyAlignment="1">
      <alignment horizontal="center" vertical="center" shrinkToFit="1"/>
    </xf>
    <xf numFmtId="0" fontId="19" fillId="0" borderId="27" xfId="2" applyFont="1" applyBorder="1" applyAlignment="1">
      <alignment horizontal="center" vertical="center" shrinkToFit="1"/>
    </xf>
    <xf numFmtId="0" fontId="21" fillId="0" borderId="4" xfId="2" applyBorder="1" applyAlignment="1">
      <alignment horizontal="center" vertical="center"/>
    </xf>
    <xf numFmtId="0" fontId="21" fillId="0" borderId="26" xfId="2" applyBorder="1" applyAlignment="1">
      <alignment horizontal="center" vertical="center"/>
    </xf>
    <xf numFmtId="0" fontId="26" fillId="0" borderId="1" xfId="2" applyFont="1" applyBorder="1" applyAlignment="1">
      <alignment horizontal="center" vertical="center" wrapText="1"/>
    </xf>
    <xf numFmtId="0" fontId="21" fillId="0" borderId="19" xfId="2" applyBorder="1" applyAlignment="1">
      <alignment horizontal="center" vertical="center"/>
    </xf>
    <xf numFmtId="0" fontId="21" fillId="0" borderId="15" xfId="2" applyBorder="1" applyAlignment="1">
      <alignment horizontal="center" vertical="center"/>
    </xf>
    <xf numFmtId="0" fontId="6" fillId="0" borderId="13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178" fontId="21" fillId="0" borderId="16" xfId="2" applyNumberFormat="1" applyBorder="1" applyAlignment="1">
      <alignment horizontal="center" vertical="center" wrapText="1"/>
    </xf>
    <xf numFmtId="0" fontId="21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6" fillId="0" borderId="22" xfId="0" applyFont="1" applyBorder="1" applyAlignment="1">
      <alignment horizontal="center" vertical="center" wrapText="1" shrinkToFit="1"/>
    </xf>
    <xf numFmtId="0" fontId="26" fillId="0" borderId="11" xfId="0" applyFont="1" applyBorder="1" applyAlignment="1">
      <alignment horizontal="center" vertical="center" wrapText="1" shrinkToFit="1"/>
    </xf>
    <xf numFmtId="0" fontId="26" fillId="0" borderId="3" xfId="0" applyFont="1" applyBorder="1" applyAlignment="1">
      <alignment horizontal="center" vertical="center" wrapText="1" shrinkToFit="1"/>
    </xf>
    <xf numFmtId="0" fontId="26" fillId="0" borderId="23" xfId="0" applyFont="1" applyBorder="1" applyAlignment="1">
      <alignment horizontal="center" vertical="center" wrapText="1" shrinkToFit="1"/>
    </xf>
    <xf numFmtId="0" fontId="26" fillId="0" borderId="2" xfId="0" applyFont="1" applyBorder="1" applyAlignment="1">
      <alignment horizontal="center" vertical="center" wrapText="1" shrinkToFit="1"/>
    </xf>
    <xf numFmtId="0" fontId="26" fillId="0" borderId="27" xfId="0" applyFont="1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177" fontId="0" fillId="2" borderId="31" xfId="0" applyNumberFormat="1" applyFill="1" applyBorder="1" applyAlignment="1">
      <alignment horizontal="center" vertical="center" wrapText="1"/>
    </xf>
    <xf numFmtId="177" fontId="0" fillId="2" borderId="25" xfId="0" applyNumberFormat="1" applyFill="1" applyBorder="1" applyAlignment="1">
      <alignment horizontal="center" vertical="center" wrapText="1"/>
    </xf>
    <xf numFmtId="177" fontId="0" fillId="2" borderId="26" xfId="0" applyNumberForma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1" fillId="0" borderId="22" xfId="0" quotePrefix="1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18" fillId="0" borderId="13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10"/>
  <sheetViews>
    <sheetView tabSelected="1" view="pageBreakPreview" zoomScale="120" zoomScaleNormal="120" zoomScaleSheetLayoutView="120" workbookViewId="0">
      <pane ySplit="8" topLeftCell="A9" activePane="bottomLeft" state="frozen"/>
      <selection pane="bottomLeft" activeCell="Q9" sqref="Q9:Q10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" t="s">
        <v>66</v>
      </c>
      <c r="B1" s="78"/>
      <c r="C1" s="78"/>
      <c r="D1" s="83" t="str">
        <f>R2</f>
        <v>26.06.15 행복산업_새한에이치테크_이문타워</v>
      </c>
      <c r="E1" s="83"/>
      <c r="F1" s="83"/>
      <c r="G1" s="84"/>
      <c r="R1" s="8" t="s">
        <v>61</v>
      </c>
    </row>
    <row r="2" spans="1:18" ht="16.5" customHeight="1">
      <c r="A2" s="79"/>
      <c r="B2" s="80"/>
      <c r="C2" s="80"/>
      <c r="D2" s="85"/>
      <c r="E2" s="85"/>
      <c r="F2" s="85"/>
      <c r="G2" s="86"/>
      <c r="R2" s="58" t="s">
        <v>77</v>
      </c>
    </row>
    <row r="3" spans="1:18" ht="16.5" customHeight="1">
      <c r="A3" s="79"/>
      <c r="B3" s="80"/>
      <c r="C3" s="80"/>
      <c r="D3" s="85"/>
      <c r="E3" s="85"/>
      <c r="F3" s="85"/>
      <c r="G3" s="86"/>
    </row>
    <row r="4" spans="1:18" ht="17.25" customHeight="1" thickBot="1">
      <c r="A4" s="81"/>
      <c r="B4" s="82"/>
      <c r="C4" s="82"/>
      <c r="D4" s="87"/>
      <c r="E4" s="87"/>
      <c r="F4" s="87"/>
      <c r="G4" s="88"/>
    </row>
    <row r="5" spans="1:18" ht="6.75" customHeight="1" thickTop="1">
      <c r="A5" s="59"/>
      <c r="B5" s="59"/>
      <c r="C5" s="59"/>
      <c r="D5" s="59"/>
      <c r="E5" s="59"/>
      <c r="F5" s="59"/>
      <c r="G5" s="59"/>
    </row>
    <row r="6" spans="1:18" s="10" customFormat="1" ht="18" customHeight="1" thickBot="1">
      <c r="A6" s="89" t="s">
        <v>1</v>
      </c>
      <c r="B6" s="91" t="s">
        <v>60</v>
      </c>
      <c r="C6" s="91" t="s">
        <v>4</v>
      </c>
      <c r="D6" s="91"/>
      <c r="E6" s="91" t="s">
        <v>38</v>
      </c>
      <c r="F6" s="91" t="s">
        <v>35</v>
      </c>
      <c r="G6" s="93" t="s">
        <v>15</v>
      </c>
      <c r="H6" s="9"/>
      <c r="I6" s="95" t="s">
        <v>9</v>
      </c>
      <c r="J6" s="95"/>
      <c r="K6" s="95"/>
      <c r="L6" s="95"/>
      <c r="M6" s="95"/>
      <c r="N6" s="95"/>
      <c r="O6" s="8"/>
    </row>
    <row r="7" spans="1:18" s="10" customFormat="1" ht="18" customHeight="1">
      <c r="A7" s="90"/>
      <c r="B7" s="92"/>
      <c r="C7" s="92" t="s">
        <v>57</v>
      </c>
      <c r="D7" s="92" t="s">
        <v>55</v>
      </c>
      <c r="E7" s="92"/>
      <c r="F7" s="92"/>
      <c r="G7" s="94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90"/>
      <c r="B8" s="92"/>
      <c r="C8" s="92"/>
      <c r="D8" s="92"/>
      <c r="E8" s="92"/>
      <c r="F8" s="92"/>
      <c r="G8" s="94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66" t="s">
        <v>71</v>
      </c>
      <c r="B9" s="44" t="s">
        <v>43</v>
      </c>
      <c r="C9" s="24">
        <v>1400</v>
      </c>
      <c r="D9" s="24">
        <v>400</v>
      </c>
      <c r="E9" s="60" t="s">
        <v>73</v>
      </c>
      <c r="F9" s="60"/>
      <c r="G9" s="61" t="s">
        <v>69</v>
      </c>
      <c r="H9" s="13"/>
      <c r="I9" s="21"/>
      <c r="J9" s="20"/>
      <c r="K9" s="17"/>
      <c r="L9" s="18"/>
      <c r="M9" s="19"/>
      <c r="N9" s="20"/>
      <c r="O9" s="8"/>
      <c r="Q9" s="10" t="s">
        <v>75</v>
      </c>
    </row>
    <row r="10" spans="1:18" s="10" customFormat="1" ht="18" customHeight="1">
      <c r="A10" s="66" t="s">
        <v>72</v>
      </c>
      <c r="B10" s="44" t="s">
        <v>43</v>
      </c>
      <c r="C10" s="24">
        <v>1400</v>
      </c>
      <c r="D10" s="24">
        <v>400</v>
      </c>
      <c r="E10" s="46" t="s">
        <v>73</v>
      </c>
      <c r="F10" s="60"/>
      <c r="G10" s="61" t="s">
        <v>70</v>
      </c>
      <c r="H10" s="13"/>
      <c r="I10" s="21"/>
      <c r="J10" s="20"/>
      <c r="K10" s="17"/>
      <c r="L10" s="18"/>
      <c r="M10" s="19"/>
      <c r="N10" s="20"/>
      <c r="O10" s="8"/>
      <c r="Q10" s="10" t="s">
        <v>76</v>
      </c>
    </row>
  </sheetData>
  <mergeCells count="11"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22" type="noConversion"/>
  <pageMargins left="0.23597222566604614" right="0.23597222566604614" top="0.74750000238418579" bottom="0.74750000238418579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13"/>
  <sheetViews>
    <sheetView zoomScaleNormal="100" zoomScaleSheetLayoutView="100" workbookViewId="0">
      <selection activeCell="I41" sqref="I41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1"/>
      <c r="B1" s="1"/>
      <c r="C1" s="1"/>
      <c r="D1" s="1"/>
      <c r="E1" s="104" t="s">
        <v>62</v>
      </c>
      <c r="F1" s="105"/>
      <c r="G1" s="105"/>
      <c r="H1" s="105" t="str">
        <f>'1. 소켓인수검사'!R2</f>
        <v>26.06.15 행복산업_새한에이치테크_이문타워</v>
      </c>
      <c r="I1" s="105"/>
      <c r="J1" s="105"/>
      <c r="K1" s="105"/>
      <c r="L1" s="105"/>
      <c r="M1" s="105"/>
      <c r="N1" s="105"/>
      <c r="O1" s="110"/>
    </row>
    <row r="2" spans="1:15" ht="16.5" customHeight="1">
      <c r="A2" s="1"/>
      <c r="B2" s="1"/>
      <c r="C2" s="1"/>
      <c r="D2" s="1"/>
      <c r="E2" s="106"/>
      <c r="F2" s="107"/>
      <c r="G2" s="107"/>
      <c r="H2" s="107"/>
      <c r="I2" s="107"/>
      <c r="J2" s="107"/>
      <c r="K2" s="107"/>
      <c r="L2" s="107"/>
      <c r="M2" s="107"/>
      <c r="N2" s="107"/>
      <c r="O2" s="111"/>
    </row>
    <row r="3" spans="1:15" ht="16.5" customHeight="1">
      <c r="A3" s="1"/>
      <c r="B3" s="1"/>
      <c r="C3" s="1"/>
      <c r="D3" s="1"/>
      <c r="E3" s="108"/>
      <c r="F3" s="109"/>
      <c r="G3" s="109"/>
      <c r="H3" s="109"/>
      <c r="I3" s="109"/>
      <c r="J3" s="109"/>
      <c r="K3" s="109"/>
      <c r="L3" s="109"/>
      <c r="M3" s="109"/>
      <c r="N3" s="109"/>
      <c r="O3" s="112"/>
    </row>
    <row r="4" spans="1:15" ht="8.1" customHeight="1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1:15" ht="26.45" customHeight="1">
      <c r="A5" s="114" t="s">
        <v>50</v>
      </c>
      <c r="B5" s="115" t="s">
        <v>60</v>
      </c>
      <c r="C5" s="103" t="s">
        <v>4</v>
      </c>
      <c r="D5" s="103"/>
      <c r="E5" s="103" t="s">
        <v>21</v>
      </c>
      <c r="F5" s="100" t="s">
        <v>48</v>
      </c>
      <c r="G5" s="98" t="s">
        <v>17</v>
      </c>
      <c r="H5" s="99"/>
      <c r="I5" s="99"/>
      <c r="J5" s="118"/>
      <c r="K5" s="98" t="s">
        <v>31</v>
      </c>
      <c r="L5" s="99"/>
      <c r="M5" s="99"/>
      <c r="N5" s="99"/>
      <c r="O5" s="100" t="s">
        <v>2</v>
      </c>
    </row>
    <row r="6" spans="1:15" ht="16.5" customHeight="1">
      <c r="A6" s="114"/>
      <c r="B6" s="116"/>
      <c r="C6" s="103" t="s">
        <v>57</v>
      </c>
      <c r="D6" s="103" t="s">
        <v>55</v>
      </c>
      <c r="E6" s="103"/>
      <c r="F6" s="101"/>
      <c r="G6" s="103" t="s">
        <v>57</v>
      </c>
      <c r="H6" s="103"/>
      <c r="I6" s="103" t="s">
        <v>55</v>
      </c>
      <c r="J6" s="103"/>
      <c r="K6" s="103" t="s">
        <v>59</v>
      </c>
      <c r="L6" s="103"/>
      <c r="M6" s="98" t="s">
        <v>56</v>
      </c>
      <c r="N6" s="99"/>
      <c r="O6" s="101"/>
    </row>
    <row r="7" spans="1:15">
      <c r="A7" s="114"/>
      <c r="B7" s="117"/>
      <c r="C7" s="103"/>
      <c r="D7" s="103"/>
      <c r="E7" s="103"/>
      <c r="F7" s="102"/>
      <c r="G7" s="67" t="s">
        <v>4</v>
      </c>
      <c r="H7" s="67" t="s">
        <v>28</v>
      </c>
      <c r="I7" s="70" t="s">
        <v>4</v>
      </c>
      <c r="J7" s="69" t="s">
        <v>28</v>
      </c>
      <c r="K7" s="67" t="s">
        <v>4</v>
      </c>
      <c r="L7" s="67" t="s">
        <v>48</v>
      </c>
      <c r="M7" s="67" t="s">
        <v>4</v>
      </c>
      <c r="N7" s="68" t="s">
        <v>48</v>
      </c>
      <c r="O7" s="102"/>
    </row>
    <row r="8" spans="1:15">
      <c r="A8" s="71" t="str">
        <f>'1. 소켓인수검사'!A9</f>
        <v>01</v>
      </c>
      <c r="B8" s="76" t="s">
        <v>43</v>
      </c>
      <c r="C8" s="45">
        <f>'1. 소켓인수검사'!C9</f>
        <v>1400</v>
      </c>
      <c r="D8" s="45">
        <f>'1. 소켓인수검사'!D9</f>
        <v>400</v>
      </c>
      <c r="E8" s="31"/>
      <c r="F8" s="45">
        <v>1</v>
      </c>
      <c r="G8" s="72">
        <f t="shared" ref="G8:G9" si="0">C8-5</f>
        <v>1395</v>
      </c>
      <c r="H8" s="45">
        <f t="shared" ref="H8:H9" si="1">F8*4</f>
        <v>4</v>
      </c>
      <c r="I8" s="73">
        <f t="shared" ref="I8:I9" si="2">D8-30</f>
        <v>370</v>
      </c>
      <c r="J8" s="45">
        <f t="shared" ref="J8:J9" si="3">F8*4</f>
        <v>4</v>
      </c>
      <c r="K8" s="74">
        <f t="shared" ref="K8:K9" si="4">C8+60</f>
        <v>1460</v>
      </c>
      <c r="L8" s="45">
        <v>2</v>
      </c>
      <c r="M8" s="74">
        <f t="shared" ref="M8:M9" si="5">D8</f>
        <v>400</v>
      </c>
      <c r="N8" s="45">
        <v>2</v>
      </c>
      <c r="O8" s="75"/>
    </row>
    <row r="9" spans="1:15">
      <c r="A9" s="71" t="str">
        <f>'1. 소켓인수검사'!A10</f>
        <v>02</v>
      </c>
      <c r="B9" s="76" t="s">
        <v>43</v>
      </c>
      <c r="C9" s="45">
        <f>'1. 소켓인수검사'!C10</f>
        <v>1400</v>
      </c>
      <c r="D9" s="45">
        <f>'1. 소켓인수검사'!D10</f>
        <v>400</v>
      </c>
      <c r="E9" s="31"/>
      <c r="F9" s="45">
        <v>1</v>
      </c>
      <c r="G9" s="72">
        <f t="shared" si="0"/>
        <v>1395</v>
      </c>
      <c r="H9" s="45">
        <f t="shared" si="1"/>
        <v>4</v>
      </c>
      <c r="I9" s="73">
        <f t="shared" si="2"/>
        <v>370</v>
      </c>
      <c r="J9" s="45">
        <f t="shared" si="3"/>
        <v>4</v>
      </c>
      <c r="K9" s="74">
        <f t="shared" si="4"/>
        <v>1460</v>
      </c>
      <c r="L9" s="45">
        <v>2</v>
      </c>
      <c r="M9" s="74">
        <f t="shared" si="5"/>
        <v>400</v>
      </c>
      <c r="N9" s="45">
        <v>2</v>
      </c>
      <c r="O9" s="75"/>
    </row>
    <row r="10" spans="1:15" ht="8.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 t="s">
        <v>41</v>
      </c>
      <c r="B11" s="1"/>
      <c r="C11" s="1"/>
      <c r="D11" s="96" t="s">
        <v>74</v>
      </c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</row>
    <row r="12" spans="1:15">
      <c r="A12" s="1"/>
      <c r="B12" s="1"/>
      <c r="C12" s="1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</row>
    <row r="13" spans="1:15">
      <c r="A13" s="1"/>
      <c r="B13" s="1"/>
      <c r="C13" s="1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</row>
  </sheetData>
  <mergeCells count="21"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  <mergeCell ref="A10:O10"/>
    <mergeCell ref="A11:C13"/>
    <mergeCell ref="D11:O13"/>
    <mergeCell ref="K5:N5"/>
    <mergeCell ref="O5:O7"/>
    <mergeCell ref="C6:C7"/>
    <mergeCell ref="D6:D7"/>
    <mergeCell ref="G6:H6"/>
    <mergeCell ref="I6:J6"/>
    <mergeCell ref="K6:L6"/>
    <mergeCell ref="M6:N6"/>
  </mergeCells>
  <phoneticPr fontId="22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12"/>
  <sheetViews>
    <sheetView zoomScaleNormal="100" zoomScaleSheetLayoutView="100" workbookViewId="0">
      <selection activeCell="K8" sqref="K8:K9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"/>
      <c r="B1" s="1"/>
      <c r="C1" s="1"/>
      <c r="D1" s="1"/>
      <c r="E1" s="121" t="s">
        <v>68</v>
      </c>
      <c r="F1" s="122"/>
      <c r="G1" s="127" t="str">
        <f>'1. 소켓인수검사'!R2</f>
        <v>26.06.15 행복산업_새한에이치테크_이문타워</v>
      </c>
      <c r="H1" s="127"/>
      <c r="I1" s="127"/>
      <c r="J1" s="127"/>
      <c r="K1" s="128"/>
    </row>
    <row r="2" spans="1:11" ht="16.5" customHeight="1">
      <c r="A2" s="1"/>
      <c r="B2" s="1"/>
      <c r="C2" s="1"/>
      <c r="D2" s="1"/>
      <c r="E2" s="123"/>
      <c r="F2" s="124"/>
      <c r="G2" s="129"/>
      <c r="H2" s="129"/>
      <c r="I2" s="129"/>
      <c r="J2" s="129"/>
      <c r="K2" s="130"/>
    </row>
    <row r="3" spans="1:11" ht="16.5" customHeight="1">
      <c r="A3" s="1"/>
      <c r="B3" s="1"/>
      <c r="C3" s="1"/>
      <c r="D3" s="1"/>
      <c r="E3" s="125"/>
      <c r="F3" s="126"/>
      <c r="G3" s="131"/>
      <c r="H3" s="131"/>
      <c r="I3" s="131"/>
      <c r="J3" s="131"/>
      <c r="K3" s="132"/>
    </row>
    <row r="4" spans="1:11" ht="8.1" customHeight="1">
      <c r="A4" s="133"/>
      <c r="B4" s="133"/>
      <c r="C4" s="133"/>
      <c r="D4" s="133"/>
      <c r="E4" s="133"/>
      <c r="F4" s="133"/>
      <c r="G4" s="133"/>
      <c r="H4" s="133"/>
      <c r="I4" s="133"/>
      <c r="J4" s="133"/>
      <c r="K4" s="133"/>
    </row>
    <row r="5" spans="1:11" ht="26.45" customHeight="1">
      <c r="A5" s="134" t="s">
        <v>50</v>
      </c>
      <c r="B5" s="135" t="s">
        <v>60</v>
      </c>
      <c r="C5" s="138" t="s">
        <v>4</v>
      </c>
      <c r="D5" s="138"/>
      <c r="E5" s="138" t="s">
        <v>21</v>
      </c>
      <c r="F5" s="139" t="s">
        <v>48</v>
      </c>
      <c r="G5" s="119" t="s">
        <v>31</v>
      </c>
      <c r="H5" s="120"/>
      <c r="I5" s="120"/>
      <c r="J5" s="120"/>
      <c r="K5" s="139" t="s">
        <v>2</v>
      </c>
    </row>
    <row r="6" spans="1:11" ht="16.5" customHeight="1">
      <c r="A6" s="134"/>
      <c r="B6" s="136"/>
      <c r="C6" s="138" t="s">
        <v>57</v>
      </c>
      <c r="D6" s="138" t="s">
        <v>55</v>
      </c>
      <c r="E6" s="138"/>
      <c r="F6" s="140"/>
      <c r="G6" s="138" t="s">
        <v>59</v>
      </c>
      <c r="H6" s="138"/>
      <c r="I6" s="119" t="s">
        <v>56</v>
      </c>
      <c r="J6" s="120"/>
      <c r="K6" s="140"/>
    </row>
    <row r="7" spans="1:11">
      <c r="A7" s="134"/>
      <c r="B7" s="137"/>
      <c r="C7" s="138"/>
      <c r="D7" s="138"/>
      <c r="E7" s="138"/>
      <c r="F7" s="141"/>
      <c r="G7" s="15" t="s">
        <v>4</v>
      </c>
      <c r="H7" s="15" t="s">
        <v>48</v>
      </c>
      <c r="I7" s="15" t="s">
        <v>4</v>
      </c>
      <c r="J7" s="16" t="s">
        <v>48</v>
      </c>
      <c r="K7" s="141"/>
    </row>
    <row r="8" spans="1:11">
      <c r="A8" s="62" t="str">
        <f>'1. 소켓인수검사'!A9</f>
        <v>01</v>
      </c>
      <c r="B8" s="44" t="s">
        <v>43</v>
      </c>
      <c r="C8" s="30">
        <f>'1. 소켓인수검사'!C9</f>
        <v>1400</v>
      </c>
      <c r="D8" s="30">
        <f>'1. 소켓인수검사'!D9</f>
        <v>400</v>
      </c>
      <c r="E8" s="31"/>
      <c r="F8" s="30">
        <v>1</v>
      </c>
      <c r="G8" s="43">
        <f t="shared" ref="G8:G9" si="0">C8+60</f>
        <v>1460</v>
      </c>
      <c r="H8" s="30">
        <v>2</v>
      </c>
      <c r="I8" s="43">
        <f t="shared" ref="I8:I9" si="1">D8</f>
        <v>400</v>
      </c>
      <c r="J8" s="30">
        <v>2</v>
      </c>
      <c r="K8" s="42"/>
    </row>
    <row r="9" spans="1:11">
      <c r="A9" s="62" t="str">
        <f>'1. 소켓인수검사'!A10</f>
        <v>02</v>
      </c>
      <c r="B9" s="44" t="s">
        <v>43</v>
      </c>
      <c r="C9" s="30">
        <f>'1. 소켓인수검사'!C10</f>
        <v>1400</v>
      </c>
      <c r="D9" s="30">
        <f>'1. 소켓인수검사'!D10</f>
        <v>400</v>
      </c>
      <c r="E9" s="31"/>
      <c r="F9" s="30">
        <v>1</v>
      </c>
      <c r="G9" s="43">
        <f t="shared" si="0"/>
        <v>1460</v>
      </c>
      <c r="H9" s="30">
        <v>2</v>
      </c>
      <c r="I9" s="43">
        <f t="shared" si="1"/>
        <v>400</v>
      </c>
      <c r="J9" s="30">
        <v>2</v>
      </c>
      <c r="K9" s="42"/>
    </row>
    <row r="10" spans="1:11">
      <c r="A10" s="1" t="s">
        <v>41</v>
      </c>
      <c r="B10" s="1"/>
      <c r="C10" s="1"/>
      <c r="D10" s="96" t="s">
        <v>74</v>
      </c>
      <c r="E10" s="97"/>
      <c r="F10" s="97"/>
      <c r="G10" s="97"/>
      <c r="H10" s="97"/>
      <c r="I10" s="97"/>
      <c r="J10" s="97"/>
      <c r="K10" s="97"/>
    </row>
    <row r="11" spans="1:11">
      <c r="A11" s="1"/>
      <c r="B11" s="1"/>
      <c r="C11" s="1"/>
      <c r="D11" s="97"/>
      <c r="E11" s="97"/>
      <c r="F11" s="97"/>
      <c r="G11" s="97"/>
      <c r="H11" s="97"/>
      <c r="I11" s="97"/>
      <c r="J11" s="97"/>
      <c r="K11" s="97"/>
    </row>
    <row r="12" spans="1:11">
      <c r="A12" s="1"/>
      <c r="B12" s="1"/>
      <c r="C12" s="1"/>
      <c r="D12" s="97"/>
      <c r="E12" s="97"/>
      <c r="F12" s="97"/>
      <c r="G12" s="97"/>
      <c r="H12" s="97"/>
      <c r="I12" s="97"/>
      <c r="J12" s="97"/>
      <c r="K12" s="97"/>
    </row>
  </sheetData>
  <mergeCells count="17">
    <mergeCell ref="G6:H6"/>
    <mergeCell ref="I6:J6"/>
    <mergeCell ref="E1:F3"/>
    <mergeCell ref="G1:K3"/>
    <mergeCell ref="A10:C12"/>
    <mergeCell ref="D10:K12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  <mergeCell ref="D6:D7"/>
  </mergeCells>
  <phoneticPr fontId="22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17"/>
  <sheetViews>
    <sheetView zoomScaleNormal="100" zoomScaleSheetLayoutView="100" workbookViewId="0">
      <selection activeCell="P11" sqref="P11:P12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"/>
      <c r="B1" s="1"/>
      <c r="C1" s="1"/>
      <c r="D1" s="1"/>
      <c r="E1" s="142" t="s">
        <v>63</v>
      </c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4"/>
    </row>
    <row r="2" spans="1:16" ht="16.5" customHeight="1">
      <c r="A2" s="1"/>
      <c r="B2" s="1"/>
      <c r="C2" s="1"/>
      <c r="D2" s="1"/>
      <c r="E2" s="145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7"/>
    </row>
    <row r="3" spans="1:16" ht="16.5" customHeight="1">
      <c r="A3" s="1"/>
      <c r="B3" s="1"/>
      <c r="C3" s="1"/>
      <c r="D3" s="1"/>
      <c r="E3" s="145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7"/>
    </row>
    <row r="4" spans="1:16" ht="16.5" customHeight="1">
      <c r="A4" s="1" t="s">
        <v>14</v>
      </c>
      <c r="B4" s="1"/>
      <c r="C4" s="151"/>
      <c r="D4" s="152"/>
      <c r="E4" s="148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50"/>
    </row>
    <row r="5" spans="1:16">
      <c r="A5" s="1" t="s">
        <v>23</v>
      </c>
      <c r="B5" s="1"/>
      <c r="C5" s="1"/>
      <c r="D5" s="1"/>
      <c r="E5" s="6" t="s">
        <v>29</v>
      </c>
      <c r="F5" s="1"/>
      <c r="G5" s="1"/>
      <c r="H5" s="1" t="s">
        <v>53</v>
      </c>
      <c r="I5" s="1"/>
      <c r="J5" s="1"/>
      <c r="K5" s="1" t="s">
        <v>49</v>
      </c>
      <c r="L5" s="1"/>
      <c r="M5" s="1"/>
      <c r="N5" s="153" t="str">
        <f>'1. 소켓인수검사'!R2</f>
        <v>26.06.15 행복산업_새한에이치테크_이문타워</v>
      </c>
      <c r="O5" s="153"/>
      <c r="P5" s="153"/>
    </row>
    <row r="6" spans="1:16">
      <c r="A6" s="1"/>
      <c r="B6" s="1"/>
      <c r="C6" s="1"/>
      <c r="D6" s="1"/>
      <c r="E6" s="6" t="s">
        <v>26</v>
      </c>
      <c r="F6" s="1"/>
      <c r="G6" s="1"/>
      <c r="H6" s="1"/>
      <c r="I6" s="1"/>
      <c r="J6" s="1"/>
      <c r="K6" s="1"/>
      <c r="L6" s="1"/>
      <c r="M6" s="1"/>
      <c r="N6" s="153"/>
      <c r="O6" s="153"/>
      <c r="P6" s="153"/>
    </row>
    <row r="7" spans="1:16" ht="8.1" customHeight="1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</row>
    <row r="8" spans="1:16">
      <c r="A8" s="154" t="s">
        <v>50</v>
      </c>
      <c r="B8" s="156" t="s">
        <v>4</v>
      </c>
      <c r="C8" s="156"/>
      <c r="D8" s="156" t="s">
        <v>25</v>
      </c>
      <c r="E8" s="156" t="s">
        <v>21</v>
      </c>
      <c r="F8" s="156" t="s">
        <v>54</v>
      </c>
      <c r="G8" s="156" t="s">
        <v>24</v>
      </c>
      <c r="H8" s="156"/>
      <c r="I8" s="156"/>
      <c r="J8" s="156"/>
      <c r="K8" s="156"/>
      <c r="L8" s="156"/>
      <c r="M8" s="156"/>
      <c r="N8" s="156"/>
      <c r="O8" s="156"/>
      <c r="P8" s="158" t="s">
        <v>2</v>
      </c>
    </row>
    <row r="9" spans="1:16" ht="16.5" customHeight="1">
      <c r="A9" s="155"/>
      <c r="B9" s="157" t="s">
        <v>57</v>
      </c>
      <c r="C9" s="157" t="s">
        <v>55</v>
      </c>
      <c r="D9" s="157"/>
      <c r="E9" s="157"/>
      <c r="F9" s="157"/>
      <c r="G9" s="157" t="s">
        <v>51</v>
      </c>
      <c r="H9" s="157" t="s">
        <v>57</v>
      </c>
      <c r="I9" s="157"/>
      <c r="J9" s="157" t="s">
        <v>10</v>
      </c>
      <c r="K9" s="157" t="s">
        <v>55</v>
      </c>
      <c r="L9" s="157"/>
      <c r="M9" s="157"/>
      <c r="N9" s="157"/>
      <c r="O9" s="157" t="s">
        <v>10</v>
      </c>
      <c r="P9" s="159"/>
    </row>
    <row r="10" spans="1:16">
      <c r="A10" s="155"/>
      <c r="B10" s="157"/>
      <c r="C10" s="157"/>
      <c r="D10" s="157"/>
      <c r="E10" s="157"/>
      <c r="F10" s="157"/>
      <c r="G10" s="157"/>
      <c r="H10" s="23" t="s">
        <v>4</v>
      </c>
      <c r="I10" s="23" t="s">
        <v>28</v>
      </c>
      <c r="J10" s="157"/>
      <c r="K10" s="157" t="s">
        <v>4</v>
      </c>
      <c r="L10" s="157"/>
      <c r="M10" s="157"/>
      <c r="N10" s="23" t="s">
        <v>28</v>
      </c>
      <c r="O10" s="157"/>
      <c r="P10" s="159"/>
    </row>
    <row r="11" spans="1:16">
      <c r="A11" s="22" t="str">
        <f>'1. 소켓인수검사'!A9</f>
        <v>01</v>
      </c>
      <c r="B11" s="24">
        <f>'1. 소켓인수검사'!C9</f>
        <v>1400</v>
      </c>
      <c r="C11" s="24">
        <f>'1. 소켓인수검사'!D9</f>
        <v>400</v>
      </c>
      <c r="D11" s="25">
        <v>1</v>
      </c>
      <c r="E11" s="26"/>
      <c r="F11" s="25">
        <v>1.6</v>
      </c>
      <c r="G11" s="25"/>
      <c r="H11" s="25">
        <f t="shared" ref="H11:H12" si="0">B11-1</f>
        <v>1399</v>
      </c>
      <c r="I11" s="25">
        <f t="shared" ref="I11:I12" si="1">D11*4</f>
        <v>4</v>
      </c>
      <c r="J11" s="25"/>
      <c r="K11" s="160">
        <f t="shared" ref="K11:K12" si="2">C11-30</f>
        <v>370</v>
      </c>
      <c r="L11" s="160"/>
      <c r="M11" s="160"/>
      <c r="N11" s="25">
        <f t="shared" ref="N11:N12" si="3">D11*4</f>
        <v>4</v>
      </c>
      <c r="O11" s="25"/>
      <c r="P11" s="27"/>
    </row>
    <row r="12" spans="1:16">
      <c r="A12" s="22" t="str">
        <f>'1. 소켓인수검사'!A10</f>
        <v>02</v>
      </c>
      <c r="B12" s="24">
        <f>'1. 소켓인수검사'!C10</f>
        <v>1400</v>
      </c>
      <c r="C12" s="24">
        <f>'1. 소켓인수검사'!D10</f>
        <v>400</v>
      </c>
      <c r="D12" s="25">
        <v>1</v>
      </c>
      <c r="E12" s="26"/>
      <c r="F12" s="25">
        <v>1.6</v>
      </c>
      <c r="G12" s="25"/>
      <c r="H12" s="25">
        <f t="shared" si="0"/>
        <v>1399</v>
      </c>
      <c r="I12" s="25">
        <f t="shared" si="1"/>
        <v>4</v>
      </c>
      <c r="J12" s="25"/>
      <c r="K12" s="160">
        <f t="shared" si="2"/>
        <v>370</v>
      </c>
      <c r="L12" s="160"/>
      <c r="M12" s="160"/>
      <c r="N12" s="25">
        <f t="shared" si="3"/>
        <v>4</v>
      </c>
      <c r="O12" s="25"/>
      <c r="P12" s="27"/>
    </row>
    <row r="13" spans="1:16" ht="8.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61" t="s">
        <v>42</v>
      </c>
      <c r="B14" s="161"/>
      <c r="C14" s="162" t="s">
        <v>74</v>
      </c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</row>
    <row r="15" spans="1:16">
      <c r="A15" s="161"/>
      <c r="B15" s="161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</row>
    <row r="16" spans="1:16">
      <c r="A16" s="161"/>
      <c r="B16" s="161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</row>
    <row r="17" spans="1:16">
      <c r="A17" s="161"/>
      <c r="B17" s="161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</row>
  </sheetData>
  <mergeCells count="33">
    <mergeCell ref="K11:M11"/>
    <mergeCell ref="K12:M12"/>
    <mergeCell ref="A13:P13"/>
    <mergeCell ref="A14:B17"/>
    <mergeCell ref="C14:P17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</mergeCells>
  <phoneticPr fontId="22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21"/>
  <sheetViews>
    <sheetView zoomScaleNormal="100" zoomScaleSheetLayoutView="100" workbookViewId="0">
      <pane ySplit="9" topLeftCell="A10" activePane="bottomLeft" state="frozen"/>
      <selection pane="bottomLeft" activeCell="H30" sqref="H30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"/>
      <c r="B1" s="1"/>
      <c r="C1" s="1"/>
      <c r="D1" s="163" t="s">
        <v>40</v>
      </c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4"/>
      <c r="R1" s="165"/>
      <c r="S1" s="14"/>
    </row>
    <row r="2" spans="1:19">
      <c r="A2" s="1"/>
      <c r="B2" s="1"/>
      <c r="C2" s="1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4"/>
      <c r="R2" s="166"/>
      <c r="S2" s="167"/>
    </row>
    <row r="3" spans="1:19" ht="24" customHeight="1">
      <c r="A3" s="1"/>
      <c r="B3" s="1"/>
      <c r="C3" s="1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4"/>
      <c r="R3" s="166"/>
      <c r="S3" s="167"/>
    </row>
    <row r="4" spans="1:19">
      <c r="A4" s="1" t="s">
        <v>14</v>
      </c>
      <c r="B4" s="1"/>
      <c r="C4" s="1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4"/>
      <c r="R4" s="166"/>
      <c r="S4" s="167"/>
    </row>
    <row r="5" spans="1:19">
      <c r="A5" s="1" t="s">
        <v>23</v>
      </c>
      <c r="B5" s="1"/>
      <c r="C5" s="1"/>
      <c r="D5" s="2" t="s">
        <v>29</v>
      </c>
      <c r="E5" s="168"/>
      <c r="F5" s="169"/>
      <c r="G5" s="170" t="s">
        <v>53</v>
      </c>
      <c r="H5" s="172"/>
      <c r="I5" s="173"/>
      <c r="J5" s="173"/>
      <c r="K5" s="174"/>
      <c r="L5" s="170" t="s">
        <v>18</v>
      </c>
      <c r="M5" s="48"/>
      <c r="N5" s="48"/>
      <c r="O5" s="170" t="s">
        <v>18</v>
      </c>
      <c r="P5" s="177" t="str">
        <f>'1. 소켓인수검사'!R2</f>
        <v>26.06.15 행복산업_새한에이치테크_이문타워</v>
      </c>
      <c r="Q5" s="178"/>
      <c r="R5" s="178"/>
      <c r="S5" s="179"/>
    </row>
    <row r="6" spans="1:19">
      <c r="A6" s="1"/>
      <c r="B6" s="1"/>
      <c r="C6" s="1"/>
      <c r="D6" s="2" t="s">
        <v>26</v>
      </c>
      <c r="E6" s="168"/>
      <c r="F6" s="169"/>
      <c r="G6" s="171"/>
      <c r="H6" s="175"/>
      <c r="I6" s="133"/>
      <c r="J6" s="133"/>
      <c r="K6" s="176"/>
      <c r="L6" s="171"/>
      <c r="M6" s="49"/>
      <c r="N6" s="49"/>
      <c r="O6" s="171"/>
      <c r="P6" s="180"/>
      <c r="Q6" s="181"/>
      <c r="R6" s="181"/>
      <c r="S6" s="182"/>
    </row>
    <row r="7" spans="1:19" ht="8.1" customHeight="1">
      <c r="A7" s="175"/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76"/>
    </row>
    <row r="8" spans="1:19" ht="16.5" customHeight="1">
      <c r="A8" s="89" t="s">
        <v>50</v>
      </c>
      <c r="B8" s="184" t="s">
        <v>57</v>
      </c>
      <c r="C8" s="184" t="s">
        <v>55</v>
      </c>
      <c r="D8" s="184" t="s">
        <v>60</v>
      </c>
      <c r="E8" s="184" t="s">
        <v>45</v>
      </c>
      <c r="F8" s="184" t="s">
        <v>52</v>
      </c>
      <c r="G8" s="184" t="s">
        <v>20</v>
      </c>
      <c r="H8" s="184"/>
      <c r="I8" s="184"/>
      <c r="J8" s="184" t="s">
        <v>0</v>
      </c>
      <c r="K8" s="184"/>
      <c r="L8" s="184"/>
      <c r="M8" s="184" t="s">
        <v>0</v>
      </c>
      <c r="N8" s="184"/>
      <c r="O8" s="184"/>
      <c r="P8" s="184" t="s">
        <v>0</v>
      </c>
      <c r="Q8" s="184"/>
      <c r="R8" s="184"/>
      <c r="S8" s="186"/>
    </row>
    <row r="9" spans="1:19" ht="33" customHeight="1">
      <c r="A9" s="183"/>
      <c r="B9" s="185"/>
      <c r="C9" s="185"/>
      <c r="D9" s="185"/>
      <c r="E9" s="185"/>
      <c r="F9" s="185"/>
      <c r="G9" s="51" t="s">
        <v>30</v>
      </c>
      <c r="H9" s="51" t="s">
        <v>48</v>
      </c>
      <c r="I9" s="51" t="s">
        <v>47</v>
      </c>
      <c r="J9" s="51" t="s">
        <v>16</v>
      </c>
      <c r="K9" s="51" t="s">
        <v>48</v>
      </c>
      <c r="L9" s="51" t="s">
        <v>47</v>
      </c>
      <c r="M9" s="51" t="s">
        <v>22</v>
      </c>
      <c r="N9" s="51" t="s">
        <v>48</v>
      </c>
      <c r="O9" s="51" t="s">
        <v>47</v>
      </c>
      <c r="P9" s="51" t="s">
        <v>19</v>
      </c>
      <c r="Q9" s="51" t="s">
        <v>48</v>
      </c>
      <c r="R9" s="185" t="s">
        <v>47</v>
      </c>
      <c r="S9" s="187"/>
    </row>
    <row r="10" spans="1:19">
      <c r="A10" s="41" t="str">
        <f>'1. 소켓인수검사'!A9</f>
        <v>01</v>
      </c>
      <c r="B10" s="30">
        <f>'1. 소켓인수검사'!C9</f>
        <v>1400</v>
      </c>
      <c r="C10" s="30">
        <f>'1. 소켓인수검사'!D9</f>
        <v>400</v>
      </c>
      <c r="D10" s="44" t="s">
        <v>43</v>
      </c>
      <c r="E10" s="47">
        <f>B10*C10/1000000</f>
        <v>0.56000000000000005</v>
      </c>
      <c r="F10" s="47">
        <f>(B10+C10)*2/1000</f>
        <v>3.6</v>
      </c>
      <c r="G10" s="24"/>
      <c r="H10" s="30"/>
      <c r="I10" s="24"/>
      <c r="J10" s="24"/>
      <c r="K10" s="30"/>
      <c r="L10" s="24"/>
      <c r="M10" s="24">
        <f>F10+0.5</f>
        <v>4.0999999999999996</v>
      </c>
      <c r="N10" s="30">
        <v>2</v>
      </c>
      <c r="O10" s="24">
        <f>+N10*M10</f>
        <v>8.1999999999999993</v>
      </c>
      <c r="P10" s="24"/>
      <c r="Q10" s="30"/>
      <c r="R10" s="188"/>
      <c r="S10" s="189"/>
    </row>
    <row r="11" spans="1:19">
      <c r="A11" s="41" t="str">
        <f>'1. 소켓인수검사'!A10</f>
        <v>02</v>
      </c>
      <c r="B11" s="30">
        <f>'1. 소켓인수검사'!C10</f>
        <v>1400</v>
      </c>
      <c r="C11" s="30">
        <f>'1. 소켓인수검사'!D10</f>
        <v>400</v>
      </c>
      <c r="D11" s="44" t="s">
        <v>43</v>
      </c>
      <c r="E11" s="47">
        <f>B11*C11/1000000</f>
        <v>0.56000000000000005</v>
      </c>
      <c r="F11" s="47">
        <f>(B11+C11)*2/1000</f>
        <v>3.6</v>
      </c>
      <c r="G11" s="24"/>
      <c r="H11" s="30"/>
      <c r="I11" s="24"/>
      <c r="J11" s="24"/>
      <c r="K11" s="30"/>
      <c r="L11" s="24"/>
      <c r="M11" s="24">
        <f t="shared" ref="M11" si="0">F11+0.5</f>
        <v>4.0999999999999996</v>
      </c>
      <c r="N11" s="30">
        <v>2</v>
      </c>
      <c r="O11" s="24">
        <f t="shared" ref="O11" si="1">+N11*M11</f>
        <v>8.1999999999999993</v>
      </c>
      <c r="P11" s="24"/>
      <c r="Q11" s="30"/>
      <c r="R11" s="188"/>
      <c r="S11" s="189"/>
    </row>
    <row r="12" spans="1:19">
      <c r="A12" s="190" t="s">
        <v>3</v>
      </c>
      <c r="B12" s="191"/>
      <c r="C12" s="191"/>
      <c r="D12" s="191"/>
      <c r="E12" s="191"/>
      <c r="F12" s="192"/>
      <c r="G12" s="28"/>
      <c r="H12" s="38"/>
      <c r="I12" s="55">
        <f>SUM(I10:I11)</f>
        <v>0</v>
      </c>
      <c r="J12" s="28"/>
      <c r="K12" s="28"/>
      <c r="L12" s="55">
        <f>SUM(L10:L11)</f>
        <v>0</v>
      </c>
      <c r="M12" s="28"/>
      <c r="N12" s="28"/>
      <c r="O12" s="55">
        <f>SUM(O10:O11)</f>
        <v>16.399999999999999</v>
      </c>
      <c r="P12" s="28"/>
      <c r="Q12" s="28"/>
      <c r="R12" s="193">
        <f>SUM(R10:S11)</f>
        <v>0</v>
      </c>
      <c r="S12" s="194"/>
    </row>
    <row r="13" spans="1:19" ht="17.25" customHeight="1">
      <c r="A13" s="197" t="s">
        <v>12</v>
      </c>
      <c r="B13" s="198"/>
      <c r="C13" s="198"/>
      <c r="D13" s="198"/>
      <c r="E13" s="198"/>
      <c r="F13" s="199"/>
      <c r="G13" s="200">
        <f>I12/20</f>
        <v>0</v>
      </c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2"/>
    </row>
    <row r="14" spans="1:19">
      <c r="A14" s="197" t="s">
        <v>11</v>
      </c>
      <c r="B14" s="198"/>
      <c r="C14" s="198"/>
      <c r="D14" s="198"/>
      <c r="E14" s="198"/>
      <c r="F14" s="199"/>
      <c r="G14" s="200">
        <f>L12/3.6</f>
        <v>0</v>
      </c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2"/>
    </row>
    <row r="15" spans="1:19">
      <c r="A15" s="203" t="s">
        <v>67</v>
      </c>
      <c r="B15" s="198"/>
      <c r="C15" s="198"/>
      <c r="D15" s="198"/>
      <c r="E15" s="198"/>
      <c r="F15" s="199"/>
      <c r="G15" s="200">
        <f>O12/7.4</f>
        <v>2.2162162162162158</v>
      </c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2"/>
    </row>
    <row r="16" spans="1:19">
      <c r="A16" s="197" t="s">
        <v>13</v>
      </c>
      <c r="B16" s="198"/>
      <c r="C16" s="198"/>
      <c r="D16" s="198"/>
      <c r="E16" s="198"/>
      <c r="F16" s="199"/>
      <c r="G16" s="200">
        <f>R12/3.6</f>
        <v>0</v>
      </c>
      <c r="H16" s="201"/>
      <c r="I16" s="201"/>
      <c r="J16" s="201"/>
      <c r="K16" s="201"/>
      <c r="L16" s="201"/>
      <c r="M16" s="201"/>
      <c r="N16" s="201"/>
      <c r="O16" s="201"/>
      <c r="P16" s="201"/>
      <c r="Q16" s="201"/>
      <c r="R16" s="201"/>
      <c r="S16" s="202"/>
    </row>
    <row r="17" spans="1:19" ht="8.1" customHeight="1">
      <c r="A17" s="173"/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</row>
    <row r="18" spans="1:19">
      <c r="A18" s="195" t="s">
        <v>42</v>
      </c>
      <c r="B18" s="195"/>
      <c r="C18" s="196" t="s">
        <v>74</v>
      </c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</row>
    <row r="19" spans="1:19">
      <c r="A19" s="195"/>
      <c r="B19" s="195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</row>
    <row r="20" spans="1:19">
      <c r="A20" s="195"/>
      <c r="B20" s="195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</row>
    <row r="21" spans="1:19">
      <c r="A21" s="195"/>
      <c r="B21" s="195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</row>
  </sheetData>
  <mergeCells count="41">
    <mergeCell ref="R10:S10"/>
    <mergeCell ref="R11:S11"/>
    <mergeCell ref="A12:F12"/>
    <mergeCell ref="R12:S12"/>
    <mergeCell ref="A18:B21"/>
    <mergeCell ref="C18:S21"/>
    <mergeCell ref="A13:F13"/>
    <mergeCell ref="G13:S13"/>
    <mergeCell ref="A14:F14"/>
    <mergeCell ref="G14:S14"/>
    <mergeCell ref="A15:F15"/>
    <mergeCell ref="G15:S15"/>
    <mergeCell ref="A16:F16"/>
    <mergeCell ref="G16:S16"/>
    <mergeCell ref="A17:S17"/>
    <mergeCell ref="F8:F9"/>
    <mergeCell ref="G8:I8"/>
    <mergeCell ref="J8:L8"/>
    <mergeCell ref="M8:O8"/>
    <mergeCell ref="P8:S8"/>
    <mergeCell ref="R9:S9"/>
    <mergeCell ref="A8:A9"/>
    <mergeCell ref="B8:B9"/>
    <mergeCell ref="C8:C9"/>
    <mergeCell ref="D8:D9"/>
    <mergeCell ref="E8:E9"/>
    <mergeCell ref="L5:L6"/>
    <mergeCell ref="O5:O6"/>
    <mergeCell ref="P5:S6"/>
    <mergeCell ref="E6:F6"/>
    <mergeCell ref="A7:S7"/>
    <mergeCell ref="A5:B6"/>
    <mergeCell ref="C5:C6"/>
    <mergeCell ref="E5:F5"/>
    <mergeCell ref="G5:G6"/>
    <mergeCell ref="H5:K6"/>
    <mergeCell ref="A1:C3"/>
    <mergeCell ref="D1:Q4"/>
    <mergeCell ref="R1:R4"/>
    <mergeCell ref="S2:S4"/>
    <mergeCell ref="A4:B4"/>
  </mergeCells>
  <phoneticPr fontId="22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16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R26" sqref="R26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"/>
      <c r="B1" s="1"/>
      <c r="C1" s="1"/>
      <c r="D1" s="1"/>
      <c r="E1" s="64" t="s">
        <v>7</v>
      </c>
      <c r="F1" s="208" t="s">
        <v>64</v>
      </c>
      <c r="G1" s="208"/>
      <c r="H1" s="208"/>
      <c r="I1" s="208"/>
      <c r="J1" s="208"/>
      <c r="K1" s="127" t="str">
        <f>'1. 소켓인수검사'!R2</f>
        <v>26.06.15 행복산업_새한에이치테크_이문타워</v>
      </c>
      <c r="L1" s="127"/>
      <c r="M1" s="127"/>
      <c r="N1" s="127"/>
      <c r="O1" s="127"/>
      <c r="P1" s="127"/>
      <c r="Q1" s="127"/>
      <c r="R1" s="127"/>
      <c r="S1" s="127"/>
      <c r="T1" s="127"/>
      <c r="U1" s="128"/>
    </row>
    <row r="2" spans="1:21" ht="16.5" customHeight="1">
      <c r="A2" s="1"/>
      <c r="B2" s="1"/>
      <c r="C2" s="1"/>
      <c r="D2" s="1"/>
      <c r="E2" s="63"/>
      <c r="F2" s="209"/>
      <c r="G2" s="209"/>
      <c r="H2" s="209"/>
      <c r="I2" s="209"/>
      <c r="J2" s="20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30"/>
    </row>
    <row r="3" spans="1:21" ht="24" customHeight="1">
      <c r="A3" s="1"/>
      <c r="B3" s="1"/>
      <c r="C3" s="1"/>
      <c r="D3" s="1"/>
      <c r="E3" s="65"/>
      <c r="F3" s="210"/>
      <c r="G3" s="210"/>
      <c r="H3" s="210"/>
      <c r="I3" s="210"/>
      <c r="J3" s="210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</row>
    <row r="4" spans="1:21" ht="8.1" customHeight="1">
      <c r="A4" s="175"/>
      <c r="B4" s="133"/>
      <c r="C4" s="133"/>
      <c r="D4" s="133"/>
      <c r="E4" s="133"/>
      <c r="F4" s="133"/>
      <c r="G4" s="133"/>
      <c r="H4" s="175"/>
      <c r="I4" s="133"/>
      <c r="J4" s="133"/>
      <c r="K4" s="133"/>
      <c r="L4" s="133"/>
      <c r="M4" s="133"/>
      <c r="N4" s="133"/>
      <c r="O4" s="133"/>
      <c r="P4" s="133"/>
      <c r="Q4" s="3"/>
      <c r="S4" s="3"/>
      <c r="T4" s="3"/>
      <c r="U4" s="3"/>
    </row>
    <row r="5" spans="1:21" ht="16.5" customHeight="1">
      <c r="A5" s="89" t="s">
        <v>50</v>
      </c>
      <c r="B5" s="220" t="s">
        <v>33</v>
      </c>
      <c r="C5" s="184" t="s">
        <v>57</v>
      </c>
      <c r="D5" s="184" t="s">
        <v>55</v>
      </c>
      <c r="E5" s="184" t="s">
        <v>21</v>
      </c>
      <c r="F5" s="184" t="s">
        <v>45</v>
      </c>
      <c r="G5" s="184" t="s">
        <v>52</v>
      </c>
      <c r="H5" s="184" t="s">
        <v>37</v>
      </c>
      <c r="I5" s="184" t="s">
        <v>20</v>
      </c>
      <c r="J5" s="184"/>
      <c r="K5" s="184" t="s">
        <v>0</v>
      </c>
      <c r="L5" s="184"/>
      <c r="M5" s="184" t="s">
        <v>0</v>
      </c>
      <c r="N5" s="184"/>
      <c r="O5" s="184" t="s">
        <v>0</v>
      </c>
      <c r="P5" s="184"/>
      <c r="Q5" s="223" t="s">
        <v>44</v>
      </c>
      <c r="R5" s="223"/>
      <c r="S5" s="224" t="s">
        <v>27</v>
      </c>
      <c r="T5" s="224" t="s">
        <v>49</v>
      </c>
      <c r="U5" s="204" t="s">
        <v>15</v>
      </c>
    </row>
    <row r="6" spans="1:21" ht="26.45" customHeight="1">
      <c r="A6" s="183"/>
      <c r="B6" s="221"/>
      <c r="C6" s="185"/>
      <c r="D6" s="185"/>
      <c r="E6" s="185"/>
      <c r="F6" s="185"/>
      <c r="G6" s="185"/>
      <c r="H6" s="185"/>
      <c r="I6" s="51" t="s">
        <v>8</v>
      </c>
      <c r="J6" s="29" t="s">
        <v>48</v>
      </c>
      <c r="K6" s="51" t="s">
        <v>65</v>
      </c>
      <c r="L6" s="29" t="s">
        <v>48</v>
      </c>
      <c r="M6" s="51" t="s">
        <v>32</v>
      </c>
      <c r="N6" s="29" t="s">
        <v>48</v>
      </c>
      <c r="O6" s="51" t="s">
        <v>34</v>
      </c>
      <c r="P6" s="29" t="s">
        <v>48</v>
      </c>
      <c r="Q6" s="51" t="s">
        <v>46</v>
      </c>
      <c r="R6" s="29" t="s">
        <v>58</v>
      </c>
      <c r="S6" s="225"/>
      <c r="T6" s="225"/>
      <c r="U6" s="205"/>
    </row>
    <row r="7" spans="1:21">
      <c r="A7" s="41" t="str">
        <f>'1. 소켓인수검사'!A9</f>
        <v>01</v>
      </c>
      <c r="B7" s="52" t="s">
        <v>36</v>
      </c>
      <c r="C7" s="30">
        <f>'1. 소켓인수검사'!C9</f>
        <v>1400</v>
      </c>
      <c r="D7" s="30">
        <f>'1. 소켓인수검사'!D9</f>
        <v>400</v>
      </c>
      <c r="E7" s="31"/>
      <c r="F7" s="32">
        <f t="shared" ref="F7:F8" si="0">C7*D7/1000000</f>
        <v>0.56000000000000005</v>
      </c>
      <c r="G7" s="32">
        <f t="shared" ref="G7:G8" si="1">(C7+D7)*2/1000</f>
        <v>3.6</v>
      </c>
      <c r="H7" s="37">
        <v>1</v>
      </c>
      <c r="I7" s="51"/>
      <c r="J7" s="29"/>
      <c r="K7" s="24">
        <f t="shared" ref="K7:K8" si="2">G7+0.5</f>
        <v>4.0999999999999996</v>
      </c>
      <c r="L7" s="29">
        <v>2</v>
      </c>
      <c r="M7" s="24"/>
      <c r="N7" s="29"/>
      <c r="O7" s="24"/>
      <c r="P7" s="29"/>
      <c r="Q7" s="33">
        <f>(((C7+60)+250+(D7+60))*2/1000)</f>
        <v>4.34</v>
      </c>
      <c r="R7" s="77">
        <f t="shared" ref="R7:R8" si="3">Q7</f>
        <v>4.34</v>
      </c>
      <c r="S7" s="34" t="s">
        <v>39</v>
      </c>
      <c r="T7" s="35" t="s">
        <v>6</v>
      </c>
      <c r="U7" s="36" t="str">
        <f>'1. 소켓인수검사'!G9</f>
        <v>엘레베이트</v>
      </c>
    </row>
    <row r="8" spans="1:21">
      <c r="A8" s="41" t="str">
        <f>'1. 소켓인수검사'!A10</f>
        <v>02</v>
      </c>
      <c r="B8" s="52" t="s">
        <v>36</v>
      </c>
      <c r="C8" s="30">
        <f>'1. 소켓인수검사'!C10</f>
        <v>1400</v>
      </c>
      <c r="D8" s="30">
        <f>'1. 소켓인수검사'!D10</f>
        <v>400</v>
      </c>
      <c r="E8" s="31"/>
      <c r="F8" s="32">
        <f t="shared" si="0"/>
        <v>0.56000000000000005</v>
      </c>
      <c r="G8" s="32">
        <f t="shared" si="1"/>
        <v>3.6</v>
      </c>
      <c r="H8" s="37">
        <v>1</v>
      </c>
      <c r="I8" s="51"/>
      <c r="J8" s="29"/>
      <c r="K8" s="24">
        <f t="shared" si="2"/>
        <v>4.0999999999999996</v>
      </c>
      <c r="L8" s="29">
        <v>2</v>
      </c>
      <c r="M8" s="24"/>
      <c r="N8" s="29"/>
      <c r="O8" s="24"/>
      <c r="P8" s="29"/>
      <c r="Q8" s="33">
        <f>(((C8+60)+250+(D8+60))*2/1000)</f>
        <v>4.34</v>
      </c>
      <c r="R8" s="77">
        <f t="shared" si="3"/>
        <v>4.34</v>
      </c>
      <c r="S8" s="34" t="s">
        <v>39</v>
      </c>
      <c r="T8" s="35" t="s">
        <v>6</v>
      </c>
      <c r="U8" s="36" t="str">
        <f>'1. 소켓인수검사'!G10</f>
        <v>PT구간</v>
      </c>
    </row>
    <row r="9" spans="1:21">
      <c r="A9" s="206" t="s">
        <v>5</v>
      </c>
      <c r="B9" s="207"/>
      <c r="C9" s="207"/>
      <c r="D9" s="50"/>
      <c r="E9" s="40"/>
      <c r="F9" s="40"/>
      <c r="G9" s="40"/>
      <c r="H9" s="39">
        <f>SUM(H7:H8)</f>
        <v>2</v>
      </c>
      <c r="I9" s="56"/>
      <c r="J9" s="39">
        <f>SUM(J7:J8)</f>
        <v>0</v>
      </c>
      <c r="K9" s="56"/>
      <c r="L9" s="39">
        <f>SUM(L7:L8)</f>
        <v>4</v>
      </c>
      <c r="M9" s="56"/>
      <c r="N9" s="39">
        <f>SUM(N7:N8)</f>
        <v>0</v>
      </c>
      <c r="O9" s="56"/>
      <c r="P9" s="39">
        <f>SUM(P7:P8)</f>
        <v>0</v>
      </c>
      <c r="Q9" s="56">
        <f>SUM(Q7:Q8)</f>
        <v>8.68</v>
      </c>
      <c r="R9" s="39">
        <f>SUM(R7:R8)</f>
        <v>8.68</v>
      </c>
      <c r="S9" s="53"/>
      <c r="T9" s="53"/>
      <c r="U9" s="54"/>
    </row>
    <row r="10" spans="1:21" ht="8.1" customHeight="1">
      <c r="A10" s="222"/>
      <c r="B10" s="222"/>
      <c r="C10" s="222"/>
      <c r="D10" s="222"/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4"/>
    </row>
    <row r="11" spans="1:21">
      <c r="A11" s="1" t="s">
        <v>42</v>
      </c>
      <c r="B11" s="1"/>
      <c r="C11" s="1"/>
      <c r="D11" s="211" t="s">
        <v>74</v>
      </c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3"/>
    </row>
    <row r="12" spans="1:21">
      <c r="A12" s="1"/>
      <c r="B12" s="1"/>
      <c r="C12" s="1"/>
      <c r="D12" s="214"/>
      <c r="E12" s="215"/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6"/>
    </row>
    <row r="13" spans="1:21">
      <c r="A13" s="1"/>
      <c r="B13" s="1"/>
      <c r="C13" s="1"/>
      <c r="D13" s="214"/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6"/>
    </row>
    <row r="14" spans="1:21">
      <c r="A14" s="1"/>
      <c r="B14" s="1"/>
      <c r="C14" s="1"/>
      <c r="D14" s="214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6"/>
    </row>
    <row r="15" spans="1:21">
      <c r="A15" s="1"/>
      <c r="B15" s="1"/>
      <c r="C15" s="1"/>
      <c r="D15" s="214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6"/>
    </row>
    <row r="16" spans="1:21">
      <c r="A16" s="1"/>
      <c r="B16" s="1"/>
      <c r="C16" s="1"/>
      <c r="D16" s="217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9"/>
    </row>
  </sheetData>
  <mergeCells count="24">
    <mergeCell ref="A10:P10"/>
    <mergeCell ref="A11:C16"/>
    <mergeCell ref="Q5:R5"/>
    <mergeCell ref="S5:S6"/>
    <mergeCell ref="T5:T6"/>
    <mergeCell ref="K5:L5"/>
    <mergeCell ref="O5:P5"/>
    <mergeCell ref="M5:N5"/>
    <mergeCell ref="U5:U6"/>
    <mergeCell ref="A9:C9"/>
    <mergeCell ref="F1:J3"/>
    <mergeCell ref="K1:U3"/>
    <mergeCell ref="D11:U16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</mergeCells>
  <phoneticPr fontId="22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57"/>
  </cols>
  <sheetData/>
  <phoneticPr fontId="2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1. 소켓인수검사</vt:lpstr>
      <vt:lpstr>2.재단(VM)작업</vt:lpstr>
      <vt:lpstr>차열재 재단(VM,VT)</vt:lpstr>
      <vt:lpstr>3. 1절곡(VM)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'2.재단(VM)작업'!Print_Titles</vt:lpstr>
      <vt:lpstr>'3. 1절곡(VM)'!Print_Titles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t35840</cp:lastModifiedBy>
  <cp:revision>53</cp:revision>
  <cp:lastPrinted>2026-01-07T23:38:07Z</cp:lastPrinted>
  <dcterms:created xsi:type="dcterms:W3CDTF">2025-03-13T00:09:10Z</dcterms:created>
  <dcterms:modified xsi:type="dcterms:W3CDTF">2026-06-16T00:38:54Z</dcterms:modified>
  <cp:version>1200.0100.01</cp:version>
</cp:coreProperties>
</file>