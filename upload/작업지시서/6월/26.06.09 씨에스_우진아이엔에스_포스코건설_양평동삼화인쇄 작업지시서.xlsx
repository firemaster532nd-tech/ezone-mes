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F7CBB558-E7DC-4BC8-AD7F-5A23E810ED23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</sheets>
  <definedNames>
    <definedName name="_xlnm.Print_Area" localSheetId="0">'1. 소켓인수검사'!$A$1:$P$16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12" l="1"/>
  <c r="D15" i="12"/>
  <c r="I15" i="12" s="1"/>
  <c r="C15" i="12"/>
  <c r="D14" i="12"/>
  <c r="I14" i="12" s="1"/>
  <c r="C14" i="12"/>
  <c r="G14" i="12" s="1"/>
  <c r="D13" i="12"/>
  <c r="C13" i="12"/>
  <c r="K13" i="12" s="1"/>
  <c r="D12" i="12"/>
  <c r="I12" i="12" s="1"/>
  <c r="C12" i="12"/>
  <c r="G12" i="12" s="1"/>
  <c r="D11" i="12"/>
  <c r="I11" i="12" s="1"/>
  <c r="C11" i="12"/>
  <c r="D10" i="12"/>
  <c r="I10" i="12" s="1"/>
  <c r="C10" i="12"/>
  <c r="G10" i="12" s="1"/>
  <c r="D9" i="12"/>
  <c r="C9" i="12"/>
  <c r="G9" i="12" s="1"/>
  <c r="D8" i="12"/>
  <c r="I8" i="12" s="1"/>
  <c r="C8" i="12"/>
  <c r="A15" i="12"/>
  <c r="A14" i="12"/>
  <c r="A13" i="12"/>
  <c r="A12" i="12"/>
  <c r="A11" i="12"/>
  <c r="A10" i="12"/>
  <c r="A9" i="12"/>
  <c r="A8" i="12"/>
  <c r="J15" i="12"/>
  <c r="H15" i="12"/>
  <c r="K14" i="12"/>
  <c r="J14" i="12"/>
  <c r="H14" i="12"/>
  <c r="J13" i="12"/>
  <c r="H13" i="12"/>
  <c r="J12" i="12"/>
  <c r="H12" i="12"/>
  <c r="K12" i="12"/>
  <c r="J11" i="12"/>
  <c r="H11" i="12"/>
  <c r="K10" i="12"/>
  <c r="J10" i="12"/>
  <c r="H10" i="12"/>
  <c r="J9" i="12"/>
  <c r="H9" i="12"/>
  <c r="J8" i="12"/>
  <c r="H8" i="12"/>
  <c r="G1" i="2"/>
  <c r="D15" i="2"/>
  <c r="C15" i="2"/>
  <c r="G15" i="2" s="1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K1" i="10"/>
  <c r="P5" i="9"/>
  <c r="N5" i="5"/>
  <c r="D1" i="1"/>
  <c r="P15" i="10"/>
  <c r="H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A15" i="2"/>
  <c r="A14" i="2"/>
  <c r="I13" i="2"/>
  <c r="A13" i="2"/>
  <c r="A12" i="2"/>
  <c r="A11" i="2"/>
  <c r="A10" i="2"/>
  <c r="I9" i="2"/>
  <c r="A9" i="2"/>
  <c r="A8" i="2"/>
  <c r="K9" i="12" l="1"/>
  <c r="M10" i="12"/>
  <c r="M14" i="12"/>
  <c r="F14" i="9"/>
  <c r="M14" i="9" s="1"/>
  <c r="O14" i="9" s="1"/>
  <c r="G8" i="12"/>
  <c r="K8" i="12"/>
  <c r="M11" i="12"/>
  <c r="M15" i="12"/>
  <c r="G13" i="12"/>
  <c r="K11" i="12"/>
  <c r="G11" i="12"/>
  <c r="M13" i="12"/>
  <c r="I13" i="12"/>
  <c r="K15" i="12"/>
  <c r="G15" i="12"/>
  <c r="M9" i="12"/>
  <c r="I9" i="12"/>
  <c r="M8" i="12"/>
  <c r="M12" i="12"/>
  <c r="Q14" i="10"/>
  <c r="R14" i="10" s="1"/>
  <c r="G7" i="10"/>
  <c r="K7" i="10" s="1"/>
  <c r="F14" i="10"/>
  <c r="G14" i="10"/>
  <c r="K14" i="10" s="1"/>
  <c r="E10" i="9"/>
  <c r="G13" i="2"/>
  <c r="G9" i="2"/>
  <c r="I15" i="2"/>
  <c r="I11" i="2"/>
  <c r="I10" i="2"/>
  <c r="G12" i="2"/>
  <c r="G14" i="2"/>
  <c r="I8" i="2"/>
  <c r="I14" i="2"/>
  <c r="I12" i="2"/>
  <c r="G8" i="2"/>
  <c r="G10" i="2"/>
  <c r="G11" i="2"/>
  <c r="F10" i="10"/>
  <c r="Q13" i="10"/>
  <c r="R13" i="10" s="1"/>
  <c r="Q11" i="10"/>
  <c r="R11" i="10" s="1"/>
  <c r="E12" i="9"/>
  <c r="F16" i="9"/>
  <c r="M16" i="9" s="1"/>
  <c r="O16" i="9" s="1"/>
  <c r="Q10" i="10"/>
  <c r="R10" i="10" s="1"/>
  <c r="G10" i="10"/>
  <c r="K10" i="10" s="1"/>
  <c r="F7" i="10"/>
  <c r="Q7" i="10"/>
  <c r="R7" i="10" s="1"/>
  <c r="Q9" i="10"/>
  <c r="R9" i="10" s="1"/>
  <c r="F11" i="10"/>
  <c r="G11" i="10"/>
  <c r="K11" i="10" s="1"/>
  <c r="N15" i="10"/>
  <c r="F12" i="9"/>
  <c r="M12" i="9" s="1"/>
  <c r="O12" i="9" s="1"/>
  <c r="E16" i="9"/>
  <c r="F10" i="9"/>
  <c r="M10" i="9" s="1"/>
  <c r="O10" i="9" s="1"/>
  <c r="E14" i="9"/>
  <c r="E15" i="9"/>
  <c r="F15" i="9"/>
  <c r="M15" i="9" s="1"/>
  <c r="O15" i="9" s="1"/>
  <c r="E17" i="9"/>
  <c r="F17" i="9"/>
  <c r="M17" i="9" s="1"/>
  <c r="O17" i="9" s="1"/>
  <c r="E13" i="9"/>
  <c r="F13" i="9"/>
  <c r="M13" i="9" s="1"/>
  <c r="O13" i="9" s="1"/>
  <c r="E11" i="9"/>
  <c r="F11" i="9"/>
  <c r="M11" i="9" s="1"/>
  <c r="O11" i="9" s="1"/>
  <c r="J15" i="10"/>
  <c r="L15" i="10"/>
  <c r="Q8" i="10"/>
  <c r="R8" i="10" s="1"/>
  <c r="G8" i="10"/>
  <c r="F8" i="10"/>
  <c r="G9" i="10"/>
  <c r="F9" i="10"/>
  <c r="Q12" i="10"/>
  <c r="R12" i="10" s="1"/>
  <c r="G12" i="10"/>
  <c r="F12" i="10"/>
  <c r="G13" i="10"/>
  <c r="F13" i="10"/>
  <c r="O18" i="9" l="1"/>
  <c r="G21" i="9" s="1"/>
  <c r="K9" i="10"/>
  <c r="R15" i="10"/>
  <c r="K13" i="10"/>
  <c r="K12" i="10"/>
  <c r="Q15" i="10"/>
  <c r="K8" i="10"/>
  <c r="I18" i="9" l="1"/>
  <c r="G19" i="9" s="1"/>
  <c r="R18" i="9"/>
  <c r="G22" i="9" s="1"/>
  <c r="L18" i="9"/>
  <c r="G2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19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1A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<sst xmlns="http://schemas.openxmlformats.org/spreadsheetml/2006/main" count="225" uniqueCount="87">
  <si>
    <t>차열재</t>
  </si>
  <si>
    <t>No</t>
  </si>
  <si>
    <t>비고</t>
  </si>
  <si>
    <t>합계</t>
  </si>
  <si>
    <t>규격</t>
  </si>
  <si>
    <t>TTL</t>
  </si>
  <si>
    <t>EZ F.B POSMAC Duct-VA-064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</si>
  <si>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</si>
  <si>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</si>
  <si>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</si>
  <si>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</si>
  <si>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</si>
  <si>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</si>
  <si>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</si>
  <si>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</si>
  <si>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</si>
  <si>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</si>
  <si>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</si>
  <si>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</si>
  <si>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</si>
  <si>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</si>
  <si>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</si>
  <si>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</si>
  <si>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</si>
  <si>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</si>
  <si>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</si>
  <si>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</si>
  <si>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</si>
  <si>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</si>
  <si>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</si>
  <si>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</si>
  <si>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</si>
  <si>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</si>
  <si>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</si>
  <si>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</si>
  <si>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</si>
  <si>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</si>
  <si>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</si>
  <si>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</si>
  <si>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FS-MP25-0310-4</t>
  </si>
  <si>
    <t>차열재생산일지(출하용)</t>
  </si>
  <si>
    <t>특이사항 및
 조치사항</t>
  </si>
  <si>
    <t>특이사항 및   조치사항</t>
  </si>
  <si>
    <t>VA-064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</si>
  <si>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</si>
  <si>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</si>
  <si>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</si>
  <si>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</si>
  <si>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</si>
  <si>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</si>
  <si>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</si>
  <si>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</si>
  <si>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</si>
  <si>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</si>
  <si>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</si>
  <si>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</si>
  <si>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</si>
  <si>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</si>
  <si>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</si>
  <si>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</si>
  <si>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</si>
  <si>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4" type="noConversion"/>
  </si>
  <si>
    <t>재단작업지시서(VM)</t>
    <phoneticPr fontId="24" type="noConversion"/>
  </si>
  <si>
    <t>절 곡 생 산 일 지(VM)</t>
    <phoneticPr fontId="24" type="noConversion"/>
  </si>
  <si>
    <t>라벨소요량</t>
    <phoneticPr fontId="24" type="noConversion"/>
  </si>
  <si>
    <t>25*
200</t>
    <phoneticPr fontId="24" type="noConversion"/>
  </si>
  <si>
    <t>구조체작업지시서</t>
    <phoneticPr fontId="24" type="noConversion"/>
  </si>
  <si>
    <t>차열재 25T*200*7.4M</t>
    <phoneticPr fontId="24" type="noConversion"/>
  </si>
  <si>
    <t>03</t>
  </si>
  <si>
    <t>04</t>
  </si>
  <si>
    <t>05</t>
  </si>
  <si>
    <t>06</t>
  </si>
  <si>
    <t>07</t>
  </si>
  <si>
    <t>08</t>
  </si>
  <si>
    <t>재단작업지시서차열재</t>
    <phoneticPr fontId="24" type="noConversion"/>
  </si>
  <si>
    <t>26.06.09 씨에스_우진아이엔에스_포스코건설_양평동삼화인쇄</t>
    <phoneticPr fontId="24" type="noConversion"/>
  </si>
  <si>
    <t>17F~20F</t>
  </si>
  <si>
    <t>P393</t>
  </si>
  <si>
    <t>P394</t>
  </si>
  <si>
    <t>P395</t>
  </si>
  <si>
    <t>P396</t>
  </si>
  <si>
    <t>P397</t>
  </si>
  <si>
    <t>P398</t>
  </si>
  <si>
    <t>P399</t>
  </si>
  <si>
    <t>P400</t>
  </si>
  <si>
    <t>01</t>
    <phoneticPr fontId="24" type="noConversion"/>
  </si>
  <si>
    <t>02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</si>
</sst>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0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4">
    <xf numFmtId="0" fontId="0" fillId="0" borderId="0">
      <alignment vertical="center"/>
    </xf>
    <xf numFmtId="0" fontId="23" fillId="0" borderId="0">
      <alignment vertical="center"/>
    </xf>
    <xf numFmtId="176" fontId="23" fillId="0" borderId="0">
      <alignment vertical="center"/>
    </xf>
    <xf numFmtId="0" fontId="1" fillId="0" borderId="0">
      <alignment vertical="center"/>
    </xf>
  </cellStyleXfs>
  <cellXfs count="219">
    <xf numFmtId="0" fontId="0" fillId="0" borderId="0" xfId="0">
      <alignment vertical="center"/>
    </xf>
    <xf numFmtId="0" fontId="3" fillId="0" borderId="26" xfId="3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1">
      <alignment vertical="center"/>
    </xf>
    <xf numFmtId="0" fontId="23" fillId="0" borderId="1" xfId="1" applyBorder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2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2" fillId="2" borderId="0" xfId="3" applyFont="1" applyFill="1" applyAlignment="1">
      <alignment horizontal="center" vertical="center" wrapText="1"/>
    </xf>
    <xf numFmtId="0" fontId="3" fillId="0" borderId="0" xfId="3" applyFont="1" applyAlignment="1">
      <alignment horizontal="left" vertical="center"/>
    </xf>
    <xf numFmtId="0" fontId="2" fillId="0" borderId="0" xfId="3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3" fillId="0" borderId="6" xfId="2" applyBorder="1" applyAlignment="1">
      <alignment horizontal="center" vertical="center"/>
    </xf>
    <xf numFmtId="176" fontId="23" fillId="0" borderId="7" xfId="2" applyBorder="1" applyAlignment="1">
      <alignment horizontal="center" vertical="center"/>
    </xf>
    <xf numFmtId="176" fontId="23" fillId="0" borderId="8" xfId="2" applyBorder="1" applyAlignment="1">
      <alignment horizontal="center" vertical="center"/>
    </xf>
    <xf numFmtId="176" fontId="23" fillId="0" borderId="12" xfId="2" applyBorder="1" applyAlignment="1">
      <alignment horizontal="center" vertical="center"/>
    </xf>
    <xf numFmtId="176" fontId="23" fillId="0" borderId="10" xfId="2" applyBorder="1" applyAlignment="1">
      <alignment horizontal="center" vertical="center"/>
    </xf>
    <xf numFmtId="176" fontId="23" fillId="0" borderId="13" xfId="2" applyBorder="1" applyAlignment="1">
      <alignment horizontal="center" vertical="center"/>
    </xf>
    <xf numFmtId="176" fontId="23" fillId="0" borderId="14" xfId="2" applyBorder="1" applyAlignment="1">
      <alignment horizontal="center" vertical="center"/>
    </xf>
    <xf numFmtId="0" fontId="23" fillId="0" borderId="17" xfId="1" applyBorder="1" applyAlignment="1">
      <alignment horizontal="center" vertical="center"/>
    </xf>
    <xf numFmtId="0" fontId="6" fillId="0" borderId="18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3" fillId="0" borderId="18" xfId="1" applyBorder="1" applyAlignment="1">
      <alignment horizontal="center" vertical="center" wrapText="1"/>
    </xf>
    <xf numFmtId="0" fontId="7" fillId="0" borderId="18" xfId="3" applyFont="1" applyBorder="1" applyAlignment="1">
      <alignment horizontal="center" vertical="center" wrapText="1"/>
    </xf>
    <xf numFmtId="0" fontId="23" fillId="0" borderId="19" xfId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8" fillId="0" borderId="18" xfId="3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 shrinkToFit="1"/>
    </xf>
    <xf numFmtId="0" fontId="12" fillId="0" borderId="19" xfId="0" applyFont="1" applyBorder="1" applyAlignment="1">
      <alignment horizontal="center" vertical="center" shrinkToFit="1"/>
    </xf>
    <xf numFmtId="0" fontId="9" fillId="4" borderId="1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3" fillId="5" borderId="18" xfId="3" applyFont="1" applyFill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4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" fillId="8" borderId="0" xfId="3" applyFill="1">
      <alignment vertical="center"/>
    </xf>
    <xf numFmtId="0" fontId="1" fillId="0" borderId="35" xfId="3" applyBorder="1" applyAlignment="1">
      <alignment vertical="top" wrapText="1"/>
    </xf>
    <xf numFmtId="0" fontId="2" fillId="0" borderId="18" xfId="3" applyFont="1" applyBorder="1" applyAlignment="1">
      <alignment horizontal="center" vertical="center" wrapText="1"/>
    </xf>
    <xf numFmtId="0" fontId="2" fillId="0" borderId="19" xfId="3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3" quotePrefix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25" xfId="1" applyFont="1" applyFill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 wrapText="1"/>
    </xf>
    <xf numFmtId="178" fontId="14" fillId="0" borderId="18" xfId="1" applyNumberFormat="1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27" fillId="5" borderId="18" xfId="3" applyFont="1" applyFill="1" applyBorder="1" applyAlignment="1">
      <alignment horizontal="center" vertical="center" wrapText="1"/>
    </xf>
    <xf numFmtId="177" fontId="6" fillId="4" borderId="18" xfId="0" applyNumberFormat="1" applyFont="1" applyFill="1" applyBorder="1" applyAlignment="1">
      <alignment horizontal="center" vertical="center" wrapText="1"/>
    </xf>
    <xf numFmtId="0" fontId="2" fillId="6" borderId="18" xfId="3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5" fillId="0" borderId="35" xfId="3" applyFont="1" applyBorder="1" applyAlignment="1">
      <alignment horizontal="center" vertical="center" wrapText="1"/>
    </xf>
    <xf numFmtId="0" fontId="25" fillId="0" borderId="37" xfId="3" applyFont="1" applyBorder="1" applyAlignment="1">
      <alignment horizontal="center" vertical="center" wrapText="1"/>
    </xf>
    <xf numFmtId="0" fontId="25" fillId="0" borderId="0" xfId="3" applyFont="1" applyAlignment="1">
      <alignment horizontal="center" vertical="center" wrapText="1"/>
    </xf>
    <xf numFmtId="0" fontId="25" fillId="0" borderId="39" xfId="3" applyFont="1" applyBorder="1" applyAlignment="1">
      <alignment horizontal="center" vertical="center" wrapText="1"/>
    </xf>
    <xf numFmtId="0" fontId="25" fillId="0" borderId="34" xfId="3" applyFont="1" applyBorder="1" applyAlignment="1">
      <alignment horizontal="center" vertical="center" wrapText="1"/>
    </xf>
    <xf numFmtId="0" fontId="26" fillId="0" borderId="35" xfId="3" applyFont="1" applyBorder="1" applyAlignment="1">
      <alignment horizontal="center" vertical="center" shrinkToFit="1"/>
    </xf>
    <xf numFmtId="0" fontId="26" fillId="0" borderId="36" xfId="3" applyFont="1" applyBorder="1" applyAlignment="1">
      <alignment horizontal="center" vertical="center" shrinkToFit="1"/>
    </xf>
    <xf numFmtId="0" fontId="26" fillId="0" borderId="0" xfId="3" applyFont="1" applyAlignment="1">
      <alignment horizontal="center" vertical="center" shrinkToFit="1"/>
    </xf>
    <xf numFmtId="0" fontId="26" fillId="0" borderId="38" xfId="3" applyFont="1" applyBorder="1" applyAlignment="1">
      <alignment horizontal="center" vertical="center" shrinkToFit="1"/>
    </xf>
    <xf numFmtId="0" fontId="26" fillId="0" borderId="34" xfId="3" applyFont="1" applyBorder="1" applyAlignment="1">
      <alignment horizontal="center" vertical="center" shrinkToFit="1"/>
    </xf>
    <xf numFmtId="0" fontId="26" fillId="0" borderId="40" xfId="3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6" borderId="17" xfId="3" applyFill="1" applyBorder="1" applyAlignment="1">
      <alignment horizontal="center" vertical="center" wrapText="1"/>
    </xf>
    <xf numFmtId="0" fontId="2" fillId="6" borderId="15" xfId="3" applyFont="1" applyFill="1" applyBorder="1" applyAlignment="1">
      <alignment horizontal="center" vertical="center" wrapText="1"/>
    </xf>
    <xf numFmtId="0" fontId="2" fillId="6" borderId="16" xfId="3" applyFont="1" applyFill="1" applyBorder="1" applyAlignment="1">
      <alignment horizontal="center" vertical="center" wrapText="1"/>
    </xf>
    <xf numFmtId="0" fontId="2" fillId="6" borderId="19" xfId="3" applyFont="1" applyFill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shrinkToFit="1"/>
    </xf>
    <xf numFmtId="0" fontId="3" fillId="0" borderId="11" xfId="1" applyFont="1" applyBorder="1" applyAlignment="1">
      <alignment horizontal="center" vertical="center" shrinkToFit="1"/>
    </xf>
    <xf numFmtId="0" fontId="3" fillId="0" borderId="30" xfId="1" applyFont="1" applyBorder="1" applyAlignment="1">
      <alignment horizontal="center" vertical="center" shrinkToFit="1"/>
    </xf>
    <xf numFmtId="0" fontId="3" fillId="0" borderId="0" xfId="1" applyFont="1" applyAlignment="1">
      <alignment horizontal="center" vertical="center" shrinkToFit="1"/>
    </xf>
    <xf numFmtId="0" fontId="3" fillId="0" borderId="25" xfId="1" applyFont="1" applyBorder="1" applyAlignment="1">
      <alignment horizontal="center" vertical="center" shrinkToFit="1"/>
    </xf>
    <xf numFmtId="0" fontId="3" fillId="0" borderId="2" xfId="1" applyFont="1" applyBorder="1" applyAlignment="1">
      <alignment horizontal="center" vertical="center" shrinkToFit="1"/>
    </xf>
    <xf numFmtId="0" fontId="3" fillId="0" borderId="3" xfId="1" applyFont="1" applyBorder="1" applyAlignment="1">
      <alignment horizontal="center" vertical="center" shrinkToFit="1"/>
    </xf>
    <xf numFmtId="0" fontId="3" fillId="0" borderId="31" xfId="1" applyFont="1" applyBorder="1" applyAlignment="1">
      <alignment horizontal="center" vertical="center" shrinkToFit="1"/>
    </xf>
    <xf numFmtId="0" fontId="3" fillId="0" borderId="29" xfId="1" applyFont="1" applyBorder="1" applyAlignment="1">
      <alignment horizontal="center" vertical="center" shrinkToFit="1"/>
    </xf>
    <xf numFmtId="0" fontId="23" fillId="0" borderId="2" xfId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 wrapText="1"/>
    </xf>
    <xf numFmtId="0" fontId="4" fillId="3" borderId="28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0" xfId="0" applyFont="1" applyBorder="1" applyAlignment="1">
      <alignment horizontal="center" vertical="center" wrapText="1" shrinkToFit="1"/>
    </xf>
    <xf numFmtId="0" fontId="29" fillId="0" borderId="0" xfId="0" applyFont="1" applyAlignment="1">
      <alignment horizontal="center" vertical="center" wrapText="1" shrinkToFit="1"/>
    </xf>
    <xf numFmtId="0" fontId="29" fillId="0" borderId="25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3" fillId="0" borderId="1" xfId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178" fontId="23" fillId="0" borderId="18" xfId="1" applyNumberFormat="1" applyBorder="1" applyAlignment="1">
      <alignment horizontal="center" vertical="center" wrapText="1"/>
    </xf>
    <xf numFmtId="0" fontId="23" fillId="0" borderId="21" xfId="1" applyBorder="1" applyAlignment="1">
      <alignment horizontal="center" vertical="center"/>
    </xf>
    <xf numFmtId="0" fontId="23" fillId="0" borderId="17" xfId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19" fillId="0" borderId="24" xfId="1" applyFont="1" applyBorder="1" applyAlignment="1">
      <alignment horizontal="center" vertical="center" shrinkToFit="1"/>
    </xf>
    <xf numFmtId="0" fontId="19" fillId="0" borderId="11" xfId="1" applyFont="1" applyBorder="1" applyAlignment="1">
      <alignment horizontal="center" vertical="center" shrinkToFit="1"/>
    </xf>
    <xf numFmtId="0" fontId="19" fillId="0" borderId="3" xfId="1" applyFont="1" applyBorder="1" applyAlignment="1">
      <alignment horizontal="center" vertical="center" shrinkToFit="1"/>
    </xf>
    <xf numFmtId="0" fontId="19" fillId="0" borderId="30" xfId="1" applyFont="1" applyBorder="1" applyAlignment="1">
      <alignment horizontal="center" vertical="center" shrinkToFit="1"/>
    </xf>
    <xf numFmtId="0" fontId="19" fillId="0" borderId="0" xfId="1" applyFont="1" applyAlignment="1">
      <alignment horizontal="center" vertical="center" shrinkToFit="1"/>
    </xf>
    <xf numFmtId="0" fontId="19" fillId="0" borderId="31" xfId="1" applyFont="1" applyBorder="1" applyAlignment="1">
      <alignment horizontal="center" vertical="center" shrinkToFit="1"/>
    </xf>
    <xf numFmtId="0" fontId="19" fillId="0" borderId="25" xfId="1" applyFont="1" applyBorder="1" applyAlignment="1">
      <alignment horizontal="center" vertical="center" shrinkToFit="1"/>
    </xf>
    <xf numFmtId="0" fontId="19" fillId="0" borderId="2" xfId="1" applyFont="1" applyBorder="1" applyAlignment="1">
      <alignment horizontal="center" vertical="center" shrinkToFit="1"/>
    </xf>
    <xf numFmtId="0" fontId="19" fillId="0" borderId="29" xfId="1" applyFont="1" applyBorder="1" applyAlignment="1">
      <alignment horizontal="center" vertical="center" shrinkToFit="1"/>
    </xf>
    <xf numFmtId="0" fontId="23" fillId="0" borderId="4" xfId="1" applyBorder="1" applyAlignment="1">
      <alignment horizontal="center" vertical="center"/>
    </xf>
    <xf numFmtId="0" fontId="23" fillId="0" borderId="28" xfId="1" applyBorder="1" applyAlignment="1">
      <alignment horizontal="center" vertical="center"/>
    </xf>
    <xf numFmtId="0" fontId="28" fillId="0" borderId="1" xfId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8" fillId="0" borderId="24" xfId="0" applyFont="1" applyBorder="1" applyAlignment="1">
      <alignment horizontal="center" vertical="center" wrapText="1" shrinkToFit="1"/>
    </xf>
    <xf numFmtId="0" fontId="28" fillId="0" borderId="11" xfId="0" applyFont="1" applyBorder="1" applyAlignment="1">
      <alignment horizontal="center" vertical="center" wrapText="1" shrinkToFit="1"/>
    </xf>
    <xf numFmtId="0" fontId="28" fillId="0" borderId="3" xfId="0" applyFont="1" applyBorder="1" applyAlignment="1">
      <alignment horizontal="center" vertical="center" wrapText="1" shrinkToFit="1"/>
    </xf>
    <xf numFmtId="0" fontId="28" fillId="0" borderId="25" xfId="0" applyFont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center" vertical="center" wrapText="1" shrinkToFit="1"/>
    </xf>
    <xf numFmtId="0" fontId="28" fillId="0" borderId="29" xfId="0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6"/>
  <sheetViews>
    <sheetView view="pageBreakPreview" zoomScale="120" zoomScaleNormal="120" zoomScaleSheetLayoutView="120" workbookViewId="0">
      <pane ySplit="8" topLeftCell="A9" activePane="bottomLeft" state="frozen"/>
      <selection pane="bottomLeft" activeCell="F30" sqref="F30"/>
    </sheetView>
  </sheetViews>
  <sheetFormatPr defaultColWidth="8" defaultRowHeight="12.75"/>
  <cols>
    <col min="1" max="1" width="4.125" style="8" customWidth="1"/>
    <col min="2" max="2" width="12.75" style="8" customWidth="1"/>
    <col min="3" max="4" width="12.125" style="8" customWidth="1"/>
    <col min="5" max="5" width="13.75" style="8" customWidth="1"/>
    <col min="6" max="6" width="16.375" style="8" customWidth="1"/>
    <col min="7" max="7" width="13.125" style="8" customWidth="1"/>
    <col min="8" max="8" width="2.125" style="8" hidden="1" customWidth="1"/>
    <col min="9" max="16" width="8" style="8" hidden="1" customWidth="1"/>
    <col min="17" max="16384" width="8" style="9"/>
  </cols>
  <sheetData>
    <row r="1" spans="1:18" ht="16.5" customHeight="1" thickTop="1">
      <c r="A1" s="81" t="s">
        <v>66</v>
      </c>
      <c r="B1" s="82"/>
      <c r="C1" s="82"/>
      <c r="D1" s="87" t="str">
        <f>R2</f>
        <v>26.06.09 씨에스_우진아이엔에스_포스코건설_양평동삼화인쇄</v>
      </c>
      <c r="E1" s="87"/>
      <c r="F1" s="87"/>
      <c r="G1" s="88"/>
      <c r="R1" s="9" t="s">
        <v>61</v>
      </c>
    </row>
    <row r="2" spans="1:18" ht="16.5" customHeight="1">
      <c r="A2" s="83"/>
      <c r="B2" s="84"/>
      <c r="C2" s="84"/>
      <c r="D2" s="89"/>
      <c r="E2" s="89"/>
      <c r="F2" s="89"/>
      <c r="G2" s="90"/>
      <c r="R2" s="60" t="s">
        <v>75</v>
      </c>
    </row>
    <row r="3" spans="1:18" ht="16.5" customHeight="1">
      <c r="A3" s="83"/>
      <c r="B3" s="84"/>
      <c r="C3" s="84"/>
      <c r="D3" s="89"/>
      <c r="E3" s="89"/>
      <c r="F3" s="89"/>
      <c r="G3" s="90"/>
    </row>
    <row r="4" spans="1:18" ht="17.25" customHeight="1" thickBot="1">
      <c r="A4" s="85"/>
      <c r="B4" s="86"/>
      <c r="C4" s="86"/>
      <c r="D4" s="91"/>
      <c r="E4" s="91"/>
      <c r="F4" s="91"/>
      <c r="G4" s="92"/>
    </row>
    <row r="5" spans="1:18" ht="6.75" customHeight="1" thickTop="1">
      <c r="A5" s="61"/>
      <c r="B5" s="61"/>
      <c r="C5" s="61"/>
      <c r="D5" s="61"/>
      <c r="E5" s="61"/>
      <c r="F5" s="61"/>
      <c r="G5" s="61"/>
    </row>
    <row r="6" spans="1:18" s="11" customFormat="1" ht="18" customHeight="1" thickBot="1">
      <c r="A6" s="93" t="s">
        <v>1</v>
      </c>
      <c r="B6" s="95" t="s">
        <v>60</v>
      </c>
      <c r="C6" s="95" t="s">
        <v>4</v>
      </c>
      <c r="D6" s="95"/>
      <c r="E6" s="95" t="s">
        <v>38</v>
      </c>
      <c r="F6" s="95" t="s">
        <v>35</v>
      </c>
      <c r="G6" s="96" t="s">
        <v>15</v>
      </c>
      <c r="H6" s="10"/>
      <c r="I6" s="1" t="s">
        <v>9</v>
      </c>
      <c r="J6" s="1"/>
      <c r="K6" s="1"/>
      <c r="L6" s="1"/>
      <c r="M6" s="1"/>
      <c r="N6" s="1"/>
      <c r="O6" s="9"/>
    </row>
    <row r="7" spans="1:18" s="11" customFormat="1" ht="18" customHeight="1">
      <c r="A7" s="94"/>
      <c r="B7" s="80"/>
      <c r="C7" s="80" t="s">
        <v>57</v>
      </c>
      <c r="D7" s="80" t="s">
        <v>55</v>
      </c>
      <c r="E7" s="80"/>
      <c r="F7" s="80"/>
      <c r="G7" s="97"/>
      <c r="H7" s="12"/>
      <c r="I7" s="13"/>
      <c r="J7" s="13"/>
      <c r="K7" s="13"/>
      <c r="L7" s="13"/>
      <c r="M7" s="13"/>
      <c r="N7" s="13"/>
      <c r="O7" s="9"/>
    </row>
    <row r="8" spans="1:18" s="11" customFormat="1" ht="18" customHeight="1" thickBot="1">
      <c r="A8" s="94"/>
      <c r="B8" s="80"/>
      <c r="C8" s="80"/>
      <c r="D8" s="80"/>
      <c r="E8" s="80"/>
      <c r="F8" s="80"/>
      <c r="G8" s="97"/>
      <c r="H8" s="12"/>
      <c r="I8" s="13"/>
      <c r="J8" s="13"/>
      <c r="K8" s="13"/>
      <c r="L8" s="13"/>
      <c r="M8" s="13"/>
      <c r="N8" s="13"/>
      <c r="O8" s="9"/>
    </row>
    <row r="9" spans="1:18" s="11" customFormat="1" ht="18" customHeight="1" thickBot="1">
      <c r="A9" s="68" t="s">
        <v>85</v>
      </c>
      <c r="B9" s="47" t="s">
        <v>43</v>
      </c>
      <c r="C9" s="27">
        <v>700</v>
      </c>
      <c r="D9" s="27">
        <v>400</v>
      </c>
      <c r="E9" s="62"/>
      <c r="F9" s="62"/>
      <c r="G9" s="63" t="s">
        <v>76</v>
      </c>
      <c r="H9" s="14"/>
      <c r="I9" s="24"/>
      <c r="J9" s="22"/>
      <c r="K9" s="18"/>
      <c r="L9" s="19"/>
      <c r="M9" s="20"/>
      <c r="N9" s="22"/>
      <c r="O9" s="9"/>
      <c r="Q9" s="11" t="s">
        <v>77</v>
      </c>
    </row>
    <row r="10" spans="1:18" s="11" customFormat="1" ht="18" customHeight="1" thickBot="1">
      <c r="A10" s="68" t="s">
        <v>86</v>
      </c>
      <c r="B10" s="47" t="s">
        <v>43</v>
      </c>
      <c r="C10" s="27">
        <v>700</v>
      </c>
      <c r="D10" s="27">
        <v>400</v>
      </c>
      <c r="E10" s="49"/>
      <c r="F10" s="62"/>
      <c r="G10" s="63" t="s">
        <v>76</v>
      </c>
      <c r="H10" s="14"/>
      <c r="I10" s="24"/>
      <c r="J10" s="22"/>
      <c r="K10" s="18"/>
      <c r="L10" s="19"/>
      <c r="M10" s="20"/>
      <c r="N10" s="22"/>
      <c r="O10" s="9"/>
      <c r="Q10" s="11" t="s">
        <v>78</v>
      </c>
    </row>
    <row r="11" spans="1:18" s="11" customFormat="1" ht="18" customHeight="1" thickBot="1">
      <c r="A11" s="68" t="s">
        <v>68</v>
      </c>
      <c r="B11" s="47" t="s">
        <v>43</v>
      </c>
      <c r="C11" s="27">
        <v>700</v>
      </c>
      <c r="D11" s="27">
        <v>400</v>
      </c>
      <c r="E11" s="49"/>
      <c r="F11" s="62"/>
      <c r="G11" s="63" t="s">
        <v>76</v>
      </c>
      <c r="H11" s="14"/>
      <c r="I11" s="24"/>
      <c r="J11" s="22"/>
      <c r="K11" s="18"/>
      <c r="L11" s="19"/>
      <c r="M11" s="20"/>
      <c r="N11" s="22"/>
      <c r="O11" s="9"/>
      <c r="Q11" s="11" t="s">
        <v>79</v>
      </c>
    </row>
    <row r="12" spans="1:18" s="11" customFormat="1" ht="18" customHeight="1" thickBot="1">
      <c r="A12" s="68" t="s">
        <v>69</v>
      </c>
      <c r="B12" s="47" t="s">
        <v>43</v>
      </c>
      <c r="C12" s="27">
        <v>700</v>
      </c>
      <c r="D12" s="27">
        <v>400</v>
      </c>
      <c r="E12" s="49"/>
      <c r="F12" s="62"/>
      <c r="G12" s="63" t="s">
        <v>76</v>
      </c>
      <c r="H12" s="14"/>
      <c r="I12" s="24"/>
      <c r="J12" s="22"/>
      <c r="K12" s="18"/>
      <c r="L12" s="19"/>
      <c r="M12" s="20"/>
      <c r="N12" s="22"/>
      <c r="O12" s="9"/>
      <c r="Q12" s="11" t="s">
        <v>80</v>
      </c>
    </row>
    <row r="13" spans="1:18" s="11" customFormat="1" ht="18" customHeight="1" thickBot="1">
      <c r="A13" s="68" t="s">
        <v>70</v>
      </c>
      <c r="B13" s="47" t="s">
        <v>43</v>
      </c>
      <c r="C13" s="27">
        <v>700</v>
      </c>
      <c r="D13" s="27">
        <v>400</v>
      </c>
      <c r="E13" s="49"/>
      <c r="F13" s="62"/>
      <c r="G13" s="63" t="s">
        <v>76</v>
      </c>
      <c r="H13" s="14"/>
      <c r="I13" s="13"/>
      <c r="J13" s="13"/>
      <c r="K13" s="18"/>
      <c r="L13" s="19"/>
      <c r="M13" s="20"/>
      <c r="N13" s="13"/>
      <c r="O13" s="9"/>
      <c r="Q13" s="11" t="s">
        <v>81</v>
      </c>
    </row>
    <row r="14" spans="1:18" s="11" customFormat="1" ht="18" customHeight="1" thickBot="1">
      <c r="A14" s="68" t="s">
        <v>71</v>
      </c>
      <c r="B14" s="47" t="s">
        <v>43</v>
      </c>
      <c r="C14" s="27">
        <v>700</v>
      </c>
      <c r="D14" s="27">
        <v>400</v>
      </c>
      <c r="E14" s="49"/>
      <c r="F14" s="62"/>
      <c r="G14" s="63" t="s">
        <v>76</v>
      </c>
      <c r="H14" s="14"/>
      <c r="I14" s="24"/>
      <c r="J14" s="22"/>
      <c r="K14" s="18"/>
      <c r="L14" s="19"/>
      <c r="M14" s="20"/>
      <c r="N14" s="22"/>
      <c r="O14" s="9"/>
      <c r="Q14" s="11" t="s">
        <v>82</v>
      </c>
    </row>
    <row r="15" spans="1:18" s="11" customFormat="1" ht="18" customHeight="1" thickBot="1">
      <c r="A15" s="68" t="s">
        <v>72</v>
      </c>
      <c r="B15" s="47" t="s">
        <v>43</v>
      </c>
      <c r="C15" s="27">
        <v>700</v>
      </c>
      <c r="D15" s="27">
        <v>400</v>
      </c>
      <c r="E15" s="49"/>
      <c r="F15" s="62"/>
      <c r="G15" s="63" t="s">
        <v>76</v>
      </c>
      <c r="H15" s="14"/>
      <c r="I15" s="23"/>
      <c r="J15" s="21"/>
      <c r="K15" s="18"/>
      <c r="L15" s="19"/>
      <c r="M15" s="20"/>
      <c r="N15" s="21"/>
      <c r="O15" s="9"/>
      <c r="Q15" s="11" t="s">
        <v>83</v>
      </c>
    </row>
    <row r="16" spans="1:18" s="11" customFormat="1" ht="18" customHeight="1">
      <c r="A16" s="68" t="s">
        <v>73</v>
      </c>
      <c r="B16" s="47" t="s">
        <v>43</v>
      </c>
      <c r="C16" s="27">
        <v>700</v>
      </c>
      <c r="D16" s="27">
        <v>400</v>
      </c>
      <c r="E16" s="49"/>
      <c r="F16" s="62"/>
      <c r="G16" s="63" t="s">
        <v>76</v>
      </c>
      <c r="H16" s="14"/>
      <c r="I16" s="24"/>
      <c r="J16" s="22"/>
      <c r="K16" s="18"/>
      <c r="L16" s="19"/>
      <c r="M16" s="20"/>
      <c r="N16" s="22"/>
      <c r="O16" s="9"/>
      <c r="Q16" s="11" t="s">
        <v>84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4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19"/>
  <sheetViews>
    <sheetView zoomScaleNormal="100" zoomScaleSheetLayoutView="100" workbookViewId="0">
      <selection activeCell="F27" sqref="F27"/>
    </sheetView>
  </sheetViews>
  <sheetFormatPr defaultColWidth="9" defaultRowHeight="16.5"/>
  <cols>
    <col min="1" max="1" width="5.125" style="6" bestFit="1" customWidth="1"/>
    <col min="2" max="2" width="8.125" style="6" customWidth="1"/>
    <col min="3" max="4" width="6.875" style="6" customWidth="1"/>
    <col min="5" max="5" width="13.875" style="6" customWidth="1"/>
    <col min="6" max="6" width="5.75" style="6" customWidth="1"/>
    <col min="7" max="7" width="7.5" style="6" customWidth="1"/>
    <col min="8" max="8" width="7.125" style="6" customWidth="1"/>
    <col min="9" max="9" width="5.25" style="6" bestFit="1" customWidth="1"/>
    <col min="10" max="10" width="7.875" style="6" customWidth="1"/>
    <col min="11" max="11" width="7.5" style="6" customWidth="1"/>
    <col min="12" max="12" width="5.5" style="6" customWidth="1"/>
    <col min="13" max="13" width="7.5" style="6" customWidth="1"/>
    <col min="14" max="14" width="5.5" style="6" customWidth="1"/>
    <col min="15" max="15" width="26.875" style="6" customWidth="1"/>
    <col min="16" max="16384" width="9" style="6"/>
  </cols>
  <sheetData>
    <row r="1" spans="1:15" ht="16.5" customHeight="1">
      <c r="A1" s="81"/>
      <c r="B1" s="81"/>
      <c r="C1" s="81"/>
      <c r="D1" s="81"/>
      <c r="E1" s="98" t="s">
        <v>62</v>
      </c>
      <c r="F1" s="99"/>
      <c r="G1" s="99"/>
      <c r="H1" s="99" t="str">
        <f>'1. 소켓인수검사'!R2</f>
        <v>26.06.09 씨에스_우진아이엔에스_포스코건설_양평동삼화인쇄</v>
      </c>
      <c r="I1" s="99"/>
      <c r="J1" s="99"/>
      <c r="K1" s="99"/>
      <c r="L1" s="99"/>
      <c r="M1" s="99"/>
      <c r="N1" s="99"/>
      <c r="O1" s="104"/>
    </row>
    <row r="2" spans="1:15" ht="16.5" customHeight="1">
      <c r="A2" s="81"/>
      <c r="B2" s="81"/>
      <c r="C2" s="81"/>
      <c r="D2" s="81"/>
      <c r="E2" s="100"/>
      <c r="F2" s="101"/>
      <c r="G2" s="101"/>
      <c r="H2" s="101"/>
      <c r="I2" s="101"/>
      <c r="J2" s="101"/>
      <c r="K2" s="101"/>
      <c r="L2" s="101"/>
      <c r="M2" s="101"/>
      <c r="N2" s="101"/>
      <c r="O2" s="105"/>
    </row>
    <row r="3" spans="1:15" ht="16.5" customHeight="1">
      <c r="A3" s="81"/>
      <c r="B3" s="81"/>
      <c r="C3" s="81"/>
      <c r="D3" s="81"/>
      <c r="E3" s="102"/>
      <c r="F3" s="103"/>
      <c r="G3" s="103"/>
      <c r="H3" s="103"/>
      <c r="I3" s="103"/>
      <c r="J3" s="103"/>
      <c r="K3" s="103"/>
      <c r="L3" s="103"/>
      <c r="M3" s="103"/>
      <c r="N3" s="103"/>
      <c r="O3" s="106"/>
    </row>
    <row r="4" spans="1:15" ht="8.1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</row>
    <row r="5" spans="1:15" ht="26.45" customHeight="1">
      <c r="A5" s="108" t="s">
        <v>50</v>
      </c>
      <c r="B5" s="109" t="s">
        <v>60</v>
      </c>
      <c r="C5" s="112" t="s">
        <v>4</v>
      </c>
      <c r="D5" s="112"/>
      <c r="E5" s="112" t="s">
        <v>21</v>
      </c>
      <c r="F5" s="113" t="s">
        <v>48</v>
      </c>
      <c r="G5" s="116" t="s">
        <v>17</v>
      </c>
      <c r="H5" s="117"/>
      <c r="I5" s="117"/>
      <c r="J5" s="118"/>
      <c r="K5" s="116" t="s">
        <v>31</v>
      </c>
      <c r="L5" s="117"/>
      <c r="M5" s="117"/>
      <c r="N5" s="117"/>
      <c r="O5" s="113" t="s">
        <v>2</v>
      </c>
    </row>
    <row r="6" spans="1:15" ht="16.5" customHeight="1">
      <c r="A6" s="108"/>
      <c r="B6" s="110"/>
      <c r="C6" s="112" t="s">
        <v>57</v>
      </c>
      <c r="D6" s="112" t="s">
        <v>55</v>
      </c>
      <c r="E6" s="112"/>
      <c r="F6" s="114"/>
      <c r="G6" s="112" t="s">
        <v>57</v>
      </c>
      <c r="H6" s="112"/>
      <c r="I6" s="112" t="s">
        <v>55</v>
      </c>
      <c r="J6" s="112"/>
      <c r="K6" s="112" t="s">
        <v>59</v>
      </c>
      <c r="L6" s="112"/>
      <c r="M6" s="116" t="s">
        <v>56</v>
      </c>
      <c r="N6" s="117"/>
      <c r="O6" s="114"/>
    </row>
    <row r="7" spans="1:15">
      <c r="A7" s="108"/>
      <c r="B7" s="111"/>
      <c r="C7" s="112"/>
      <c r="D7" s="112"/>
      <c r="E7" s="112"/>
      <c r="F7" s="115"/>
      <c r="G7" s="69" t="s">
        <v>4</v>
      </c>
      <c r="H7" s="69" t="s">
        <v>28</v>
      </c>
      <c r="I7" s="72" t="s">
        <v>4</v>
      </c>
      <c r="J7" s="71" t="s">
        <v>28</v>
      </c>
      <c r="K7" s="69" t="s">
        <v>4</v>
      </c>
      <c r="L7" s="69" t="s">
        <v>48</v>
      </c>
      <c r="M7" s="69" t="s">
        <v>4</v>
      </c>
      <c r="N7" s="70" t="s">
        <v>48</v>
      </c>
      <c r="O7" s="115"/>
    </row>
    <row r="8" spans="1:15">
      <c r="A8" s="73" t="str">
        <f>'1. 소켓인수검사'!A9</f>
        <v>01</v>
      </c>
      <c r="B8" s="78" t="s">
        <v>43</v>
      </c>
      <c r="C8" s="48">
        <f>'1. 소켓인수검사'!C9</f>
        <v>700</v>
      </c>
      <c r="D8" s="48">
        <f>'1. 소켓인수검사'!D9</f>
        <v>400</v>
      </c>
      <c r="E8" s="34"/>
      <c r="F8" s="48">
        <v>1</v>
      </c>
      <c r="G8" s="74">
        <f t="shared" ref="G8:G15" si="0">C8-5</f>
        <v>695</v>
      </c>
      <c r="H8" s="48">
        <f t="shared" ref="H8:H15" si="1">F8*4</f>
        <v>4</v>
      </c>
      <c r="I8" s="75">
        <f t="shared" ref="I8:I15" si="2">D8-30</f>
        <v>370</v>
      </c>
      <c r="J8" s="48">
        <f t="shared" ref="J8:J15" si="3">F8*4</f>
        <v>4</v>
      </c>
      <c r="K8" s="76">
        <f t="shared" ref="K8:K15" si="4">C8+60</f>
        <v>760</v>
      </c>
      <c r="L8" s="48">
        <v>2</v>
      </c>
      <c r="M8" s="76">
        <f t="shared" ref="M8:M15" si="5">D8</f>
        <v>400</v>
      </c>
      <c r="N8" s="48">
        <v>2</v>
      </c>
      <c r="O8" s="77"/>
    </row>
    <row r="9" spans="1:15">
      <c r="A9" s="73" t="str">
        <f>'1. 소켓인수검사'!A10</f>
        <v>02</v>
      </c>
      <c r="B9" s="78" t="s">
        <v>43</v>
      </c>
      <c r="C9" s="48">
        <f>'1. 소켓인수검사'!C10</f>
        <v>700</v>
      </c>
      <c r="D9" s="48">
        <f>'1. 소켓인수검사'!D10</f>
        <v>400</v>
      </c>
      <c r="E9" s="34"/>
      <c r="F9" s="48">
        <v>1</v>
      </c>
      <c r="G9" s="74">
        <f t="shared" si="0"/>
        <v>695</v>
      </c>
      <c r="H9" s="48">
        <f t="shared" si="1"/>
        <v>4</v>
      </c>
      <c r="I9" s="75">
        <f t="shared" si="2"/>
        <v>370</v>
      </c>
      <c r="J9" s="48">
        <f t="shared" si="3"/>
        <v>4</v>
      </c>
      <c r="K9" s="76">
        <f t="shared" si="4"/>
        <v>760</v>
      </c>
      <c r="L9" s="48">
        <v>2</v>
      </c>
      <c r="M9" s="76">
        <f t="shared" si="5"/>
        <v>400</v>
      </c>
      <c r="N9" s="48">
        <v>2</v>
      </c>
      <c r="O9" s="77"/>
    </row>
    <row r="10" spans="1:15">
      <c r="A10" s="73" t="str">
        <f>'1. 소켓인수검사'!A11</f>
        <v>03</v>
      </c>
      <c r="B10" s="78" t="s">
        <v>43</v>
      </c>
      <c r="C10" s="48">
        <f>'1. 소켓인수검사'!C11</f>
        <v>700</v>
      </c>
      <c r="D10" s="48">
        <f>'1. 소켓인수검사'!D11</f>
        <v>400</v>
      </c>
      <c r="E10" s="34"/>
      <c r="F10" s="48">
        <v>1</v>
      </c>
      <c r="G10" s="74">
        <f t="shared" si="0"/>
        <v>695</v>
      </c>
      <c r="H10" s="48">
        <f t="shared" si="1"/>
        <v>4</v>
      </c>
      <c r="I10" s="75">
        <f t="shared" si="2"/>
        <v>370</v>
      </c>
      <c r="J10" s="48">
        <f t="shared" si="3"/>
        <v>4</v>
      </c>
      <c r="K10" s="76">
        <f t="shared" si="4"/>
        <v>760</v>
      </c>
      <c r="L10" s="48">
        <v>2</v>
      </c>
      <c r="M10" s="76">
        <f t="shared" si="5"/>
        <v>400</v>
      </c>
      <c r="N10" s="48">
        <v>2</v>
      </c>
      <c r="O10" s="77"/>
    </row>
    <row r="11" spans="1:15">
      <c r="A11" s="73" t="str">
        <f>'1. 소켓인수검사'!A12</f>
        <v>04</v>
      </c>
      <c r="B11" s="78" t="s">
        <v>43</v>
      </c>
      <c r="C11" s="48">
        <f>'1. 소켓인수검사'!C12</f>
        <v>700</v>
      </c>
      <c r="D11" s="48">
        <f>'1. 소켓인수검사'!D12</f>
        <v>400</v>
      </c>
      <c r="E11" s="34"/>
      <c r="F11" s="48">
        <v>1</v>
      </c>
      <c r="G11" s="74">
        <f t="shared" si="0"/>
        <v>695</v>
      </c>
      <c r="H11" s="48">
        <f t="shared" si="1"/>
        <v>4</v>
      </c>
      <c r="I11" s="75">
        <f t="shared" si="2"/>
        <v>370</v>
      </c>
      <c r="J11" s="48">
        <f t="shared" si="3"/>
        <v>4</v>
      </c>
      <c r="K11" s="76">
        <f t="shared" si="4"/>
        <v>760</v>
      </c>
      <c r="L11" s="48">
        <v>2</v>
      </c>
      <c r="M11" s="76">
        <f t="shared" si="5"/>
        <v>400</v>
      </c>
      <c r="N11" s="48">
        <v>2</v>
      </c>
      <c r="O11" s="77"/>
    </row>
    <row r="12" spans="1:15">
      <c r="A12" s="73" t="str">
        <f>'1. 소켓인수검사'!A13</f>
        <v>05</v>
      </c>
      <c r="B12" s="78" t="s">
        <v>43</v>
      </c>
      <c r="C12" s="48">
        <f>'1. 소켓인수검사'!C13</f>
        <v>700</v>
      </c>
      <c r="D12" s="48">
        <f>'1. 소켓인수검사'!D13</f>
        <v>400</v>
      </c>
      <c r="E12" s="34"/>
      <c r="F12" s="48">
        <v>1</v>
      </c>
      <c r="G12" s="74">
        <f t="shared" si="0"/>
        <v>695</v>
      </c>
      <c r="H12" s="48">
        <f t="shared" si="1"/>
        <v>4</v>
      </c>
      <c r="I12" s="75">
        <f t="shared" si="2"/>
        <v>370</v>
      </c>
      <c r="J12" s="48">
        <f t="shared" si="3"/>
        <v>4</v>
      </c>
      <c r="K12" s="76">
        <f t="shared" si="4"/>
        <v>760</v>
      </c>
      <c r="L12" s="48">
        <v>2</v>
      </c>
      <c r="M12" s="76">
        <f t="shared" si="5"/>
        <v>400</v>
      </c>
      <c r="N12" s="48">
        <v>2</v>
      </c>
      <c r="O12" s="77"/>
    </row>
    <row r="13" spans="1:15">
      <c r="A13" s="73" t="str">
        <f>'1. 소켓인수검사'!A14</f>
        <v>06</v>
      </c>
      <c r="B13" s="78" t="s">
        <v>43</v>
      </c>
      <c r="C13" s="48">
        <f>'1. 소켓인수검사'!C14</f>
        <v>700</v>
      </c>
      <c r="D13" s="48">
        <f>'1. 소켓인수검사'!D14</f>
        <v>400</v>
      </c>
      <c r="E13" s="34"/>
      <c r="F13" s="48">
        <v>1</v>
      </c>
      <c r="G13" s="74">
        <f t="shared" si="0"/>
        <v>695</v>
      </c>
      <c r="H13" s="48">
        <f t="shared" si="1"/>
        <v>4</v>
      </c>
      <c r="I13" s="75">
        <f t="shared" si="2"/>
        <v>370</v>
      </c>
      <c r="J13" s="48">
        <f t="shared" si="3"/>
        <v>4</v>
      </c>
      <c r="K13" s="76">
        <f t="shared" si="4"/>
        <v>760</v>
      </c>
      <c r="L13" s="48">
        <v>2</v>
      </c>
      <c r="M13" s="76">
        <f t="shared" si="5"/>
        <v>400</v>
      </c>
      <c r="N13" s="48">
        <v>2</v>
      </c>
      <c r="O13" s="77"/>
    </row>
    <row r="14" spans="1:15">
      <c r="A14" s="73" t="str">
        <f>'1. 소켓인수검사'!A15</f>
        <v>07</v>
      </c>
      <c r="B14" s="78" t="s">
        <v>43</v>
      </c>
      <c r="C14" s="48">
        <f>'1. 소켓인수검사'!C15</f>
        <v>700</v>
      </c>
      <c r="D14" s="48">
        <f>'1. 소켓인수검사'!D15</f>
        <v>400</v>
      </c>
      <c r="E14" s="34"/>
      <c r="F14" s="48">
        <v>1</v>
      </c>
      <c r="G14" s="74">
        <f t="shared" si="0"/>
        <v>695</v>
      </c>
      <c r="H14" s="48">
        <f t="shared" si="1"/>
        <v>4</v>
      </c>
      <c r="I14" s="75">
        <f t="shared" si="2"/>
        <v>370</v>
      </c>
      <c r="J14" s="48">
        <f t="shared" si="3"/>
        <v>4</v>
      </c>
      <c r="K14" s="76">
        <f t="shared" si="4"/>
        <v>760</v>
      </c>
      <c r="L14" s="48">
        <v>2</v>
      </c>
      <c r="M14" s="76">
        <f t="shared" si="5"/>
        <v>400</v>
      </c>
      <c r="N14" s="48">
        <v>2</v>
      </c>
      <c r="O14" s="77"/>
    </row>
    <row r="15" spans="1:15">
      <c r="A15" s="73" t="str">
        <f>'1. 소켓인수검사'!A16</f>
        <v>08</v>
      </c>
      <c r="B15" s="78" t="s">
        <v>43</v>
      </c>
      <c r="C15" s="48">
        <f>'1. 소켓인수검사'!C16</f>
        <v>700</v>
      </c>
      <c r="D15" s="48">
        <f>'1. 소켓인수검사'!D16</f>
        <v>400</v>
      </c>
      <c r="E15" s="34"/>
      <c r="F15" s="48">
        <v>1</v>
      </c>
      <c r="G15" s="74">
        <f t="shared" si="0"/>
        <v>695</v>
      </c>
      <c r="H15" s="48">
        <f t="shared" si="1"/>
        <v>4</v>
      </c>
      <c r="I15" s="75">
        <f t="shared" si="2"/>
        <v>370</v>
      </c>
      <c r="J15" s="48">
        <f t="shared" si="3"/>
        <v>4</v>
      </c>
      <c r="K15" s="76">
        <f t="shared" si="4"/>
        <v>760</v>
      </c>
      <c r="L15" s="48">
        <v>2</v>
      </c>
      <c r="M15" s="76">
        <f t="shared" si="5"/>
        <v>400</v>
      </c>
      <c r="N15" s="48">
        <v>2</v>
      </c>
      <c r="O15" s="77"/>
    </row>
    <row r="16" spans="1:15" ht="8.1" customHeight="1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</row>
    <row r="17" spans="1:15">
      <c r="A17" s="81" t="s">
        <v>41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</row>
    <row r="18" spans="1:15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</row>
    <row r="19" spans="1:15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</row>
  </sheetData>
  <mergeCells count="21">
    <mergeCell ref="A16:O16"/>
    <mergeCell ref="A17:C19"/>
    <mergeCell ref="D17:O19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8"/>
  <sheetViews>
    <sheetView zoomScaleNormal="100" zoomScaleSheetLayoutView="100" workbookViewId="0">
      <selection activeCell="G28" sqref="G28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81"/>
      <c r="B1" s="81"/>
      <c r="C1" s="81"/>
      <c r="D1" s="81"/>
      <c r="E1" s="122" t="s">
        <v>74</v>
      </c>
      <c r="F1" s="123"/>
      <c r="G1" s="128" t="str">
        <f>'1. 소켓인수검사'!R2</f>
        <v>26.06.09 씨에스_우진아이엔에스_포스코건설_양평동삼화인쇄</v>
      </c>
      <c r="H1" s="128"/>
      <c r="I1" s="128"/>
      <c r="J1" s="128"/>
      <c r="K1" s="129"/>
    </row>
    <row r="2" spans="1:11" ht="16.5" customHeight="1">
      <c r="A2" s="81"/>
      <c r="B2" s="81"/>
      <c r="C2" s="81"/>
      <c r="D2" s="81"/>
      <c r="E2" s="124"/>
      <c r="F2" s="125"/>
      <c r="G2" s="130"/>
      <c r="H2" s="130"/>
      <c r="I2" s="130"/>
      <c r="J2" s="130"/>
      <c r="K2" s="131"/>
    </row>
    <row r="3" spans="1:11" ht="16.5" customHeight="1">
      <c r="A3" s="81"/>
      <c r="B3" s="81"/>
      <c r="C3" s="81"/>
      <c r="D3" s="81"/>
      <c r="E3" s="126"/>
      <c r="F3" s="127"/>
      <c r="G3" s="132"/>
      <c r="H3" s="132"/>
      <c r="I3" s="132"/>
      <c r="J3" s="132"/>
      <c r="K3" s="133"/>
    </row>
    <row r="4" spans="1:11" ht="8.1" customHeight="1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</row>
    <row r="5" spans="1:11" ht="26.45" customHeight="1">
      <c r="A5" s="135" t="s">
        <v>50</v>
      </c>
      <c r="B5" s="136" t="s">
        <v>60</v>
      </c>
      <c r="C5" s="119" t="s">
        <v>4</v>
      </c>
      <c r="D5" s="119"/>
      <c r="E5" s="119" t="s">
        <v>21</v>
      </c>
      <c r="F5" s="139" t="s">
        <v>48</v>
      </c>
      <c r="G5" s="120" t="s">
        <v>31</v>
      </c>
      <c r="H5" s="121"/>
      <c r="I5" s="121"/>
      <c r="J5" s="121"/>
      <c r="K5" s="139" t="s">
        <v>2</v>
      </c>
    </row>
    <row r="6" spans="1:11" ht="16.5" customHeight="1">
      <c r="A6" s="135"/>
      <c r="B6" s="137"/>
      <c r="C6" s="119" t="s">
        <v>57</v>
      </c>
      <c r="D6" s="119" t="s">
        <v>55</v>
      </c>
      <c r="E6" s="119"/>
      <c r="F6" s="140"/>
      <c r="G6" s="119" t="s">
        <v>59</v>
      </c>
      <c r="H6" s="119"/>
      <c r="I6" s="120" t="s">
        <v>56</v>
      </c>
      <c r="J6" s="121"/>
      <c r="K6" s="140"/>
    </row>
    <row r="7" spans="1:11">
      <c r="A7" s="135"/>
      <c r="B7" s="138"/>
      <c r="C7" s="119"/>
      <c r="D7" s="119"/>
      <c r="E7" s="119"/>
      <c r="F7" s="141"/>
      <c r="G7" s="16" t="s">
        <v>4</v>
      </c>
      <c r="H7" s="16" t="s">
        <v>48</v>
      </c>
      <c r="I7" s="16" t="s">
        <v>4</v>
      </c>
      <c r="J7" s="17" t="s">
        <v>48</v>
      </c>
      <c r="K7" s="141"/>
    </row>
    <row r="8" spans="1:11">
      <c r="A8" s="64" t="str">
        <f>'1. 소켓인수검사'!A9</f>
        <v>01</v>
      </c>
      <c r="B8" s="47" t="s">
        <v>43</v>
      </c>
      <c r="C8" s="33">
        <f>'1. 소켓인수검사'!C9</f>
        <v>700</v>
      </c>
      <c r="D8" s="33">
        <f>'1. 소켓인수검사'!D9</f>
        <v>400</v>
      </c>
      <c r="E8" s="34"/>
      <c r="F8" s="33">
        <v>1</v>
      </c>
      <c r="G8" s="46">
        <f t="shared" ref="G8:G15" si="0">C8+60</f>
        <v>760</v>
      </c>
      <c r="H8" s="33">
        <v>2</v>
      </c>
      <c r="I8" s="46">
        <f t="shared" ref="I8:I15" si="1">D8</f>
        <v>400</v>
      </c>
      <c r="J8" s="33">
        <v>2</v>
      </c>
      <c r="K8" s="45"/>
    </row>
    <row r="9" spans="1:11">
      <c r="A9" s="64" t="str">
        <f>'1. 소켓인수검사'!A10</f>
        <v>02</v>
      </c>
      <c r="B9" s="47" t="s">
        <v>43</v>
      </c>
      <c r="C9" s="33">
        <f>'1. 소켓인수검사'!C10</f>
        <v>700</v>
      </c>
      <c r="D9" s="33">
        <f>'1. 소켓인수검사'!D10</f>
        <v>400</v>
      </c>
      <c r="E9" s="34"/>
      <c r="F9" s="33">
        <v>1</v>
      </c>
      <c r="G9" s="46">
        <f t="shared" si="0"/>
        <v>760</v>
      </c>
      <c r="H9" s="33">
        <v>2</v>
      </c>
      <c r="I9" s="46">
        <f t="shared" si="1"/>
        <v>400</v>
      </c>
      <c r="J9" s="33">
        <v>2</v>
      </c>
      <c r="K9" s="45"/>
    </row>
    <row r="10" spans="1:11">
      <c r="A10" s="64" t="str">
        <f>'1. 소켓인수검사'!A11</f>
        <v>03</v>
      </c>
      <c r="B10" s="47" t="s">
        <v>43</v>
      </c>
      <c r="C10" s="33">
        <f>'1. 소켓인수검사'!C11</f>
        <v>700</v>
      </c>
      <c r="D10" s="33">
        <f>'1. 소켓인수검사'!D11</f>
        <v>400</v>
      </c>
      <c r="E10" s="34"/>
      <c r="F10" s="33">
        <v>1</v>
      </c>
      <c r="G10" s="46">
        <f t="shared" si="0"/>
        <v>760</v>
      </c>
      <c r="H10" s="33">
        <v>2</v>
      </c>
      <c r="I10" s="46">
        <f t="shared" si="1"/>
        <v>400</v>
      </c>
      <c r="J10" s="33">
        <v>2</v>
      </c>
      <c r="K10" s="45"/>
    </row>
    <row r="11" spans="1:11">
      <c r="A11" s="64" t="str">
        <f>'1. 소켓인수검사'!A12</f>
        <v>04</v>
      </c>
      <c r="B11" s="47" t="s">
        <v>43</v>
      </c>
      <c r="C11" s="33">
        <f>'1. 소켓인수검사'!C12</f>
        <v>700</v>
      </c>
      <c r="D11" s="33">
        <f>'1. 소켓인수검사'!D12</f>
        <v>400</v>
      </c>
      <c r="E11" s="34"/>
      <c r="F11" s="33">
        <v>1</v>
      </c>
      <c r="G11" s="46">
        <f t="shared" si="0"/>
        <v>760</v>
      </c>
      <c r="H11" s="33">
        <v>2</v>
      </c>
      <c r="I11" s="46">
        <f t="shared" si="1"/>
        <v>400</v>
      </c>
      <c r="J11" s="33">
        <v>2</v>
      </c>
      <c r="K11" s="45"/>
    </row>
    <row r="12" spans="1:11">
      <c r="A12" s="64" t="str">
        <f>'1. 소켓인수검사'!A13</f>
        <v>05</v>
      </c>
      <c r="B12" s="47" t="s">
        <v>43</v>
      </c>
      <c r="C12" s="33">
        <f>'1. 소켓인수검사'!C13</f>
        <v>700</v>
      </c>
      <c r="D12" s="33">
        <f>'1. 소켓인수검사'!D13</f>
        <v>400</v>
      </c>
      <c r="E12" s="34"/>
      <c r="F12" s="33">
        <v>1</v>
      </c>
      <c r="G12" s="46">
        <f t="shared" si="0"/>
        <v>760</v>
      </c>
      <c r="H12" s="33">
        <v>2</v>
      </c>
      <c r="I12" s="46">
        <f t="shared" si="1"/>
        <v>400</v>
      </c>
      <c r="J12" s="33">
        <v>2</v>
      </c>
      <c r="K12" s="45"/>
    </row>
    <row r="13" spans="1:11">
      <c r="A13" s="64" t="str">
        <f>'1. 소켓인수검사'!A14</f>
        <v>06</v>
      </c>
      <c r="B13" s="47" t="s">
        <v>43</v>
      </c>
      <c r="C13" s="33">
        <f>'1. 소켓인수검사'!C14</f>
        <v>700</v>
      </c>
      <c r="D13" s="33">
        <f>'1. 소켓인수검사'!D14</f>
        <v>400</v>
      </c>
      <c r="E13" s="34"/>
      <c r="F13" s="33">
        <v>1</v>
      </c>
      <c r="G13" s="46">
        <f t="shared" si="0"/>
        <v>760</v>
      </c>
      <c r="H13" s="33">
        <v>2</v>
      </c>
      <c r="I13" s="46">
        <f t="shared" si="1"/>
        <v>400</v>
      </c>
      <c r="J13" s="33">
        <v>2</v>
      </c>
      <c r="K13" s="45"/>
    </row>
    <row r="14" spans="1:11">
      <c r="A14" s="64" t="str">
        <f>'1. 소켓인수검사'!A15</f>
        <v>07</v>
      </c>
      <c r="B14" s="47" t="s">
        <v>43</v>
      </c>
      <c r="C14" s="33">
        <f>'1. 소켓인수검사'!C15</f>
        <v>700</v>
      </c>
      <c r="D14" s="33">
        <f>'1. 소켓인수검사'!D15</f>
        <v>400</v>
      </c>
      <c r="E14" s="34"/>
      <c r="F14" s="33">
        <v>1</v>
      </c>
      <c r="G14" s="46">
        <f t="shared" si="0"/>
        <v>760</v>
      </c>
      <c r="H14" s="33">
        <v>2</v>
      </c>
      <c r="I14" s="46">
        <f t="shared" si="1"/>
        <v>400</v>
      </c>
      <c r="J14" s="33">
        <v>2</v>
      </c>
      <c r="K14" s="45"/>
    </row>
    <row r="15" spans="1:11">
      <c r="A15" s="64" t="str">
        <f>'1. 소켓인수검사'!A16</f>
        <v>08</v>
      </c>
      <c r="B15" s="47" t="s">
        <v>43</v>
      </c>
      <c r="C15" s="33">
        <f>'1. 소켓인수검사'!C16</f>
        <v>700</v>
      </c>
      <c r="D15" s="33">
        <f>'1. 소켓인수검사'!D16</f>
        <v>400</v>
      </c>
      <c r="E15" s="34"/>
      <c r="F15" s="33">
        <v>1</v>
      </c>
      <c r="G15" s="46">
        <f t="shared" si="0"/>
        <v>760</v>
      </c>
      <c r="H15" s="33">
        <v>2</v>
      </c>
      <c r="I15" s="46">
        <f t="shared" si="1"/>
        <v>400</v>
      </c>
      <c r="J15" s="33">
        <v>2</v>
      </c>
      <c r="K15" s="45"/>
    </row>
    <row r="16" spans="1:11">
      <c r="A16" s="81" t="s">
        <v>41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</row>
    <row r="17" spans="1:11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</row>
    <row r="18" spans="1:11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</row>
  </sheetData>
  <mergeCells count="17">
    <mergeCell ref="D6:D7"/>
    <mergeCell ref="G6:H6"/>
    <mergeCell ref="I6:J6"/>
    <mergeCell ref="E1:F3"/>
    <mergeCell ref="G1:K3"/>
    <mergeCell ref="A16:C18"/>
    <mergeCell ref="D16:K18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3"/>
  <sheetViews>
    <sheetView zoomScaleNormal="100" zoomScaleSheetLayoutView="100" workbookViewId="0">
      <selection activeCell="I34" sqref="I34"/>
    </sheetView>
  </sheetViews>
  <sheetFormatPr defaultColWidth="9" defaultRowHeight="16.5"/>
  <cols>
    <col min="1" max="1" width="3.625" style="6" customWidth="1"/>
    <col min="2" max="3" width="9.625" style="6" customWidth="1"/>
    <col min="4" max="4" width="5.625" style="6" customWidth="1"/>
    <col min="5" max="5" width="13.875" style="6" customWidth="1"/>
    <col min="6" max="6" width="5.125" style="6" customWidth="1"/>
    <col min="7" max="10" width="9.625" style="6" customWidth="1"/>
    <col min="11" max="13" width="3.625" style="6" customWidth="1"/>
    <col min="14" max="16" width="9.75" style="6" customWidth="1"/>
    <col min="17" max="16384" width="9" style="6"/>
  </cols>
  <sheetData>
    <row r="1" spans="1:16" ht="16.5" customHeight="1">
      <c r="A1" s="81"/>
      <c r="B1" s="81"/>
      <c r="C1" s="81"/>
      <c r="D1" s="81"/>
      <c r="E1" s="151" t="s">
        <v>63</v>
      </c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3"/>
    </row>
    <row r="2" spans="1:16" ht="16.5" customHeight="1">
      <c r="A2" s="81"/>
      <c r="B2" s="81"/>
      <c r="C2" s="81"/>
      <c r="D2" s="81"/>
      <c r="E2" s="154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6"/>
    </row>
    <row r="3" spans="1:16" ht="16.5" customHeight="1">
      <c r="A3" s="81"/>
      <c r="B3" s="81"/>
      <c r="C3" s="81"/>
      <c r="D3" s="81"/>
      <c r="E3" s="154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6"/>
    </row>
    <row r="4" spans="1:16" ht="16.5" customHeight="1">
      <c r="A4" s="81" t="s">
        <v>14</v>
      </c>
      <c r="B4" s="81"/>
      <c r="C4" s="160"/>
      <c r="D4" s="161"/>
      <c r="E4" s="157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>
      <c r="A5" s="81" t="s">
        <v>23</v>
      </c>
      <c r="B5" s="81"/>
      <c r="C5" s="81"/>
      <c r="D5" s="81"/>
      <c r="E5" s="7" t="s">
        <v>29</v>
      </c>
      <c r="F5" s="81"/>
      <c r="G5" s="81"/>
      <c r="H5" s="81" t="s">
        <v>53</v>
      </c>
      <c r="I5" s="81"/>
      <c r="J5" s="81"/>
      <c r="K5" s="81" t="s">
        <v>49</v>
      </c>
      <c r="L5" s="81"/>
      <c r="M5" s="81"/>
      <c r="N5" s="162" t="str">
        <f>'1. 소켓인수검사'!R2</f>
        <v>26.06.09 씨에스_우진아이엔에스_포스코건설_양평동삼화인쇄</v>
      </c>
      <c r="O5" s="162"/>
      <c r="P5" s="162"/>
    </row>
    <row r="6" spans="1:16">
      <c r="A6" s="81"/>
      <c r="B6" s="81"/>
      <c r="C6" s="81"/>
      <c r="D6" s="81"/>
      <c r="E6" s="7" t="s">
        <v>26</v>
      </c>
      <c r="F6" s="81"/>
      <c r="G6" s="81"/>
      <c r="H6" s="81"/>
      <c r="I6" s="81"/>
      <c r="J6" s="81"/>
      <c r="K6" s="81"/>
      <c r="L6" s="81"/>
      <c r="M6" s="81"/>
      <c r="N6" s="162"/>
      <c r="O6" s="162"/>
      <c r="P6" s="162"/>
    </row>
    <row r="7" spans="1:16" ht="8.1" customHeight="1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</row>
    <row r="8" spans="1:16">
      <c r="A8" s="145" t="s">
        <v>50</v>
      </c>
      <c r="B8" s="147" t="s">
        <v>4</v>
      </c>
      <c r="C8" s="147"/>
      <c r="D8" s="147" t="s">
        <v>25</v>
      </c>
      <c r="E8" s="147" t="s">
        <v>21</v>
      </c>
      <c r="F8" s="147" t="s">
        <v>54</v>
      </c>
      <c r="G8" s="147" t="s">
        <v>24</v>
      </c>
      <c r="H8" s="147"/>
      <c r="I8" s="147"/>
      <c r="J8" s="147"/>
      <c r="K8" s="147"/>
      <c r="L8" s="147"/>
      <c r="M8" s="147"/>
      <c r="N8" s="147"/>
      <c r="O8" s="147"/>
      <c r="P8" s="149" t="s">
        <v>2</v>
      </c>
    </row>
    <row r="9" spans="1:16" ht="16.5" customHeight="1">
      <c r="A9" s="146"/>
      <c r="B9" s="148" t="s">
        <v>57</v>
      </c>
      <c r="C9" s="148" t="s">
        <v>55</v>
      </c>
      <c r="D9" s="148"/>
      <c r="E9" s="148"/>
      <c r="F9" s="148"/>
      <c r="G9" s="148" t="s">
        <v>51</v>
      </c>
      <c r="H9" s="148" t="s">
        <v>57</v>
      </c>
      <c r="I9" s="148"/>
      <c r="J9" s="148" t="s">
        <v>10</v>
      </c>
      <c r="K9" s="148" t="s">
        <v>55</v>
      </c>
      <c r="L9" s="148"/>
      <c r="M9" s="148"/>
      <c r="N9" s="148"/>
      <c r="O9" s="148" t="s">
        <v>10</v>
      </c>
      <c r="P9" s="150"/>
    </row>
    <row r="10" spans="1:16">
      <c r="A10" s="146"/>
      <c r="B10" s="148"/>
      <c r="C10" s="148"/>
      <c r="D10" s="148"/>
      <c r="E10" s="148"/>
      <c r="F10" s="148"/>
      <c r="G10" s="148"/>
      <c r="H10" s="26" t="s">
        <v>4</v>
      </c>
      <c r="I10" s="26" t="s">
        <v>28</v>
      </c>
      <c r="J10" s="148"/>
      <c r="K10" s="148" t="s">
        <v>4</v>
      </c>
      <c r="L10" s="148"/>
      <c r="M10" s="148"/>
      <c r="N10" s="26" t="s">
        <v>28</v>
      </c>
      <c r="O10" s="148"/>
      <c r="P10" s="150"/>
    </row>
    <row r="11" spans="1:16">
      <c r="A11" s="25" t="str">
        <f>'1. 소켓인수검사'!A9</f>
        <v>01</v>
      </c>
      <c r="B11" s="27">
        <f>'1. 소켓인수검사'!C9</f>
        <v>700</v>
      </c>
      <c r="C11" s="27">
        <f>'1. 소켓인수검사'!D9</f>
        <v>400</v>
      </c>
      <c r="D11" s="28">
        <v>1</v>
      </c>
      <c r="E11" s="29"/>
      <c r="F11" s="28">
        <v>1.6</v>
      </c>
      <c r="G11" s="28"/>
      <c r="H11" s="28">
        <f t="shared" ref="H11:H18" si="0">B11-1</f>
        <v>699</v>
      </c>
      <c r="I11" s="28">
        <f t="shared" ref="I11:I18" si="1">D11*4</f>
        <v>4</v>
      </c>
      <c r="J11" s="28"/>
      <c r="K11" s="144">
        <f t="shared" ref="K11:K18" si="2">C11-30</f>
        <v>370</v>
      </c>
      <c r="L11" s="144"/>
      <c r="M11" s="144"/>
      <c r="N11" s="28">
        <f t="shared" ref="N11:N18" si="3">D11*4</f>
        <v>4</v>
      </c>
      <c r="O11" s="28"/>
      <c r="P11" s="30"/>
    </row>
    <row r="12" spans="1:16">
      <c r="A12" s="25" t="str">
        <f>'1. 소켓인수검사'!A10</f>
        <v>02</v>
      </c>
      <c r="B12" s="27">
        <f>'1. 소켓인수검사'!C10</f>
        <v>700</v>
      </c>
      <c r="C12" s="27">
        <f>'1. 소켓인수검사'!D10</f>
        <v>400</v>
      </c>
      <c r="D12" s="28">
        <v>1</v>
      </c>
      <c r="E12" s="29"/>
      <c r="F12" s="28">
        <v>1.6</v>
      </c>
      <c r="G12" s="28"/>
      <c r="H12" s="28">
        <f t="shared" si="0"/>
        <v>699</v>
      </c>
      <c r="I12" s="28">
        <f t="shared" si="1"/>
        <v>4</v>
      </c>
      <c r="J12" s="28"/>
      <c r="K12" s="144">
        <f t="shared" si="2"/>
        <v>370</v>
      </c>
      <c r="L12" s="144"/>
      <c r="M12" s="144"/>
      <c r="N12" s="28">
        <f t="shared" si="3"/>
        <v>4</v>
      </c>
      <c r="O12" s="28"/>
      <c r="P12" s="30"/>
    </row>
    <row r="13" spans="1:16">
      <c r="A13" s="25" t="str">
        <f>'1. 소켓인수검사'!A11</f>
        <v>03</v>
      </c>
      <c r="B13" s="27">
        <f>'1. 소켓인수검사'!C11</f>
        <v>700</v>
      </c>
      <c r="C13" s="27">
        <f>'1. 소켓인수검사'!D11</f>
        <v>400</v>
      </c>
      <c r="D13" s="28">
        <v>1</v>
      </c>
      <c r="E13" s="29"/>
      <c r="F13" s="28">
        <v>1.6</v>
      </c>
      <c r="G13" s="28"/>
      <c r="H13" s="28">
        <f t="shared" si="0"/>
        <v>699</v>
      </c>
      <c r="I13" s="28">
        <f t="shared" si="1"/>
        <v>4</v>
      </c>
      <c r="J13" s="28"/>
      <c r="K13" s="144">
        <f t="shared" si="2"/>
        <v>370</v>
      </c>
      <c r="L13" s="144"/>
      <c r="M13" s="144"/>
      <c r="N13" s="28">
        <f t="shared" si="3"/>
        <v>4</v>
      </c>
      <c r="O13" s="28"/>
      <c r="P13" s="30"/>
    </row>
    <row r="14" spans="1:16">
      <c r="A14" s="25" t="str">
        <f>'1. 소켓인수검사'!A12</f>
        <v>04</v>
      </c>
      <c r="B14" s="27">
        <f>'1. 소켓인수검사'!C12</f>
        <v>700</v>
      </c>
      <c r="C14" s="27">
        <f>'1. 소켓인수검사'!D12</f>
        <v>400</v>
      </c>
      <c r="D14" s="28">
        <v>1</v>
      </c>
      <c r="E14" s="29"/>
      <c r="F14" s="28">
        <v>1.6</v>
      </c>
      <c r="G14" s="28"/>
      <c r="H14" s="28">
        <f t="shared" si="0"/>
        <v>699</v>
      </c>
      <c r="I14" s="28">
        <f t="shared" si="1"/>
        <v>4</v>
      </c>
      <c r="J14" s="28"/>
      <c r="K14" s="144">
        <f t="shared" si="2"/>
        <v>370</v>
      </c>
      <c r="L14" s="144"/>
      <c r="M14" s="144"/>
      <c r="N14" s="28">
        <f t="shared" si="3"/>
        <v>4</v>
      </c>
      <c r="O14" s="28"/>
      <c r="P14" s="30"/>
    </row>
    <row r="15" spans="1:16">
      <c r="A15" s="25" t="str">
        <f>'1. 소켓인수검사'!A13</f>
        <v>05</v>
      </c>
      <c r="B15" s="27">
        <f>'1. 소켓인수검사'!C13</f>
        <v>700</v>
      </c>
      <c r="C15" s="27">
        <f>'1. 소켓인수검사'!D13</f>
        <v>400</v>
      </c>
      <c r="D15" s="28">
        <v>1</v>
      </c>
      <c r="E15" s="29"/>
      <c r="F15" s="28">
        <v>1.6</v>
      </c>
      <c r="G15" s="28"/>
      <c r="H15" s="28">
        <f t="shared" si="0"/>
        <v>699</v>
      </c>
      <c r="I15" s="28">
        <f t="shared" si="1"/>
        <v>4</v>
      </c>
      <c r="J15" s="28"/>
      <c r="K15" s="144">
        <f t="shared" si="2"/>
        <v>370</v>
      </c>
      <c r="L15" s="144"/>
      <c r="M15" s="144"/>
      <c r="N15" s="28">
        <f t="shared" si="3"/>
        <v>4</v>
      </c>
      <c r="O15" s="28"/>
      <c r="P15" s="30"/>
    </row>
    <row r="16" spans="1:16">
      <c r="A16" s="25" t="str">
        <f>'1. 소켓인수검사'!A14</f>
        <v>06</v>
      </c>
      <c r="B16" s="27">
        <f>'1. 소켓인수검사'!C14</f>
        <v>700</v>
      </c>
      <c r="C16" s="27">
        <f>'1. 소켓인수검사'!D14</f>
        <v>400</v>
      </c>
      <c r="D16" s="28">
        <v>1</v>
      </c>
      <c r="E16" s="29"/>
      <c r="F16" s="28">
        <v>1.6</v>
      </c>
      <c r="G16" s="28"/>
      <c r="H16" s="28">
        <f t="shared" si="0"/>
        <v>699</v>
      </c>
      <c r="I16" s="28">
        <f t="shared" si="1"/>
        <v>4</v>
      </c>
      <c r="J16" s="28"/>
      <c r="K16" s="144">
        <f t="shared" si="2"/>
        <v>370</v>
      </c>
      <c r="L16" s="144"/>
      <c r="M16" s="144"/>
      <c r="N16" s="28">
        <f t="shared" si="3"/>
        <v>4</v>
      </c>
      <c r="O16" s="28"/>
      <c r="P16" s="30"/>
    </row>
    <row r="17" spans="1:16">
      <c r="A17" s="25" t="str">
        <f>'1. 소켓인수검사'!A15</f>
        <v>07</v>
      </c>
      <c r="B17" s="27">
        <f>'1. 소켓인수검사'!C15</f>
        <v>700</v>
      </c>
      <c r="C17" s="27">
        <f>'1. 소켓인수검사'!D15</f>
        <v>400</v>
      </c>
      <c r="D17" s="28">
        <v>1</v>
      </c>
      <c r="E17" s="29"/>
      <c r="F17" s="28">
        <v>1.6</v>
      </c>
      <c r="G17" s="28"/>
      <c r="H17" s="28">
        <f t="shared" si="0"/>
        <v>699</v>
      </c>
      <c r="I17" s="28">
        <f t="shared" si="1"/>
        <v>4</v>
      </c>
      <c r="J17" s="28"/>
      <c r="K17" s="144">
        <f t="shared" si="2"/>
        <v>370</v>
      </c>
      <c r="L17" s="144"/>
      <c r="M17" s="144"/>
      <c r="N17" s="28">
        <f t="shared" si="3"/>
        <v>4</v>
      </c>
      <c r="O17" s="28"/>
      <c r="P17" s="30"/>
    </row>
    <row r="18" spans="1:16">
      <c r="A18" s="25" t="str">
        <f>'1. 소켓인수검사'!A16</f>
        <v>08</v>
      </c>
      <c r="B18" s="27">
        <f>'1. 소켓인수검사'!C16</f>
        <v>700</v>
      </c>
      <c r="C18" s="27">
        <f>'1. 소켓인수검사'!D16</f>
        <v>400</v>
      </c>
      <c r="D18" s="28">
        <v>1</v>
      </c>
      <c r="E18" s="29"/>
      <c r="F18" s="28">
        <v>1.6</v>
      </c>
      <c r="G18" s="28"/>
      <c r="H18" s="28">
        <f t="shared" si="0"/>
        <v>699</v>
      </c>
      <c r="I18" s="28">
        <f t="shared" si="1"/>
        <v>4</v>
      </c>
      <c r="J18" s="28"/>
      <c r="K18" s="144">
        <f t="shared" si="2"/>
        <v>370</v>
      </c>
      <c r="L18" s="144"/>
      <c r="M18" s="144"/>
      <c r="N18" s="28">
        <f t="shared" si="3"/>
        <v>4</v>
      </c>
      <c r="O18" s="28"/>
      <c r="P18" s="30"/>
    </row>
    <row r="19" spans="1:16" ht="8.1" customHeight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 spans="1:16">
      <c r="A20" s="142" t="s">
        <v>42</v>
      </c>
      <c r="B20" s="142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</row>
    <row r="21" spans="1:16">
      <c r="A21" s="142"/>
      <c r="B21" s="142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</row>
    <row r="22" spans="1:16">
      <c r="A22" s="142"/>
      <c r="B22" s="142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</row>
    <row r="23" spans="1:16">
      <c r="A23" s="142"/>
      <c r="B23" s="142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</row>
  </sheetData>
  <mergeCells count="39"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K11:M11"/>
    <mergeCell ref="K12:M12"/>
    <mergeCell ref="K13:M13"/>
    <mergeCell ref="K14:M1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A19:P19"/>
    <mergeCell ref="A20:B23"/>
    <mergeCell ref="C20:P23"/>
    <mergeCell ref="K15:M15"/>
    <mergeCell ref="K16:M16"/>
    <mergeCell ref="K17:M17"/>
    <mergeCell ref="K18:M18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7"/>
  <sheetViews>
    <sheetView zoomScaleNormal="100" zoomScaleSheetLayoutView="100" workbookViewId="0">
      <pane ySplit="9" topLeftCell="A10" activePane="bottomLeft" state="frozen"/>
      <selection pane="bottomLeft" activeCell="A18" sqref="A18:XFD219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81"/>
      <c r="B1" s="81"/>
      <c r="C1" s="81"/>
      <c r="D1" s="187" t="s">
        <v>40</v>
      </c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8"/>
      <c r="R1" s="189"/>
      <c r="S1" s="15"/>
    </row>
    <row r="2" spans="1:19">
      <c r="A2" s="81"/>
      <c r="B2" s="81"/>
      <c r="C2" s="81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8"/>
      <c r="R2" s="190"/>
      <c r="S2" s="191"/>
    </row>
    <row r="3" spans="1:19" ht="24" customHeight="1">
      <c r="A3" s="81"/>
      <c r="B3" s="81"/>
      <c r="C3" s="81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8"/>
      <c r="R3" s="190"/>
      <c r="S3" s="191"/>
    </row>
    <row r="4" spans="1:19">
      <c r="A4" s="81" t="s">
        <v>14</v>
      </c>
      <c r="B4" s="81"/>
      <c r="C4" s="2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8"/>
      <c r="R4" s="190"/>
      <c r="S4" s="191"/>
    </row>
    <row r="5" spans="1:19">
      <c r="A5" s="81" t="s">
        <v>23</v>
      </c>
      <c r="B5" s="81"/>
      <c r="C5" s="81"/>
      <c r="D5" s="3" t="s">
        <v>29</v>
      </c>
      <c r="E5" s="192"/>
      <c r="F5" s="193"/>
      <c r="G5" s="194" t="s">
        <v>53</v>
      </c>
      <c r="H5" s="196"/>
      <c r="I5" s="172"/>
      <c r="J5" s="172"/>
      <c r="K5" s="197"/>
      <c r="L5" s="194" t="s">
        <v>18</v>
      </c>
      <c r="M5" s="51"/>
      <c r="N5" s="51"/>
      <c r="O5" s="194" t="s">
        <v>18</v>
      </c>
      <c r="P5" s="198" t="str">
        <f>'1. 소켓인수검사'!R2</f>
        <v>26.06.09 씨에스_우진아이엔에스_포스코건설_양평동삼화인쇄</v>
      </c>
      <c r="Q5" s="199"/>
      <c r="R5" s="199"/>
      <c r="S5" s="200"/>
    </row>
    <row r="6" spans="1:19">
      <c r="A6" s="81"/>
      <c r="B6" s="81"/>
      <c r="C6" s="81"/>
      <c r="D6" s="3" t="s">
        <v>26</v>
      </c>
      <c r="E6" s="192"/>
      <c r="F6" s="193"/>
      <c r="G6" s="195"/>
      <c r="H6" s="180"/>
      <c r="I6" s="134"/>
      <c r="J6" s="134"/>
      <c r="K6" s="181"/>
      <c r="L6" s="195"/>
      <c r="M6" s="52"/>
      <c r="N6" s="52"/>
      <c r="O6" s="195"/>
      <c r="P6" s="201"/>
      <c r="Q6" s="202"/>
      <c r="R6" s="202"/>
      <c r="S6" s="203"/>
    </row>
    <row r="7" spans="1:19" ht="8.1" customHeight="1">
      <c r="A7" s="180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81"/>
    </row>
    <row r="8" spans="1:19" ht="16.5" customHeight="1">
      <c r="A8" s="93" t="s">
        <v>50</v>
      </c>
      <c r="B8" s="183" t="s">
        <v>57</v>
      </c>
      <c r="C8" s="183" t="s">
        <v>55</v>
      </c>
      <c r="D8" s="183" t="s">
        <v>60</v>
      </c>
      <c r="E8" s="183" t="s">
        <v>45</v>
      </c>
      <c r="F8" s="183" t="s">
        <v>52</v>
      </c>
      <c r="G8" s="183" t="s">
        <v>20</v>
      </c>
      <c r="H8" s="183"/>
      <c r="I8" s="183"/>
      <c r="J8" s="183" t="s">
        <v>0</v>
      </c>
      <c r="K8" s="183"/>
      <c r="L8" s="183"/>
      <c r="M8" s="183" t="s">
        <v>0</v>
      </c>
      <c r="N8" s="183"/>
      <c r="O8" s="183"/>
      <c r="P8" s="183" t="s">
        <v>0</v>
      </c>
      <c r="Q8" s="183"/>
      <c r="R8" s="183"/>
      <c r="S8" s="185"/>
    </row>
    <row r="9" spans="1:19" ht="33" customHeight="1">
      <c r="A9" s="182"/>
      <c r="B9" s="184"/>
      <c r="C9" s="184"/>
      <c r="D9" s="184"/>
      <c r="E9" s="184"/>
      <c r="F9" s="184"/>
      <c r="G9" s="54" t="s">
        <v>30</v>
      </c>
      <c r="H9" s="54" t="s">
        <v>48</v>
      </c>
      <c r="I9" s="54" t="s">
        <v>47</v>
      </c>
      <c r="J9" s="54" t="s">
        <v>16</v>
      </c>
      <c r="K9" s="54" t="s">
        <v>48</v>
      </c>
      <c r="L9" s="54" t="s">
        <v>47</v>
      </c>
      <c r="M9" s="54" t="s">
        <v>22</v>
      </c>
      <c r="N9" s="54" t="s">
        <v>48</v>
      </c>
      <c r="O9" s="54" t="s">
        <v>47</v>
      </c>
      <c r="P9" s="54" t="s">
        <v>19</v>
      </c>
      <c r="Q9" s="54" t="s">
        <v>48</v>
      </c>
      <c r="R9" s="184" t="s">
        <v>47</v>
      </c>
      <c r="S9" s="186"/>
    </row>
    <row r="10" spans="1:19">
      <c r="A10" s="44" t="str">
        <f>'1. 소켓인수검사'!A9</f>
        <v>01</v>
      </c>
      <c r="B10" s="33">
        <f>'1. 소켓인수검사'!C9</f>
        <v>700</v>
      </c>
      <c r="C10" s="33">
        <f>'1. 소켓인수검사'!D9</f>
        <v>400</v>
      </c>
      <c r="D10" s="47" t="s">
        <v>43</v>
      </c>
      <c r="E10" s="50">
        <f>B10*C10/1000000</f>
        <v>0.28000000000000003</v>
      </c>
      <c r="F10" s="50">
        <f>(B10+C10)*2/1000</f>
        <v>2.2000000000000002</v>
      </c>
      <c r="G10" s="27"/>
      <c r="H10" s="33"/>
      <c r="I10" s="27"/>
      <c r="J10" s="27"/>
      <c r="K10" s="33"/>
      <c r="L10" s="27"/>
      <c r="M10" s="27">
        <f>F10+0.5</f>
        <v>2.7</v>
      </c>
      <c r="N10" s="33">
        <v>4</v>
      </c>
      <c r="O10" s="27">
        <f>+N10*M10</f>
        <v>10.8</v>
      </c>
      <c r="P10" s="27"/>
      <c r="Q10" s="33"/>
      <c r="R10" s="178"/>
      <c r="S10" s="179"/>
    </row>
    <row r="11" spans="1:19">
      <c r="A11" s="44" t="str">
        <f>'1. 소켓인수검사'!A10</f>
        <v>02</v>
      </c>
      <c r="B11" s="33">
        <f>'1. 소켓인수검사'!C10</f>
        <v>700</v>
      </c>
      <c r="C11" s="33">
        <f>'1. 소켓인수검사'!D10</f>
        <v>400</v>
      </c>
      <c r="D11" s="47" t="s">
        <v>43</v>
      </c>
      <c r="E11" s="50">
        <f>B11*C11/1000000</f>
        <v>0.28000000000000003</v>
      </c>
      <c r="F11" s="50">
        <f>(B11+C11)*2/1000</f>
        <v>2.2000000000000002</v>
      </c>
      <c r="G11" s="27"/>
      <c r="H11" s="33"/>
      <c r="I11" s="27"/>
      <c r="J11" s="27"/>
      <c r="K11" s="33"/>
      <c r="L11" s="27"/>
      <c r="M11" s="27">
        <f t="shared" ref="M11:M17" si="0">F11+0.5</f>
        <v>2.7</v>
      </c>
      <c r="N11" s="33">
        <v>4</v>
      </c>
      <c r="O11" s="27">
        <f t="shared" ref="O11:O17" si="1">+N11*M11</f>
        <v>10.8</v>
      </c>
      <c r="P11" s="27"/>
      <c r="Q11" s="33"/>
      <c r="R11" s="178"/>
      <c r="S11" s="179"/>
    </row>
    <row r="12" spans="1:19">
      <c r="A12" s="44" t="str">
        <f>'1. 소켓인수검사'!A11</f>
        <v>03</v>
      </c>
      <c r="B12" s="33">
        <f>'1. 소켓인수검사'!C11</f>
        <v>700</v>
      </c>
      <c r="C12" s="33">
        <f>'1. 소켓인수검사'!D11</f>
        <v>400</v>
      </c>
      <c r="D12" s="47" t="s">
        <v>43</v>
      </c>
      <c r="E12" s="50">
        <f t="shared" ref="E12:E17" si="2">B12*C12/1000000</f>
        <v>0.28000000000000003</v>
      </c>
      <c r="F12" s="50">
        <f t="shared" ref="F12:F17" si="3">(B12+C12)*2/1000</f>
        <v>2.2000000000000002</v>
      </c>
      <c r="G12" s="27"/>
      <c r="H12" s="33"/>
      <c r="I12" s="27"/>
      <c r="J12" s="27"/>
      <c r="K12" s="33"/>
      <c r="L12" s="27"/>
      <c r="M12" s="27">
        <f t="shared" si="0"/>
        <v>2.7</v>
      </c>
      <c r="N12" s="33">
        <v>4</v>
      </c>
      <c r="O12" s="27">
        <f t="shared" si="1"/>
        <v>10.8</v>
      </c>
      <c r="P12" s="27"/>
      <c r="Q12" s="33"/>
      <c r="R12" s="178"/>
      <c r="S12" s="179"/>
    </row>
    <row r="13" spans="1:19">
      <c r="A13" s="44" t="str">
        <f>'1. 소켓인수검사'!A12</f>
        <v>04</v>
      </c>
      <c r="B13" s="33">
        <f>'1. 소켓인수검사'!C12</f>
        <v>700</v>
      </c>
      <c r="C13" s="33">
        <f>'1. 소켓인수검사'!D12</f>
        <v>400</v>
      </c>
      <c r="D13" s="47" t="s">
        <v>43</v>
      </c>
      <c r="E13" s="50">
        <f t="shared" si="2"/>
        <v>0.28000000000000003</v>
      </c>
      <c r="F13" s="50">
        <f t="shared" si="3"/>
        <v>2.2000000000000002</v>
      </c>
      <c r="G13" s="27"/>
      <c r="H13" s="33"/>
      <c r="I13" s="27"/>
      <c r="J13" s="27"/>
      <c r="K13" s="33"/>
      <c r="L13" s="27"/>
      <c r="M13" s="27">
        <f t="shared" si="0"/>
        <v>2.7</v>
      </c>
      <c r="N13" s="33">
        <v>4</v>
      </c>
      <c r="O13" s="27">
        <f t="shared" si="1"/>
        <v>10.8</v>
      </c>
      <c r="P13" s="27"/>
      <c r="Q13" s="33"/>
      <c r="R13" s="178"/>
      <c r="S13" s="179"/>
    </row>
    <row r="14" spans="1:19">
      <c r="A14" s="44" t="str">
        <f>'1. 소켓인수검사'!A13</f>
        <v>05</v>
      </c>
      <c r="B14" s="33">
        <f>'1. 소켓인수검사'!C13</f>
        <v>700</v>
      </c>
      <c r="C14" s="33">
        <f>'1. 소켓인수검사'!D13</f>
        <v>400</v>
      </c>
      <c r="D14" s="47" t="s">
        <v>43</v>
      </c>
      <c r="E14" s="50">
        <f t="shared" si="2"/>
        <v>0.28000000000000003</v>
      </c>
      <c r="F14" s="50">
        <f t="shared" si="3"/>
        <v>2.2000000000000002</v>
      </c>
      <c r="G14" s="27"/>
      <c r="H14" s="33"/>
      <c r="I14" s="27"/>
      <c r="J14" s="27"/>
      <c r="K14" s="33"/>
      <c r="L14" s="27"/>
      <c r="M14" s="27">
        <f t="shared" si="0"/>
        <v>2.7</v>
      </c>
      <c r="N14" s="33">
        <v>4</v>
      </c>
      <c r="O14" s="27">
        <f t="shared" si="1"/>
        <v>10.8</v>
      </c>
      <c r="P14" s="27"/>
      <c r="Q14" s="33"/>
      <c r="R14" s="178"/>
      <c r="S14" s="179"/>
    </row>
    <row r="15" spans="1:19">
      <c r="A15" s="44" t="str">
        <f>'1. 소켓인수검사'!A14</f>
        <v>06</v>
      </c>
      <c r="B15" s="33">
        <f>'1. 소켓인수검사'!C14</f>
        <v>700</v>
      </c>
      <c r="C15" s="33">
        <f>'1. 소켓인수검사'!D14</f>
        <v>400</v>
      </c>
      <c r="D15" s="47" t="s">
        <v>43</v>
      </c>
      <c r="E15" s="50">
        <f t="shared" si="2"/>
        <v>0.28000000000000003</v>
      </c>
      <c r="F15" s="50">
        <f t="shared" si="3"/>
        <v>2.2000000000000002</v>
      </c>
      <c r="G15" s="27"/>
      <c r="H15" s="33"/>
      <c r="I15" s="27"/>
      <c r="J15" s="27"/>
      <c r="K15" s="33"/>
      <c r="L15" s="27"/>
      <c r="M15" s="27">
        <f t="shared" si="0"/>
        <v>2.7</v>
      </c>
      <c r="N15" s="33">
        <v>4</v>
      </c>
      <c r="O15" s="27">
        <f t="shared" si="1"/>
        <v>10.8</v>
      </c>
      <c r="P15" s="27"/>
      <c r="Q15" s="27"/>
      <c r="R15" s="178"/>
      <c r="S15" s="179"/>
    </row>
    <row r="16" spans="1:19">
      <c r="A16" s="44" t="str">
        <f>'1. 소켓인수검사'!A15</f>
        <v>07</v>
      </c>
      <c r="B16" s="33">
        <f>'1. 소켓인수검사'!C15</f>
        <v>700</v>
      </c>
      <c r="C16" s="33">
        <f>'1. 소켓인수검사'!D15</f>
        <v>400</v>
      </c>
      <c r="D16" s="47" t="s">
        <v>43</v>
      </c>
      <c r="E16" s="50">
        <f t="shared" si="2"/>
        <v>0.28000000000000003</v>
      </c>
      <c r="F16" s="50">
        <f t="shared" si="3"/>
        <v>2.2000000000000002</v>
      </c>
      <c r="G16" s="27"/>
      <c r="H16" s="33"/>
      <c r="I16" s="27"/>
      <c r="J16" s="27"/>
      <c r="K16" s="33"/>
      <c r="L16" s="27"/>
      <c r="M16" s="27">
        <f t="shared" si="0"/>
        <v>2.7</v>
      </c>
      <c r="N16" s="33">
        <v>4</v>
      </c>
      <c r="O16" s="27">
        <f t="shared" si="1"/>
        <v>10.8</v>
      </c>
      <c r="P16" s="27"/>
      <c r="Q16" s="27"/>
      <c r="R16" s="178"/>
      <c r="S16" s="179"/>
    </row>
    <row r="17" spans="1:19">
      <c r="A17" s="44" t="str">
        <f>'1. 소켓인수검사'!A16</f>
        <v>08</v>
      </c>
      <c r="B17" s="33">
        <f>'1. 소켓인수검사'!C16</f>
        <v>700</v>
      </c>
      <c r="C17" s="33">
        <f>'1. 소켓인수검사'!D16</f>
        <v>400</v>
      </c>
      <c r="D17" s="47" t="s">
        <v>43</v>
      </c>
      <c r="E17" s="50">
        <f t="shared" si="2"/>
        <v>0.28000000000000003</v>
      </c>
      <c r="F17" s="50">
        <f t="shared" si="3"/>
        <v>2.2000000000000002</v>
      </c>
      <c r="G17" s="27"/>
      <c r="H17" s="33"/>
      <c r="I17" s="27"/>
      <c r="J17" s="27"/>
      <c r="K17" s="33"/>
      <c r="L17" s="27"/>
      <c r="M17" s="27">
        <f t="shared" si="0"/>
        <v>2.7</v>
      </c>
      <c r="N17" s="33">
        <v>4</v>
      </c>
      <c r="O17" s="27">
        <f t="shared" si="1"/>
        <v>10.8</v>
      </c>
      <c r="P17" s="27"/>
      <c r="Q17" s="27"/>
      <c r="R17" s="178"/>
      <c r="S17" s="179"/>
    </row>
    <row r="18" spans="1:19">
      <c r="A18" s="173" t="s">
        <v>3</v>
      </c>
      <c r="B18" s="174"/>
      <c r="C18" s="174"/>
      <c r="D18" s="174"/>
      <c r="E18" s="174"/>
      <c r="F18" s="175"/>
      <c r="G18" s="31"/>
      <c r="H18" s="41"/>
      <c r="I18" s="58">
        <f>SUM(I10:I17)</f>
        <v>0</v>
      </c>
      <c r="J18" s="31"/>
      <c r="K18" s="31"/>
      <c r="L18" s="58">
        <f>SUM(L10:L17)</f>
        <v>0</v>
      </c>
      <c r="M18" s="31"/>
      <c r="N18" s="31"/>
      <c r="O18" s="58">
        <f>SUM(O10:O17)</f>
        <v>86.399999999999991</v>
      </c>
      <c r="P18" s="31"/>
      <c r="Q18" s="31"/>
      <c r="R18" s="176">
        <f>SUM(R10:S17)</f>
        <v>0</v>
      </c>
      <c r="S18" s="177"/>
    </row>
    <row r="19" spans="1:19" ht="17.25" customHeight="1">
      <c r="A19" s="165" t="s">
        <v>12</v>
      </c>
      <c r="B19" s="166"/>
      <c r="C19" s="166"/>
      <c r="D19" s="166"/>
      <c r="E19" s="166"/>
      <c r="F19" s="167"/>
      <c r="G19" s="168">
        <f>I18/20</f>
        <v>0</v>
      </c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1:19">
      <c r="A20" s="165" t="s">
        <v>11</v>
      </c>
      <c r="B20" s="166"/>
      <c r="C20" s="166"/>
      <c r="D20" s="166"/>
      <c r="E20" s="166"/>
      <c r="F20" s="167"/>
      <c r="G20" s="168">
        <f>L18/3.6</f>
        <v>0</v>
      </c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70"/>
    </row>
    <row r="21" spans="1:19">
      <c r="A21" s="171" t="s">
        <v>67</v>
      </c>
      <c r="B21" s="166"/>
      <c r="C21" s="166"/>
      <c r="D21" s="166"/>
      <c r="E21" s="166"/>
      <c r="F21" s="167"/>
      <c r="G21" s="168">
        <f>O18/7.4</f>
        <v>11.675675675675674</v>
      </c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70"/>
    </row>
    <row r="22" spans="1:19">
      <c r="A22" s="165" t="s">
        <v>13</v>
      </c>
      <c r="B22" s="166"/>
      <c r="C22" s="166"/>
      <c r="D22" s="166"/>
      <c r="E22" s="166"/>
      <c r="F22" s="167"/>
      <c r="G22" s="168">
        <f>R18/3.6</f>
        <v>0</v>
      </c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70"/>
    </row>
    <row r="23" spans="1:19" ht="8.1" customHeight="1">
      <c r="A23" s="172"/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</row>
    <row r="24" spans="1:19">
      <c r="A24" s="81" t="s">
        <v>42</v>
      </c>
      <c r="B24" s="81"/>
      <c r="C24" s="163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</row>
    <row r="25" spans="1:19">
      <c r="A25" s="81"/>
      <c r="B25" s="81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</row>
    <row r="26" spans="1:19">
      <c r="A26" s="81"/>
      <c r="B26" s="81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</row>
    <row r="27" spans="1:19">
      <c r="A27" s="81"/>
      <c r="B27" s="81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</row>
  </sheetData>
  <mergeCells count="47">
    <mergeCell ref="L5:L6"/>
    <mergeCell ref="O5:O6"/>
    <mergeCell ref="P5:S6"/>
    <mergeCell ref="E6:F6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  <mergeCell ref="R10:S10"/>
    <mergeCell ref="R11:S11"/>
    <mergeCell ref="R12:S12"/>
    <mergeCell ref="R13:S13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A18:F18"/>
    <mergeCell ref="R18:S18"/>
    <mergeCell ref="R14:S14"/>
    <mergeCell ref="R15:S15"/>
    <mergeCell ref="R16:S16"/>
    <mergeCell ref="R17:S17"/>
    <mergeCell ref="A24:B27"/>
    <mergeCell ref="C24:S27"/>
    <mergeCell ref="A19:F19"/>
    <mergeCell ref="G19:S19"/>
    <mergeCell ref="A20:F20"/>
    <mergeCell ref="G20:S20"/>
    <mergeCell ref="A21:F21"/>
    <mergeCell ref="G21:S21"/>
    <mergeCell ref="A22:F22"/>
    <mergeCell ref="G22:S22"/>
    <mergeCell ref="A23:S23"/>
  </mergeCells>
  <phoneticPr fontId="24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2"/>
  <sheetViews>
    <sheetView tabSelected="1"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A15" sqref="A15:XFD216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81"/>
      <c r="B1" s="81"/>
      <c r="C1" s="81"/>
      <c r="D1" s="81"/>
      <c r="E1" s="66" t="s">
        <v>7</v>
      </c>
      <c r="F1" s="212" t="s">
        <v>64</v>
      </c>
      <c r="G1" s="212"/>
      <c r="H1" s="212"/>
      <c r="I1" s="212"/>
      <c r="J1" s="212"/>
      <c r="K1" s="128" t="str">
        <f>'1. 소켓인수검사'!R2</f>
        <v>26.06.09 씨에스_우진아이엔에스_포스코건설_양평동삼화인쇄</v>
      </c>
      <c r="L1" s="128"/>
      <c r="M1" s="128"/>
      <c r="N1" s="128"/>
      <c r="O1" s="128"/>
      <c r="P1" s="128"/>
      <c r="Q1" s="128"/>
      <c r="R1" s="128"/>
      <c r="S1" s="128"/>
      <c r="T1" s="128"/>
      <c r="U1" s="129"/>
    </row>
    <row r="2" spans="1:21" ht="16.5" customHeight="1">
      <c r="A2" s="81"/>
      <c r="B2" s="81"/>
      <c r="C2" s="81"/>
      <c r="D2" s="81"/>
      <c r="E2" s="65"/>
      <c r="F2" s="213"/>
      <c r="G2" s="213"/>
      <c r="H2" s="213"/>
      <c r="I2" s="213"/>
      <c r="J2" s="213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1"/>
    </row>
    <row r="3" spans="1:21" ht="24" customHeight="1">
      <c r="A3" s="81"/>
      <c r="B3" s="81"/>
      <c r="C3" s="81"/>
      <c r="D3" s="81"/>
      <c r="E3" s="67"/>
      <c r="F3" s="214"/>
      <c r="G3" s="214"/>
      <c r="H3" s="214"/>
      <c r="I3" s="214"/>
      <c r="J3" s="214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3"/>
    </row>
    <row r="4" spans="1:21" ht="8.1" customHeight="1">
      <c r="A4" s="180"/>
      <c r="B4" s="134"/>
      <c r="C4" s="134"/>
      <c r="D4" s="134"/>
      <c r="E4" s="134"/>
      <c r="F4" s="134"/>
      <c r="G4" s="134"/>
      <c r="H4" s="180"/>
      <c r="I4" s="134"/>
      <c r="J4" s="134"/>
      <c r="K4" s="134"/>
      <c r="L4" s="134"/>
      <c r="M4" s="134"/>
      <c r="N4" s="134"/>
      <c r="O4" s="134"/>
      <c r="P4" s="134"/>
      <c r="Q4" s="4"/>
      <c r="S4" s="4"/>
      <c r="T4" s="4"/>
      <c r="U4" s="4"/>
    </row>
    <row r="5" spans="1:21" ht="16.5" customHeight="1">
      <c r="A5" s="93" t="s">
        <v>50</v>
      </c>
      <c r="B5" s="217" t="s">
        <v>33</v>
      </c>
      <c r="C5" s="183" t="s">
        <v>57</v>
      </c>
      <c r="D5" s="183" t="s">
        <v>55</v>
      </c>
      <c r="E5" s="183" t="s">
        <v>21</v>
      </c>
      <c r="F5" s="183" t="s">
        <v>45</v>
      </c>
      <c r="G5" s="183" t="s">
        <v>52</v>
      </c>
      <c r="H5" s="183" t="s">
        <v>37</v>
      </c>
      <c r="I5" s="183" t="s">
        <v>20</v>
      </c>
      <c r="J5" s="183"/>
      <c r="K5" s="183" t="s">
        <v>0</v>
      </c>
      <c r="L5" s="183"/>
      <c r="M5" s="183" t="s">
        <v>0</v>
      </c>
      <c r="N5" s="183"/>
      <c r="O5" s="183" t="s">
        <v>0</v>
      </c>
      <c r="P5" s="183"/>
      <c r="Q5" s="205" t="s">
        <v>44</v>
      </c>
      <c r="R5" s="205"/>
      <c r="S5" s="206" t="s">
        <v>27</v>
      </c>
      <c r="T5" s="206" t="s">
        <v>49</v>
      </c>
      <c r="U5" s="208" t="s">
        <v>15</v>
      </c>
    </row>
    <row r="6" spans="1:21" ht="26.45" customHeight="1">
      <c r="A6" s="182"/>
      <c r="B6" s="218"/>
      <c r="C6" s="184"/>
      <c r="D6" s="184"/>
      <c r="E6" s="184"/>
      <c r="F6" s="184"/>
      <c r="G6" s="184"/>
      <c r="H6" s="184"/>
      <c r="I6" s="54" t="s">
        <v>8</v>
      </c>
      <c r="J6" s="32" t="s">
        <v>48</v>
      </c>
      <c r="K6" s="54" t="s">
        <v>65</v>
      </c>
      <c r="L6" s="32" t="s">
        <v>48</v>
      </c>
      <c r="M6" s="54" t="s">
        <v>32</v>
      </c>
      <c r="N6" s="32" t="s">
        <v>48</v>
      </c>
      <c r="O6" s="54" t="s">
        <v>34</v>
      </c>
      <c r="P6" s="32" t="s">
        <v>48</v>
      </c>
      <c r="Q6" s="54" t="s">
        <v>46</v>
      </c>
      <c r="R6" s="32" t="s">
        <v>58</v>
      </c>
      <c r="S6" s="207"/>
      <c r="T6" s="207"/>
      <c r="U6" s="209"/>
    </row>
    <row r="7" spans="1:21">
      <c r="A7" s="44" t="str">
        <f>'1. 소켓인수검사'!A9</f>
        <v>01</v>
      </c>
      <c r="B7" s="55" t="s">
        <v>36</v>
      </c>
      <c r="C7" s="33">
        <f>'1. 소켓인수검사'!C9</f>
        <v>700</v>
      </c>
      <c r="D7" s="33">
        <f>'1. 소켓인수검사'!D9</f>
        <v>400</v>
      </c>
      <c r="E7" s="34"/>
      <c r="F7" s="35">
        <f t="shared" ref="F7:F14" si="0">C7*D7/1000000</f>
        <v>0.28000000000000003</v>
      </c>
      <c r="G7" s="35">
        <f t="shared" ref="G7:G14" si="1">(C7+D7)*2/1000</f>
        <v>2.2000000000000002</v>
      </c>
      <c r="H7" s="40">
        <v>2</v>
      </c>
      <c r="I7" s="54"/>
      <c r="J7" s="32"/>
      <c r="K7" s="27">
        <f t="shared" ref="K7:K14" si="2">G7+0.5</f>
        <v>2.7</v>
      </c>
      <c r="L7" s="32">
        <v>10</v>
      </c>
      <c r="M7" s="27"/>
      <c r="N7" s="32"/>
      <c r="O7" s="27"/>
      <c r="P7" s="32"/>
      <c r="Q7" s="36">
        <f t="shared" ref="Q7:Q14" si="3">(((C7+60)+250+(D7+60))*2/1000)*2</f>
        <v>5.88</v>
      </c>
      <c r="R7" s="79">
        <f t="shared" ref="R7:R14" si="4">Q7*2</f>
        <v>11.76</v>
      </c>
      <c r="S7" s="37" t="s">
        <v>39</v>
      </c>
      <c r="T7" s="38" t="s">
        <v>6</v>
      </c>
      <c r="U7" s="39" t="str">
        <f>'1. 소켓인수검사'!G9</f>
        <v>17F~20F</v>
      </c>
    </row>
    <row r="8" spans="1:21">
      <c r="A8" s="44" t="str">
        <f>'1. 소켓인수검사'!A10</f>
        <v>02</v>
      </c>
      <c r="B8" s="55" t="s">
        <v>36</v>
      </c>
      <c r="C8" s="33">
        <f>'1. 소켓인수검사'!C10</f>
        <v>700</v>
      </c>
      <c r="D8" s="33">
        <f>'1. 소켓인수검사'!D10</f>
        <v>400</v>
      </c>
      <c r="E8" s="34"/>
      <c r="F8" s="35">
        <f t="shared" si="0"/>
        <v>0.28000000000000003</v>
      </c>
      <c r="G8" s="35">
        <f t="shared" si="1"/>
        <v>2.2000000000000002</v>
      </c>
      <c r="H8" s="40">
        <v>2</v>
      </c>
      <c r="I8" s="54"/>
      <c r="J8" s="32"/>
      <c r="K8" s="27">
        <f t="shared" si="2"/>
        <v>2.7</v>
      </c>
      <c r="L8" s="32">
        <v>10</v>
      </c>
      <c r="M8" s="27"/>
      <c r="N8" s="32"/>
      <c r="O8" s="27"/>
      <c r="P8" s="32"/>
      <c r="Q8" s="36">
        <f t="shared" si="3"/>
        <v>5.88</v>
      </c>
      <c r="R8" s="79">
        <f t="shared" si="4"/>
        <v>11.76</v>
      </c>
      <c r="S8" s="37" t="s">
        <v>39</v>
      </c>
      <c r="T8" s="38" t="s">
        <v>6</v>
      </c>
      <c r="U8" s="39" t="str">
        <f>'1. 소켓인수검사'!G10</f>
        <v>17F~20F</v>
      </c>
    </row>
    <row r="9" spans="1:21">
      <c r="A9" s="44" t="str">
        <f>'1. 소켓인수검사'!A11</f>
        <v>03</v>
      </c>
      <c r="B9" s="55" t="s">
        <v>36</v>
      </c>
      <c r="C9" s="33">
        <f>'1. 소켓인수검사'!C11</f>
        <v>700</v>
      </c>
      <c r="D9" s="33">
        <f>'1. 소켓인수검사'!D11</f>
        <v>400</v>
      </c>
      <c r="E9" s="34"/>
      <c r="F9" s="35">
        <f t="shared" si="0"/>
        <v>0.28000000000000003</v>
      </c>
      <c r="G9" s="35">
        <f t="shared" si="1"/>
        <v>2.2000000000000002</v>
      </c>
      <c r="H9" s="40">
        <v>2</v>
      </c>
      <c r="I9" s="54"/>
      <c r="J9" s="32"/>
      <c r="K9" s="27">
        <f t="shared" si="2"/>
        <v>2.7</v>
      </c>
      <c r="L9" s="32">
        <v>10</v>
      </c>
      <c r="M9" s="27"/>
      <c r="N9" s="32"/>
      <c r="O9" s="27"/>
      <c r="P9" s="32"/>
      <c r="Q9" s="36">
        <f t="shared" si="3"/>
        <v>5.88</v>
      </c>
      <c r="R9" s="79">
        <f t="shared" si="4"/>
        <v>11.76</v>
      </c>
      <c r="S9" s="37" t="s">
        <v>39</v>
      </c>
      <c r="T9" s="38" t="s">
        <v>6</v>
      </c>
      <c r="U9" s="39" t="str">
        <f>'1. 소켓인수검사'!G11</f>
        <v>17F~20F</v>
      </c>
    </row>
    <row r="10" spans="1:21">
      <c r="A10" s="44" t="str">
        <f>'1. 소켓인수검사'!A12</f>
        <v>04</v>
      </c>
      <c r="B10" s="55" t="s">
        <v>36</v>
      </c>
      <c r="C10" s="33">
        <f>'1. 소켓인수검사'!C12</f>
        <v>700</v>
      </c>
      <c r="D10" s="33">
        <f>'1. 소켓인수검사'!D12</f>
        <v>400</v>
      </c>
      <c r="E10" s="34"/>
      <c r="F10" s="35">
        <f t="shared" si="0"/>
        <v>0.28000000000000003</v>
      </c>
      <c r="G10" s="35">
        <f t="shared" si="1"/>
        <v>2.2000000000000002</v>
      </c>
      <c r="H10" s="40">
        <v>2</v>
      </c>
      <c r="I10" s="54"/>
      <c r="J10" s="32"/>
      <c r="K10" s="27">
        <f t="shared" si="2"/>
        <v>2.7</v>
      </c>
      <c r="L10" s="32">
        <v>10</v>
      </c>
      <c r="M10" s="27"/>
      <c r="N10" s="32"/>
      <c r="O10" s="27"/>
      <c r="P10" s="32"/>
      <c r="Q10" s="36">
        <f t="shared" si="3"/>
        <v>5.88</v>
      </c>
      <c r="R10" s="79">
        <f t="shared" si="4"/>
        <v>11.76</v>
      </c>
      <c r="S10" s="37" t="s">
        <v>39</v>
      </c>
      <c r="T10" s="38" t="s">
        <v>6</v>
      </c>
      <c r="U10" s="39" t="str">
        <f>'1. 소켓인수검사'!G12</f>
        <v>17F~20F</v>
      </c>
    </row>
    <row r="11" spans="1:21">
      <c r="A11" s="44" t="str">
        <f>'1. 소켓인수검사'!A13</f>
        <v>05</v>
      </c>
      <c r="B11" s="55" t="s">
        <v>36</v>
      </c>
      <c r="C11" s="33">
        <f>'1. 소켓인수검사'!C13</f>
        <v>700</v>
      </c>
      <c r="D11" s="33">
        <f>'1. 소켓인수검사'!D13</f>
        <v>400</v>
      </c>
      <c r="E11" s="34"/>
      <c r="F11" s="35">
        <f t="shared" si="0"/>
        <v>0.28000000000000003</v>
      </c>
      <c r="G11" s="35">
        <f t="shared" si="1"/>
        <v>2.2000000000000002</v>
      </c>
      <c r="H11" s="40">
        <v>2</v>
      </c>
      <c r="I11" s="54"/>
      <c r="J11" s="32"/>
      <c r="K11" s="27">
        <f t="shared" si="2"/>
        <v>2.7</v>
      </c>
      <c r="L11" s="32">
        <v>10</v>
      </c>
      <c r="M11" s="27"/>
      <c r="N11" s="32"/>
      <c r="O11" s="27"/>
      <c r="P11" s="32"/>
      <c r="Q11" s="36">
        <f t="shared" si="3"/>
        <v>5.88</v>
      </c>
      <c r="R11" s="79">
        <f t="shared" si="4"/>
        <v>11.76</v>
      </c>
      <c r="S11" s="37" t="s">
        <v>39</v>
      </c>
      <c r="T11" s="38" t="s">
        <v>6</v>
      </c>
      <c r="U11" s="39" t="str">
        <f>'1. 소켓인수검사'!G13</f>
        <v>17F~20F</v>
      </c>
    </row>
    <row r="12" spans="1:21">
      <c r="A12" s="44" t="str">
        <f>'1. 소켓인수검사'!A14</f>
        <v>06</v>
      </c>
      <c r="B12" s="55" t="s">
        <v>36</v>
      </c>
      <c r="C12" s="33">
        <f>'1. 소켓인수검사'!C14</f>
        <v>700</v>
      </c>
      <c r="D12" s="33">
        <f>'1. 소켓인수검사'!D14</f>
        <v>400</v>
      </c>
      <c r="E12" s="34"/>
      <c r="F12" s="35">
        <f t="shared" si="0"/>
        <v>0.28000000000000003</v>
      </c>
      <c r="G12" s="35">
        <f t="shared" si="1"/>
        <v>2.2000000000000002</v>
      </c>
      <c r="H12" s="40">
        <v>2</v>
      </c>
      <c r="I12" s="54"/>
      <c r="J12" s="32"/>
      <c r="K12" s="27">
        <f t="shared" si="2"/>
        <v>2.7</v>
      </c>
      <c r="L12" s="32">
        <v>10</v>
      </c>
      <c r="M12" s="27"/>
      <c r="N12" s="32"/>
      <c r="O12" s="27"/>
      <c r="P12" s="32"/>
      <c r="Q12" s="36">
        <f t="shared" si="3"/>
        <v>5.88</v>
      </c>
      <c r="R12" s="79">
        <f t="shared" si="4"/>
        <v>11.76</v>
      </c>
      <c r="S12" s="37" t="s">
        <v>39</v>
      </c>
      <c r="T12" s="38" t="s">
        <v>6</v>
      </c>
      <c r="U12" s="39" t="str">
        <f>'1. 소켓인수검사'!G14</f>
        <v>17F~20F</v>
      </c>
    </row>
    <row r="13" spans="1:21">
      <c r="A13" s="44" t="str">
        <f>'1. 소켓인수검사'!A15</f>
        <v>07</v>
      </c>
      <c r="B13" s="55" t="s">
        <v>36</v>
      </c>
      <c r="C13" s="33">
        <f>'1. 소켓인수검사'!C15</f>
        <v>700</v>
      </c>
      <c r="D13" s="33">
        <f>'1. 소켓인수검사'!D15</f>
        <v>400</v>
      </c>
      <c r="E13" s="34"/>
      <c r="F13" s="35">
        <f t="shared" si="0"/>
        <v>0.28000000000000003</v>
      </c>
      <c r="G13" s="35">
        <f t="shared" si="1"/>
        <v>2.2000000000000002</v>
      </c>
      <c r="H13" s="40">
        <v>2</v>
      </c>
      <c r="I13" s="54"/>
      <c r="J13" s="32"/>
      <c r="K13" s="27">
        <f t="shared" si="2"/>
        <v>2.7</v>
      </c>
      <c r="L13" s="32">
        <v>10</v>
      </c>
      <c r="M13" s="27"/>
      <c r="N13" s="32"/>
      <c r="O13" s="27"/>
      <c r="P13" s="32"/>
      <c r="Q13" s="36">
        <f t="shared" si="3"/>
        <v>5.88</v>
      </c>
      <c r="R13" s="79">
        <f t="shared" si="4"/>
        <v>11.76</v>
      </c>
      <c r="S13" s="37" t="s">
        <v>39</v>
      </c>
      <c r="T13" s="38" t="s">
        <v>6</v>
      </c>
      <c r="U13" s="39" t="str">
        <f>'1. 소켓인수검사'!G15</f>
        <v>17F~20F</v>
      </c>
    </row>
    <row r="14" spans="1:21">
      <c r="A14" s="44" t="str">
        <f>'1. 소켓인수검사'!A16</f>
        <v>08</v>
      </c>
      <c r="B14" s="55" t="s">
        <v>36</v>
      </c>
      <c r="C14" s="33">
        <f>'1. 소켓인수검사'!C16</f>
        <v>700</v>
      </c>
      <c r="D14" s="33">
        <f>'1. 소켓인수검사'!D16</f>
        <v>400</v>
      </c>
      <c r="E14" s="34"/>
      <c r="F14" s="35">
        <f t="shared" si="0"/>
        <v>0.28000000000000003</v>
      </c>
      <c r="G14" s="35">
        <f t="shared" si="1"/>
        <v>2.2000000000000002</v>
      </c>
      <c r="H14" s="40">
        <v>2</v>
      </c>
      <c r="I14" s="54"/>
      <c r="J14" s="32"/>
      <c r="K14" s="27">
        <f t="shared" si="2"/>
        <v>2.7</v>
      </c>
      <c r="L14" s="32">
        <v>10</v>
      </c>
      <c r="M14" s="27"/>
      <c r="N14" s="32"/>
      <c r="O14" s="27"/>
      <c r="P14" s="32"/>
      <c r="Q14" s="36">
        <f t="shared" si="3"/>
        <v>5.88</v>
      </c>
      <c r="R14" s="79">
        <f t="shared" si="4"/>
        <v>11.76</v>
      </c>
      <c r="S14" s="37" t="s">
        <v>39</v>
      </c>
      <c r="T14" s="38" t="s">
        <v>6</v>
      </c>
      <c r="U14" s="39" t="str">
        <f>'1. 소켓인수검사'!G16</f>
        <v>17F~20F</v>
      </c>
    </row>
    <row r="15" spans="1:21">
      <c r="A15" s="210" t="s">
        <v>5</v>
      </c>
      <c r="B15" s="211"/>
      <c r="C15" s="211"/>
      <c r="D15" s="53"/>
      <c r="E15" s="43"/>
      <c r="F15" s="43"/>
      <c r="G15" s="43"/>
      <c r="H15" s="42">
        <f>SUM(H7:H14)</f>
        <v>16</v>
      </c>
      <c r="I15" s="59"/>
      <c r="J15" s="42">
        <f>SUM(J7:J14)</f>
        <v>0</v>
      </c>
      <c r="K15" s="59"/>
      <c r="L15" s="42">
        <f>SUM(L7:L14)</f>
        <v>80</v>
      </c>
      <c r="M15" s="59"/>
      <c r="N15" s="42">
        <f>SUM(N7:N14)</f>
        <v>0</v>
      </c>
      <c r="O15" s="59"/>
      <c r="P15" s="42">
        <f>SUM(P7:P14)</f>
        <v>0</v>
      </c>
      <c r="Q15" s="59">
        <f>SUM(Q7:Q14)</f>
        <v>47.040000000000006</v>
      </c>
      <c r="R15" s="42">
        <f>SUM(R7:R14)</f>
        <v>94.080000000000013</v>
      </c>
      <c r="S15" s="56"/>
      <c r="T15" s="56"/>
      <c r="U15" s="57"/>
    </row>
    <row r="16" spans="1:21" ht="8.1" customHeight="1">
      <c r="A16" s="204"/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5"/>
    </row>
    <row r="17" spans="1:21">
      <c r="A17" s="81" t="s">
        <v>42</v>
      </c>
      <c r="B17" s="81"/>
      <c r="C17" s="81"/>
      <c r="D17" s="196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97"/>
    </row>
    <row r="18" spans="1:21">
      <c r="A18" s="81"/>
      <c r="B18" s="81"/>
      <c r="C18" s="81"/>
      <c r="D18" s="215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16"/>
    </row>
    <row r="19" spans="1:21">
      <c r="A19" s="81"/>
      <c r="B19" s="81"/>
      <c r="C19" s="81"/>
      <c r="D19" s="215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16"/>
    </row>
    <row r="20" spans="1:21">
      <c r="A20" s="81"/>
      <c r="B20" s="81"/>
      <c r="C20" s="81"/>
      <c r="D20" s="215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16"/>
    </row>
    <row r="21" spans="1:21">
      <c r="A21" s="81"/>
      <c r="B21" s="81"/>
      <c r="C21" s="81"/>
      <c r="D21" s="215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16"/>
    </row>
    <row r="22" spans="1:21">
      <c r="A22" s="81"/>
      <c r="B22" s="81"/>
      <c r="C22" s="81"/>
      <c r="D22" s="180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81"/>
    </row>
  </sheetData>
  <mergeCells count="24">
    <mergeCell ref="U5:U6"/>
    <mergeCell ref="A15:C15"/>
    <mergeCell ref="F1:J3"/>
    <mergeCell ref="K1:U3"/>
    <mergeCell ref="D17:U22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16:P16"/>
    <mergeCell ref="A17:C22"/>
    <mergeCell ref="Q5:R5"/>
    <mergeCell ref="S5:S6"/>
    <mergeCell ref="T5:T6"/>
    <mergeCell ref="K5:L5"/>
    <mergeCell ref="O5:P5"/>
    <mergeCell ref="M5:N5"/>
  </mergeCells>
  <phoneticPr fontId="24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7</vt:i4>
      </vt:variant>
    </vt:vector>
  </HeadingPairs>
  <TitlesOfParts>
    <vt:vector size="13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2026-01-07T23:38:07Z</cp:lastPrinted>
  <dcterms:created xsi:type="dcterms:W3CDTF">2025-03-13T00:09:10Z</dcterms:created>
  <dcterms:modified xsi:type="dcterms:W3CDTF">2026-06-10T05:17:17Z</dcterms:modified>
  <cp:version>1200.0100.01</cp:version>
</cp:coreProperties>
</file>