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615634D6-95B3-4954-A589-853FCD6A19C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1. 소켓인수검사" sheetId="1" r:id="rId1"/>
    <sheet name="2.재단(VM)작업" sheetId="12" r:id="rId2"/>
    <sheet name="차열재 재단(VM,VT)" sheetId="2" r:id="rId3"/>
    <sheet name="3. 1절곡(VM)" sheetId="5" r:id="rId4"/>
    <sheet name="5. 차열재 출하용(VM,VT,VAG)" sheetId="9" r:id="rId5"/>
    <sheet name="6. 라벨소요량" sheetId="10" r:id="rId6"/>
    <sheet name="발주서정리" sheetId="11" r:id="rId7"/>
  </sheets>
  <definedNames>
    <definedName name="_xlnm.Print_Area" localSheetId="0">'1. 소켓인수검사'!$A$1:$P$47</definedName>
    <definedName name="_xlnm.Print_Titles" localSheetId="0">'1. 소켓인수검사'!$6:$8</definedName>
    <definedName name="_xlnm.Print_Titles" localSheetId="1">'2.재단(VM)작업'!$5:$7</definedName>
    <definedName name="_xlnm.Print_Titles" localSheetId="3">'3. 1절곡(VM)'!$1:$6</definedName>
    <definedName name="_xlnm.Print_Titles" localSheetId="4">'5. 차열재 출하용(VM,VT,VAG)'!$8:$9</definedName>
    <definedName name="_xlnm.Print_Titles" localSheetId="5">'6. 라벨소요량'!$5:$6</definedName>
    <definedName name="_xlnm.Print_Titles" localSheetId="2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9" i="10" l="1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8" i="10"/>
  <c r="R7" i="10"/>
  <c r="H1" i="12"/>
  <c r="D46" i="12"/>
  <c r="C46" i="12"/>
  <c r="G46" i="12" s="1"/>
  <c r="D45" i="12"/>
  <c r="I45" i="12" s="1"/>
  <c r="C45" i="12"/>
  <c r="G45" i="12" s="1"/>
  <c r="D44" i="12"/>
  <c r="M44" i="12" s="1"/>
  <c r="C44" i="12"/>
  <c r="D43" i="12"/>
  <c r="C43" i="12"/>
  <c r="D42" i="12"/>
  <c r="I42" i="12" s="1"/>
  <c r="C42" i="12"/>
  <c r="G42" i="12" s="1"/>
  <c r="D41" i="12"/>
  <c r="M41" i="12" s="1"/>
  <c r="C41" i="12"/>
  <c r="D40" i="12"/>
  <c r="C40" i="12"/>
  <c r="D39" i="12"/>
  <c r="C39" i="12"/>
  <c r="K39" i="12" s="1"/>
  <c r="D38" i="12"/>
  <c r="M38" i="12" s="1"/>
  <c r="C38" i="12"/>
  <c r="K38" i="12" s="1"/>
  <c r="D37" i="12"/>
  <c r="M37" i="12" s="1"/>
  <c r="C37" i="12"/>
  <c r="G37" i="12" s="1"/>
  <c r="D36" i="12"/>
  <c r="I36" i="12" s="1"/>
  <c r="C36" i="12"/>
  <c r="D35" i="12"/>
  <c r="I35" i="12" s="1"/>
  <c r="C35" i="12"/>
  <c r="D34" i="12"/>
  <c r="M34" i="12" s="1"/>
  <c r="C34" i="12"/>
  <c r="K34" i="12" s="1"/>
  <c r="D33" i="12"/>
  <c r="C33" i="12"/>
  <c r="K33" i="12" s="1"/>
  <c r="D32" i="12"/>
  <c r="I32" i="12" s="1"/>
  <c r="C32" i="12"/>
  <c r="D31" i="12"/>
  <c r="M31" i="12" s="1"/>
  <c r="C31" i="12"/>
  <c r="K31" i="12" s="1"/>
  <c r="D30" i="12"/>
  <c r="I30" i="12" s="1"/>
  <c r="C30" i="12"/>
  <c r="K30" i="12" s="1"/>
  <c r="D29" i="12"/>
  <c r="I29" i="12" s="1"/>
  <c r="C29" i="12"/>
  <c r="D28" i="12"/>
  <c r="C28" i="12"/>
  <c r="D27" i="12"/>
  <c r="M27" i="12" s="1"/>
  <c r="C27" i="12"/>
  <c r="K27" i="12" s="1"/>
  <c r="D26" i="12"/>
  <c r="I26" i="12" s="1"/>
  <c r="C26" i="12"/>
  <c r="G26" i="12" s="1"/>
  <c r="D25" i="12"/>
  <c r="M25" i="12" s="1"/>
  <c r="C25" i="12"/>
  <c r="G25" i="12" s="1"/>
  <c r="D24" i="12"/>
  <c r="C24" i="12"/>
  <c r="D23" i="12"/>
  <c r="M23" i="12" s="1"/>
  <c r="C23" i="12"/>
  <c r="D22" i="12"/>
  <c r="I22" i="12" s="1"/>
  <c r="C22" i="12"/>
  <c r="K22" i="12" s="1"/>
  <c r="D21" i="12"/>
  <c r="M21" i="12" s="1"/>
  <c r="C21" i="12"/>
  <c r="K21" i="12" s="1"/>
  <c r="D20" i="12"/>
  <c r="M20" i="12" s="1"/>
  <c r="C20" i="12"/>
  <c r="D19" i="12"/>
  <c r="M19" i="12" s="1"/>
  <c r="C19" i="12"/>
  <c r="K19" i="12" s="1"/>
  <c r="D18" i="12"/>
  <c r="M18" i="12" s="1"/>
  <c r="C18" i="12"/>
  <c r="K18" i="12" s="1"/>
  <c r="D17" i="12"/>
  <c r="C17" i="12"/>
  <c r="D16" i="12"/>
  <c r="I16" i="12" s="1"/>
  <c r="C16" i="12"/>
  <c r="D15" i="12"/>
  <c r="M15" i="12" s="1"/>
  <c r="C15" i="12"/>
  <c r="K15" i="12" s="1"/>
  <c r="D14" i="12"/>
  <c r="I14" i="12" s="1"/>
  <c r="C14" i="12"/>
  <c r="G14" i="12" s="1"/>
  <c r="D13" i="12"/>
  <c r="I13" i="12" s="1"/>
  <c r="C13" i="12"/>
  <c r="G13" i="12" s="1"/>
  <c r="D12" i="12"/>
  <c r="M12" i="12" s="1"/>
  <c r="C12" i="12"/>
  <c r="D11" i="12"/>
  <c r="C11" i="12"/>
  <c r="D10" i="12"/>
  <c r="M10" i="12" s="1"/>
  <c r="C10" i="12"/>
  <c r="G10" i="12" s="1"/>
  <c r="D9" i="12"/>
  <c r="M9" i="12" s="1"/>
  <c r="C9" i="12"/>
  <c r="G9" i="12" s="1"/>
  <c r="D8" i="12"/>
  <c r="C8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J46" i="12"/>
  <c r="H46" i="12"/>
  <c r="J45" i="12"/>
  <c r="H45" i="12"/>
  <c r="K45" i="12"/>
  <c r="J44" i="12"/>
  <c r="H44" i="12"/>
  <c r="K43" i="12"/>
  <c r="J43" i="12"/>
  <c r="H43" i="12"/>
  <c r="G43" i="12"/>
  <c r="M42" i="12"/>
  <c r="J42" i="12"/>
  <c r="H42" i="12"/>
  <c r="J41" i="12"/>
  <c r="H41" i="12"/>
  <c r="G41" i="12"/>
  <c r="K41" i="12"/>
  <c r="J40" i="12"/>
  <c r="H40" i="12"/>
  <c r="M40" i="12"/>
  <c r="J39" i="12"/>
  <c r="H39" i="12"/>
  <c r="G39" i="12"/>
  <c r="J38" i="12"/>
  <c r="H38" i="12"/>
  <c r="J37" i="12"/>
  <c r="H37" i="12"/>
  <c r="J36" i="12"/>
  <c r="H36" i="12"/>
  <c r="K35" i="12"/>
  <c r="J35" i="12"/>
  <c r="H35" i="12"/>
  <c r="G35" i="12"/>
  <c r="J34" i="12"/>
  <c r="H34" i="12"/>
  <c r="J33" i="12"/>
  <c r="H33" i="12"/>
  <c r="G33" i="12"/>
  <c r="J32" i="12"/>
  <c r="H32" i="12"/>
  <c r="J31" i="12"/>
  <c r="H31" i="12"/>
  <c r="G31" i="12"/>
  <c r="J30" i="12"/>
  <c r="H30" i="12"/>
  <c r="J29" i="12"/>
  <c r="H29" i="12"/>
  <c r="G29" i="12"/>
  <c r="K29" i="12"/>
  <c r="J28" i="12"/>
  <c r="H28" i="12"/>
  <c r="M28" i="12"/>
  <c r="J27" i="12"/>
  <c r="H27" i="12"/>
  <c r="G27" i="12"/>
  <c r="M26" i="12"/>
  <c r="J26" i="12"/>
  <c r="H26" i="12"/>
  <c r="J25" i="12"/>
  <c r="H25" i="12"/>
  <c r="J24" i="12"/>
  <c r="H24" i="12"/>
  <c r="M24" i="12"/>
  <c r="K23" i="12"/>
  <c r="J23" i="12"/>
  <c r="H23" i="12"/>
  <c r="G23" i="12"/>
  <c r="J22" i="12"/>
  <c r="H22" i="12"/>
  <c r="M22" i="12"/>
  <c r="J21" i="12"/>
  <c r="H21" i="12"/>
  <c r="G21" i="12"/>
  <c r="J20" i="12"/>
  <c r="I20" i="12"/>
  <c r="H20" i="12"/>
  <c r="J19" i="12"/>
  <c r="H19" i="12"/>
  <c r="G19" i="12"/>
  <c r="J18" i="12"/>
  <c r="H18" i="12"/>
  <c r="J17" i="12"/>
  <c r="H17" i="12"/>
  <c r="G17" i="12"/>
  <c r="K17" i="12"/>
  <c r="J16" i="12"/>
  <c r="H16" i="12"/>
  <c r="J15" i="12"/>
  <c r="H15" i="12"/>
  <c r="G15" i="12"/>
  <c r="J14" i="12"/>
  <c r="H14" i="12"/>
  <c r="J13" i="12"/>
  <c r="H13" i="12"/>
  <c r="K13" i="12"/>
  <c r="J12" i="12"/>
  <c r="I12" i="12"/>
  <c r="H12" i="12"/>
  <c r="K11" i="12"/>
  <c r="J11" i="12"/>
  <c r="H11" i="12"/>
  <c r="G11" i="12"/>
  <c r="J10" i="12"/>
  <c r="I10" i="12"/>
  <c r="H10" i="12"/>
  <c r="J9" i="12"/>
  <c r="H9" i="12"/>
  <c r="K9" i="12"/>
  <c r="J8" i="12"/>
  <c r="H8" i="12"/>
  <c r="M8" i="12"/>
  <c r="G1" i="2"/>
  <c r="D46" i="2"/>
  <c r="I46" i="2" s="1"/>
  <c r="C46" i="2"/>
  <c r="D45" i="2"/>
  <c r="I45" i="2" s="1"/>
  <c r="C45" i="2"/>
  <c r="D44" i="2"/>
  <c r="I44" i="2" s="1"/>
  <c r="C44" i="2"/>
  <c r="D43" i="2"/>
  <c r="C43" i="2"/>
  <c r="G43" i="2" s="1"/>
  <c r="D42" i="2"/>
  <c r="C42" i="2"/>
  <c r="D41" i="2"/>
  <c r="C41" i="2"/>
  <c r="D40" i="2"/>
  <c r="I40" i="2" s="1"/>
  <c r="C40" i="2"/>
  <c r="D39" i="2"/>
  <c r="C39" i="2"/>
  <c r="D38" i="2"/>
  <c r="C38" i="2"/>
  <c r="D37" i="2"/>
  <c r="C37" i="2"/>
  <c r="D36" i="2"/>
  <c r="I36" i="2" s="1"/>
  <c r="C36" i="2"/>
  <c r="D35" i="2"/>
  <c r="C35" i="2"/>
  <c r="D34" i="2"/>
  <c r="C34" i="2"/>
  <c r="D33" i="2"/>
  <c r="C33" i="2"/>
  <c r="D32" i="2"/>
  <c r="I32" i="2" s="1"/>
  <c r="C32" i="2"/>
  <c r="D31" i="2"/>
  <c r="C31" i="2"/>
  <c r="D30" i="2"/>
  <c r="C30" i="2"/>
  <c r="D29" i="2"/>
  <c r="I29" i="2" s="1"/>
  <c r="C29" i="2"/>
  <c r="D28" i="2"/>
  <c r="C28" i="2"/>
  <c r="D27" i="2"/>
  <c r="C27" i="2"/>
  <c r="D26" i="2"/>
  <c r="C26" i="2"/>
  <c r="D25" i="2"/>
  <c r="I25" i="2" s="1"/>
  <c r="C25" i="2"/>
  <c r="D24" i="2"/>
  <c r="I24" i="2" s="1"/>
  <c r="C24" i="2"/>
  <c r="D23" i="2"/>
  <c r="I23" i="2" s="1"/>
  <c r="C23" i="2"/>
  <c r="D22" i="2"/>
  <c r="C22" i="2"/>
  <c r="D21" i="2"/>
  <c r="I21" i="2" s="1"/>
  <c r="C21" i="2"/>
  <c r="D20" i="2"/>
  <c r="I20" i="2" s="1"/>
  <c r="C20" i="2"/>
  <c r="D19" i="2"/>
  <c r="I19" i="2" s="1"/>
  <c r="C19" i="2"/>
  <c r="D18" i="2"/>
  <c r="C18" i="2"/>
  <c r="D17" i="2"/>
  <c r="I17" i="2" s="1"/>
  <c r="C17" i="2"/>
  <c r="D16" i="2"/>
  <c r="I16" i="2" s="1"/>
  <c r="C16" i="2"/>
  <c r="D15" i="2"/>
  <c r="C15" i="2"/>
  <c r="D14" i="2"/>
  <c r="C14" i="2"/>
  <c r="D13" i="2"/>
  <c r="I13" i="2" s="1"/>
  <c r="C13" i="2"/>
  <c r="D12" i="2"/>
  <c r="I12" i="2" s="1"/>
  <c r="C12" i="2"/>
  <c r="D11" i="2"/>
  <c r="I11" i="2" s="1"/>
  <c r="C11" i="2"/>
  <c r="D10" i="2"/>
  <c r="C10" i="2"/>
  <c r="K1" i="10"/>
  <c r="P5" i="9"/>
  <c r="N5" i="5"/>
  <c r="D1" i="1"/>
  <c r="P46" i="10"/>
  <c r="H46" i="10"/>
  <c r="U45" i="10"/>
  <c r="D45" i="10"/>
  <c r="C45" i="10"/>
  <c r="A45" i="10"/>
  <c r="U44" i="10"/>
  <c r="D44" i="10"/>
  <c r="C44" i="10"/>
  <c r="A44" i="10"/>
  <c r="U43" i="10"/>
  <c r="D43" i="10"/>
  <c r="C43" i="10"/>
  <c r="F43" i="10" s="1"/>
  <c r="A43" i="10"/>
  <c r="U42" i="10"/>
  <c r="D42" i="10"/>
  <c r="C42" i="10"/>
  <c r="A42" i="10"/>
  <c r="U41" i="10"/>
  <c r="D41" i="10"/>
  <c r="C41" i="10"/>
  <c r="Q41" i="10" s="1"/>
  <c r="A41" i="10"/>
  <c r="U40" i="10"/>
  <c r="D40" i="10"/>
  <c r="C40" i="10"/>
  <c r="A40" i="10"/>
  <c r="U39" i="10"/>
  <c r="D39" i="10"/>
  <c r="C39" i="10"/>
  <c r="Q39" i="10" s="1"/>
  <c r="A39" i="10"/>
  <c r="U38" i="10"/>
  <c r="D38" i="10"/>
  <c r="C38" i="10"/>
  <c r="A38" i="10"/>
  <c r="U37" i="10"/>
  <c r="D37" i="10"/>
  <c r="C37" i="10"/>
  <c r="A37" i="10"/>
  <c r="U36" i="10"/>
  <c r="D36" i="10"/>
  <c r="C36" i="10"/>
  <c r="A36" i="10"/>
  <c r="U35" i="10"/>
  <c r="D35" i="10"/>
  <c r="C35" i="10"/>
  <c r="A35" i="10"/>
  <c r="U34" i="10"/>
  <c r="D34" i="10"/>
  <c r="C34" i="10"/>
  <c r="A34" i="10"/>
  <c r="U33" i="10"/>
  <c r="D33" i="10"/>
  <c r="C33" i="10"/>
  <c r="A33" i="10"/>
  <c r="U32" i="10"/>
  <c r="D32" i="10"/>
  <c r="C32" i="10"/>
  <c r="A32" i="10"/>
  <c r="U31" i="10"/>
  <c r="D31" i="10"/>
  <c r="C31" i="10"/>
  <c r="A31" i="10"/>
  <c r="U30" i="10"/>
  <c r="D30" i="10"/>
  <c r="C30" i="10"/>
  <c r="A30" i="10"/>
  <c r="U29" i="10"/>
  <c r="D29" i="10"/>
  <c r="C29" i="10"/>
  <c r="A29" i="10"/>
  <c r="U28" i="10"/>
  <c r="D28" i="10"/>
  <c r="C28" i="10"/>
  <c r="A28" i="10"/>
  <c r="U27" i="10"/>
  <c r="D27" i="10"/>
  <c r="C27" i="10"/>
  <c r="A27" i="10"/>
  <c r="U26" i="10"/>
  <c r="D26" i="10"/>
  <c r="C26" i="10"/>
  <c r="A26" i="10"/>
  <c r="U25" i="10"/>
  <c r="D25" i="10"/>
  <c r="C25" i="10"/>
  <c r="A25" i="10"/>
  <c r="U24" i="10"/>
  <c r="D24" i="10"/>
  <c r="C24" i="10"/>
  <c r="A24" i="10"/>
  <c r="U23" i="10"/>
  <c r="D23" i="10"/>
  <c r="C23" i="10"/>
  <c r="A23" i="10"/>
  <c r="U22" i="10"/>
  <c r="D22" i="10"/>
  <c r="C22" i="10"/>
  <c r="A22" i="10"/>
  <c r="U21" i="10"/>
  <c r="D21" i="10"/>
  <c r="C21" i="10"/>
  <c r="A21" i="10"/>
  <c r="U20" i="10"/>
  <c r="D20" i="10"/>
  <c r="C20" i="10"/>
  <c r="A20" i="10"/>
  <c r="U19" i="10"/>
  <c r="D19" i="10"/>
  <c r="C19" i="10"/>
  <c r="A19" i="10"/>
  <c r="U18" i="10"/>
  <c r="D18" i="10"/>
  <c r="C18" i="10"/>
  <c r="A18" i="10"/>
  <c r="U17" i="10"/>
  <c r="D17" i="10"/>
  <c r="C17" i="10"/>
  <c r="A17" i="10"/>
  <c r="U16" i="10"/>
  <c r="D16" i="10"/>
  <c r="C16" i="10"/>
  <c r="A16" i="10"/>
  <c r="U15" i="10"/>
  <c r="D15" i="10"/>
  <c r="C15" i="10"/>
  <c r="Q15" i="10" s="1"/>
  <c r="A15" i="10"/>
  <c r="U14" i="10"/>
  <c r="D14" i="10"/>
  <c r="C14" i="10"/>
  <c r="A14" i="10"/>
  <c r="U13" i="10"/>
  <c r="D13" i="10"/>
  <c r="C13" i="10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Q9" i="10" s="1"/>
  <c r="A9" i="10"/>
  <c r="U8" i="10"/>
  <c r="D8" i="10"/>
  <c r="C8" i="10"/>
  <c r="A8" i="10"/>
  <c r="U7" i="10"/>
  <c r="D7" i="10"/>
  <c r="C7" i="10"/>
  <c r="A7" i="10"/>
  <c r="C48" i="9"/>
  <c r="B48" i="9"/>
  <c r="A48" i="9"/>
  <c r="C47" i="9"/>
  <c r="B47" i="9"/>
  <c r="A47" i="9"/>
  <c r="C46" i="9"/>
  <c r="B46" i="9"/>
  <c r="A46" i="9"/>
  <c r="C45" i="9"/>
  <c r="B45" i="9"/>
  <c r="A45" i="9"/>
  <c r="C44" i="9"/>
  <c r="B44" i="9"/>
  <c r="A44" i="9"/>
  <c r="C43" i="9"/>
  <c r="B43" i="9"/>
  <c r="A43" i="9"/>
  <c r="H42" i="9"/>
  <c r="C42" i="9"/>
  <c r="B42" i="9"/>
  <c r="A42" i="9"/>
  <c r="H41" i="9"/>
  <c r="C41" i="9"/>
  <c r="B41" i="9"/>
  <c r="A41" i="9"/>
  <c r="H40" i="9"/>
  <c r="C40" i="9"/>
  <c r="B40" i="9"/>
  <c r="F40" i="9" s="1"/>
  <c r="G40" i="9" s="1"/>
  <c r="A40" i="9"/>
  <c r="H39" i="9"/>
  <c r="C39" i="9"/>
  <c r="B39" i="9"/>
  <c r="A39" i="9"/>
  <c r="H38" i="9"/>
  <c r="C38" i="9"/>
  <c r="B38" i="9"/>
  <c r="A38" i="9"/>
  <c r="H37" i="9"/>
  <c r="C37" i="9"/>
  <c r="B37" i="9"/>
  <c r="A37" i="9"/>
  <c r="H36" i="9"/>
  <c r="C36" i="9"/>
  <c r="B36" i="9"/>
  <c r="A36" i="9"/>
  <c r="H35" i="9"/>
  <c r="C35" i="9"/>
  <c r="B35" i="9"/>
  <c r="F35" i="9" s="1"/>
  <c r="G35" i="9" s="1"/>
  <c r="A35" i="9"/>
  <c r="H34" i="9"/>
  <c r="C34" i="9"/>
  <c r="B34" i="9"/>
  <c r="A34" i="9"/>
  <c r="H33" i="9"/>
  <c r="C33" i="9"/>
  <c r="B33" i="9"/>
  <c r="A33" i="9"/>
  <c r="H32" i="9"/>
  <c r="C32" i="9"/>
  <c r="B32" i="9"/>
  <c r="F32" i="9" s="1"/>
  <c r="G32" i="9" s="1"/>
  <c r="A32" i="9"/>
  <c r="H31" i="9"/>
  <c r="C31" i="9"/>
  <c r="B31" i="9"/>
  <c r="A31" i="9"/>
  <c r="H30" i="9"/>
  <c r="C30" i="9"/>
  <c r="B30" i="9"/>
  <c r="A30" i="9"/>
  <c r="H29" i="9"/>
  <c r="C29" i="9"/>
  <c r="B29" i="9"/>
  <c r="F29" i="9" s="1"/>
  <c r="G29" i="9" s="1"/>
  <c r="A29" i="9"/>
  <c r="H28" i="9"/>
  <c r="C28" i="9"/>
  <c r="B28" i="9"/>
  <c r="A28" i="9"/>
  <c r="H27" i="9"/>
  <c r="C27" i="9"/>
  <c r="B27" i="9"/>
  <c r="A27" i="9"/>
  <c r="H26" i="9"/>
  <c r="C26" i="9"/>
  <c r="B26" i="9"/>
  <c r="A26" i="9"/>
  <c r="H25" i="9"/>
  <c r="C25" i="9"/>
  <c r="B25" i="9"/>
  <c r="A25" i="9"/>
  <c r="H24" i="9"/>
  <c r="C24" i="9"/>
  <c r="B24" i="9"/>
  <c r="F24" i="9" s="1"/>
  <c r="G24" i="9" s="1"/>
  <c r="A24" i="9"/>
  <c r="H23" i="9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N49" i="5"/>
  <c r="I49" i="5"/>
  <c r="C49" i="5"/>
  <c r="K49" i="5" s="1"/>
  <c r="B49" i="5"/>
  <c r="H49" i="5" s="1"/>
  <c r="A49" i="5"/>
  <c r="N48" i="5"/>
  <c r="I48" i="5"/>
  <c r="C48" i="5"/>
  <c r="K48" i="5" s="1"/>
  <c r="B48" i="5"/>
  <c r="H48" i="5" s="1"/>
  <c r="A48" i="5"/>
  <c r="N47" i="5"/>
  <c r="I47" i="5"/>
  <c r="C47" i="5"/>
  <c r="K47" i="5" s="1"/>
  <c r="B47" i="5"/>
  <c r="H47" i="5" s="1"/>
  <c r="A47" i="5"/>
  <c r="N46" i="5"/>
  <c r="I46" i="5"/>
  <c r="C46" i="5"/>
  <c r="K46" i="5" s="1"/>
  <c r="B46" i="5"/>
  <c r="H46" i="5" s="1"/>
  <c r="A46" i="5"/>
  <c r="N45" i="5"/>
  <c r="I45" i="5"/>
  <c r="C45" i="5"/>
  <c r="K45" i="5" s="1"/>
  <c r="B45" i="5"/>
  <c r="H45" i="5" s="1"/>
  <c r="A45" i="5"/>
  <c r="N44" i="5"/>
  <c r="I44" i="5"/>
  <c r="C44" i="5"/>
  <c r="K44" i="5" s="1"/>
  <c r="B44" i="5"/>
  <c r="H44" i="5" s="1"/>
  <c r="A44" i="5"/>
  <c r="N43" i="5"/>
  <c r="I43" i="5"/>
  <c r="C43" i="5"/>
  <c r="K43" i="5" s="1"/>
  <c r="B43" i="5"/>
  <c r="H43" i="5" s="1"/>
  <c r="A43" i="5"/>
  <c r="N42" i="5"/>
  <c r="I42" i="5"/>
  <c r="C42" i="5"/>
  <c r="K42" i="5" s="1"/>
  <c r="B42" i="5"/>
  <c r="H42" i="5" s="1"/>
  <c r="A42" i="5"/>
  <c r="N41" i="5"/>
  <c r="I41" i="5"/>
  <c r="C41" i="5"/>
  <c r="K41" i="5" s="1"/>
  <c r="B41" i="5"/>
  <c r="H41" i="5" s="1"/>
  <c r="A41" i="5"/>
  <c r="N40" i="5"/>
  <c r="I40" i="5"/>
  <c r="C40" i="5"/>
  <c r="K40" i="5" s="1"/>
  <c r="B40" i="5"/>
  <c r="H40" i="5" s="1"/>
  <c r="A40" i="5"/>
  <c r="N39" i="5"/>
  <c r="I39" i="5"/>
  <c r="C39" i="5"/>
  <c r="K39" i="5" s="1"/>
  <c r="B39" i="5"/>
  <c r="H39" i="5" s="1"/>
  <c r="A39" i="5"/>
  <c r="N38" i="5"/>
  <c r="I38" i="5"/>
  <c r="C38" i="5"/>
  <c r="K38" i="5" s="1"/>
  <c r="B38" i="5"/>
  <c r="H38" i="5" s="1"/>
  <c r="A38" i="5"/>
  <c r="N37" i="5"/>
  <c r="I37" i="5"/>
  <c r="C37" i="5"/>
  <c r="K37" i="5" s="1"/>
  <c r="B37" i="5"/>
  <c r="H37" i="5" s="1"/>
  <c r="A37" i="5"/>
  <c r="N36" i="5"/>
  <c r="I36" i="5"/>
  <c r="C36" i="5"/>
  <c r="K36" i="5" s="1"/>
  <c r="B36" i="5"/>
  <c r="H36" i="5" s="1"/>
  <c r="A36" i="5"/>
  <c r="N35" i="5"/>
  <c r="I35" i="5"/>
  <c r="C35" i="5"/>
  <c r="K35" i="5" s="1"/>
  <c r="B35" i="5"/>
  <c r="H35" i="5" s="1"/>
  <c r="A35" i="5"/>
  <c r="N34" i="5"/>
  <c r="I34" i="5"/>
  <c r="C34" i="5"/>
  <c r="K34" i="5" s="1"/>
  <c r="B34" i="5"/>
  <c r="H34" i="5" s="1"/>
  <c r="A34" i="5"/>
  <c r="N33" i="5"/>
  <c r="I33" i="5"/>
  <c r="C33" i="5"/>
  <c r="K33" i="5" s="1"/>
  <c r="B33" i="5"/>
  <c r="H33" i="5" s="1"/>
  <c r="A33" i="5"/>
  <c r="N32" i="5"/>
  <c r="I32" i="5"/>
  <c r="C32" i="5"/>
  <c r="K32" i="5" s="1"/>
  <c r="B32" i="5"/>
  <c r="H32" i="5" s="1"/>
  <c r="A32" i="5"/>
  <c r="N31" i="5"/>
  <c r="I31" i="5"/>
  <c r="C31" i="5"/>
  <c r="K31" i="5" s="1"/>
  <c r="B31" i="5"/>
  <c r="H31" i="5" s="1"/>
  <c r="A31" i="5"/>
  <c r="N30" i="5"/>
  <c r="I30" i="5"/>
  <c r="C30" i="5"/>
  <c r="K30" i="5" s="1"/>
  <c r="B30" i="5"/>
  <c r="H30" i="5" s="1"/>
  <c r="A30" i="5"/>
  <c r="N29" i="5"/>
  <c r="I29" i="5"/>
  <c r="C29" i="5"/>
  <c r="K29" i="5" s="1"/>
  <c r="B29" i="5"/>
  <c r="H29" i="5" s="1"/>
  <c r="A29" i="5"/>
  <c r="N28" i="5"/>
  <c r="I28" i="5"/>
  <c r="C28" i="5"/>
  <c r="K28" i="5" s="1"/>
  <c r="B28" i="5"/>
  <c r="H28" i="5" s="1"/>
  <c r="A28" i="5"/>
  <c r="N27" i="5"/>
  <c r="I27" i="5"/>
  <c r="C27" i="5"/>
  <c r="K27" i="5" s="1"/>
  <c r="B27" i="5"/>
  <c r="H27" i="5" s="1"/>
  <c r="A27" i="5"/>
  <c r="N26" i="5"/>
  <c r="I26" i="5"/>
  <c r="C26" i="5"/>
  <c r="K26" i="5" s="1"/>
  <c r="B26" i="5"/>
  <c r="H26" i="5" s="1"/>
  <c r="A26" i="5"/>
  <c r="N25" i="5"/>
  <c r="I25" i="5"/>
  <c r="C25" i="5"/>
  <c r="K25" i="5" s="1"/>
  <c r="B25" i="5"/>
  <c r="H25" i="5" s="1"/>
  <c r="A25" i="5"/>
  <c r="N24" i="5"/>
  <c r="I24" i="5"/>
  <c r="C24" i="5"/>
  <c r="K24" i="5" s="1"/>
  <c r="B24" i="5"/>
  <c r="H24" i="5" s="1"/>
  <c r="A24" i="5"/>
  <c r="N23" i="5"/>
  <c r="I23" i="5"/>
  <c r="C23" i="5"/>
  <c r="K23" i="5" s="1"/>
  <c r="B23" i="5"/>
  <c r="H23" i="5" s="1"/>
  <c r="A23" i="5"/>
  <c r="N22" i="5"/>
  <c r="I22" i="5"/>
  <c r="C22" i="5"/>
  <c r="K22" i="5" s="1"/>
  <c r="B22" i="5"/>
  <c r="H22" i="5" s="1"/>
  <c r="A22" i="5"/>
  <c r="N21" i="5"/>
  <c r="I21" i="5"/>
  <c r="C21" i="5"/>
  <c r="K21" i="5" s="1"/>
  <c r="B21" i="5"/>
  <c r="H21" i="5" s="1"/>
  <c r="A21" i="5"/>
  <c r="N20" i="5"/>
  <c r="I20" i="5"/>
  <c r="C20" i="5"/>
  <c r="K20" i="5" s="1"/>
  <c r="B20" i="5"/>
  <c r="H20" i="5" s="1"/>
  <c r="A20" i="5"/>
  <c r="N19" i="5"/>
  <c r="I19" i="5"/>
  <c r="C19" i="5"/>
  <c r="K19" i="5" s="1"/>
  <c r="B19" i="5"/>
  <c r="H19" i="5" s="1"/>
  <c r="A19" i="5"/>
  <c r="N18" i="5"/>
  <c r="I18" i="5"/>
  <c r="C18" i="5"/>
  <c r="K18" i="5" s="1"/>
  <c r="B18" i="5"/>
  <c r="H18" i="5" s="1"/>
  <c r="A18" i="5"/>
  <c r="N17" i="5"/>
  <c r="I17" i="5"/>
  <c r="C17" i="5"/>
  <c r="K17" i="5" s="1"/>
  <c r="B17" i="5"/>
  <c r="H17" i="5" s="1"/>
  <c r="A17" i="5"/>
  <c r="N16" i="5"/>
  <c r="I16" i="5"/>
  <c r="C16" i="5"/>
  <c r="K16" i="5" s="1"/>
  <c r="B16" i="5"/>
  <c r="H16" i="5" s="1"/>
  <c r="A16" i="5"/>
  <c r="N15" i="5"/>
  <c r="I15" i="5"/>
  <c r="C15" i="5"/>
  <c r="K15" i="5" s="1"/>
  <c r="B15" i="5"/>
  <c r="H15" i="5" s="1"/>
  <c r="A15" i="5"/>
  <c r="N14" i="5"/>
  <c r="I14" i="5"/>
  <c r="C14" i="5"/>
  <c r="K14" i="5" s="1"/>
  <c r="B14" i="5"/>
  <c r="H14" i="5" s="1"/>
  <c r="A14" i="5"/>
  <c r="N13" i="5"/>
  <c r="I13" i="5"/>
  <c r="C13" i="5"/>
  <c r="K13" i="5" s="1"/>
  <c r="B13" i="5"/>
  <c r="H13" i="5" s="1"/>
  <c r="A13" i="5"/>
  <c r="N12" i="5"/>
  <c r="I12" i="5"/>
  <c r="C12" i="5"/>
  <c r="K12" i="5" s="1"/>
  <c r="B12" i="5"/>
  <c r="H12" i="5" s="1"/>
  <c r="A12" i="5"/>
  <c r="N11" i="5"/>
  <c r="I11" i="5"/>
  <c r="C11" i="5"/>
  <c r="K11" i="5" s="1"/>
  <c r="B11" i="5"/>
  <c r="H11" i="5" s="1"/>
  <c r="A11" i="5"/>
  <c r="G46" i="2"/>
  <c r="A46" i="2"/>
  <c r="A45" i="2"/>
  <c r="A44" i="2"/>
  <c r="A43" i="2"/>
  <c r="A42" i="2"/>
  <c r="I41" i="2"/>
  <c r="A41" i="2"/>
  <c r="A40" i="2"/>
  <c r="I39" i="2"/>
  <c r="A39" i="2"/>
  <c r="G38" i="2"/>
  <c r="A38" i="2"/>
  <c r="I37" i="2"/>
  <c r="A37" i="2"/>
  <c r="A36" i="2"/>
  <c r="I35" i="2"/>
  <c r="A35" i="2"/>
  <c r="A34" i="2"/>
  <c r="I33" i="2"/>
  <c r="A33" i="2"/>
  <c r="A32" i="2"/>
  <c r="I31" i="2"/>
  <c r="A31" i="2"/>
  <c r="A30" i="2"/>
  <c r="A29" i="2"/>
  <c r="A28" i="2"/>
  <c r="I27" i="2"/>
  <c r="A27" i="2"/>
  <c r="A26" i="2"/>
  <c r="A25" i="2"/>
  <c r="A24" i="2"/>
  <c r="A23" i="2"/>
  <c r="A22" i="2"/>
  <c r="A21" i="2"/>
  <c r="G20" i="2"/>
  <c r="A20" i="2"/>
  <c r="A19" i="2"/>
  <c r="A18" i="2"/>
  <c r="A17" i="2"/>
  <c r="A16" i="2"/>
  <c r="I15" i="2"/>
  <c r="A15" i="2"/>
  <c r="G14" i="2"/>
  <c r="A14" i="2"/>
  <c r="A13" i="2"/>
  <c r="A12" i="2"/>
  <c r="A11" i="2"/>
  <c r="A10" i="2"/>
  <c r="D9" i="2"/>
  <c r="I9" i="2" s="1"/>
  <c r="C9" i="2"/>
  <c r="A9" i="2"/>
  <c r="D8" i="2"/>
  <c r="I8" i="2" s="1"/>
  <c r="C8" i="2"/>
  <c r="G8" i="2" s="1"/>
  <c r="A8" i="2"/>
  <c r="I24" i="9" l="1"/>
  <c r="I29" i="9"/>
  <c r="I32" i="9"/>
  <c r="I40" i="9"/>
  <c r="M14" i="12"/>
  <c r="M16" i="12"/>
  <c r="I44" i="12"/>
  <c r="I23" i="12"/>
  <c r="G18" i="12"/>
  <c r="F18" i="9"/>
  <c r="G18" i="9" s="1"/>
  <c r="I18" i="9" s="1"/>
  <c r="F22" i="9"/>
  <c r="G22" i="9" s="1"/>
  <c r="I22" i="9" s="1"/>
  <c r="K42" i="12"/>
  <c r="K46" i="12"/>
  <c r="I33" i="12"/>
  <c r="M33" i="12"/>
  <c r="I43" i="12"/>
  <c r="M43" i="12"/>
  <c r="M29" i="12"/>
  <c r="M11" i="12"/>
  <c r="I11" i="12"/>
  <c r="I17" i="12"/>
  <c r="M17" i="12"/>
  <c r="I39" i="12"/>
  <c r="M39" i="12"/>
  <c r="I27" i="12"/>
  <c r="M35" i="12"/>
  <c r="E47" i="9"/>
  <c r="G38" i="12"/>
  <c r="K10" i="12"/>
  <c r="G22" i="12"/>
  <c r="G30" i="12"/>
  <c r="M30" i="12"/>
  <c r="M36" i="12"/>
  <c r="G19" i="10"/>
  <c r="I19" i="10" s="1"/>
  <c r="K14" i="12"/>
  <c r="K26" i="12"/>
  <c r="M32" i="12"/>
  <c r="I38" i="12"/>
  <c r="K25" i="12"/>
  <c r="G34" i="12"/>
  <c r="K37" i="12"/>
  <c r="M13" i="12"/>
  <c r="I19" i="12"/>
  <c r="K44" i="12"/>
  <c r="G44" i="12"/>
  <c r="K16" i="12"/>
  <c r="G16" i="12"/>
  <c r="K32" i="12"/>
  <c r="G32" i="12"/>
  <c r="I9" i="12"/>
  <c r="I25" i="12"/>
  <c r="I41" i="12"/>
  <c r="K28" i="12"/>
  <c r="G28" i="12"/>
  <c r="K8" i="12"/>
  <c r="G8" i="12"/>
  <c r="K24" i="12"/>
  <c r="G24" i="12"/>
  <c r="I28" i="12"/>
  <c r="K40" i="12"/>
  <c r="G40" i="12"/>
  <c r="I15" i="12"/>
  <c r="I18" i="12"/>
  <c r="I31" i="12"/>
  <c r="I34" i="12"/>
  <c r="K12" i="12"/>
  <c r="G12" i="12"/>
  <c r="I21" i="12"/>
  <c r="I37" i="12"/>
  <c r="M46" i="12"/>
  <c r="I46" i="12"/>
  <c r="I8" i="12"/>
  <c r="K20" i="12"/>
  <c r="G20" i="12"/>
  <c r="I24" i="12"/>
  <c r="K36" i="12"/>
  <c r="G36" i="12"/>
  <c r="I40" i="12"/>
  <c r="M45" i="12"/>
  <c r="G42" i="2"/>
  <c r="F42" i="9"/>
  <c r="G42" i="9" s="1"/>
  <c r="I42" i="9" s="1"/>
  <c r="F47" i="9"/>
  <c r="J47" i="9" s="1"/>
  <c r="L47" i="9" s="1"/>
  <c r="I14" i="2"/>
  <c r="G34" i="2"/>
  <c r="E48" i="9"/>
  <c r="G13" i="2"/>
  <c r="G13" i="10"/>
  <c r="I13" i="10" s="1"/>
  <c r="Q25" i="10"/>
  <c r="Q37" i="10"/>
  <c r="G9" i="2"/>
  <c r="Q17" i="10"/>
  <c r="F45" i="10"/>
  <c r="G37" i="10"/>
  <c r="I37" i="10" s="1"/>
  <c r="G35" i="10"/>
  <c r="I35" i="10" s="1"/>
  <c r="Q7" i="10"/>
  <c r="G27" i="10"/>
  <c r="I27" i="10" s="1"/>
  <c r="Q31" i="10"/>
  <c r="E43" i="9"/>
  <c r="F14" i="9"/>
  <c r="G14" i="9" s="1"/>
  <c r="I14" i="9" s="1"/>
  <c r="E27" i="9"/>
  <c r="F33" i="9"/>
  <c r="G33" i="9" s="1"/>
  <c r="I33" i="9" s="1"/>
  <c r="E21" i="9"/>
  <c r="G30" i="2"/>
  <c r="G17" i="2"/>
  <c r="I28" i="2"/>
  <c r="G26" i="2"/>
  <c r="I42" i="2"/>
  <c r="G23" i="2"/>
  <c r="F36" i="9"/>
  <c r="G36" i="9" s="1"/>
  <c r="I36" i="9" s="1"/>
  <c r="E36" i="9"/>
  <c r="I38" i="2"/>
  <c r="Q21" i="10"/>
  <c r="G21" i="10"/>
  <c r="I21" i="10" s="1"/>
  <c r="I10" i="2"/>
  <c r="G16" i="2"/>
  <c r="G21" i="2"/>
  <c r="G39" i="2"/>
  <c r="G41" i="2"/>
  <c r="G25" i="2"/>
  <c r="G45" i="2"/>
  <c r="I18" i="2"/>
  <c r="G29" i="2"/>
  <c r="I22" i="2"/>
  <c r="G33" i="2"/>
  <c r="I26" i="2"/>
  <c r="G32" i="2"/>
  <c r="G37" i="2"/>
  <c r="G44" i="2"/>
  <c r="G19" i="2"/>
  <c r="G24" i="2"/>
  <c r="G28" i="2"/>
  <c r="G11" i="2"/>
  <c r="G18" i="2"/>
  <c r="I30" i="2"/>
  <c r="G36" i="2"/>
  <c r="F42" i="10"/>
  <c r="G42" i="10"/>
  <c r="M42" i="10" s="1"/>
  <c r="G12" i="2"/>
  <c r="G35" i="2"/>
  <c r="G10" i="2"/>
  <c r="G22" i="2"/>
  <c r="I34" i="2"/>
  <c r="G40" i="2"/>
  <c r="Q23" i="10"/>
  <c r="F17" i="9"/>
  <c r="G17" i="9" s="1"/>
  <c r="I17" i="9" s="1"/>
  <c r="I43" i="2"/>
  <c r="F28" i="9"/>
  <c r="G28" i="9" s="1"/>
  <c r="I28" i="9" s="1"/>
  <c r="F44" i="10"/>
  <c r="F13" i="9"/>
  <c r="G13" i="9" s="1"/>
  <c r="I13" i="9" s="1"/>
  <c r="E25" i="9"/>
  <c r="G11" i="10"/>
  <c r="I11" i="10" s="1"/>
  <c r="E34" i="9"/>
  <c r="Q33" i="10"/>
  <c r="F26" i="9"/>
  <c r="G26" i="9" s="1"/>
  <c r="I26" i="9" s="1"/>
  <c r="F37" i="9"/>
  <c r="G37" i="9" s="1"/>
  <c r="I37" i="9" s="1"/>
  <c r="E41" i="9"/>
  <c r="F44" i="9"/>
  <c r="G44" i="9" s="1"/>
  <c r="I44" i="9" s="1"/>
  <c r="Q29" i="10"/>
  <c r="G29" i="10"/>
  <c r="I29" i="10" s="1"/>
  <c r="Q13" i="10"/>
  <c r="G45" i="10"/>
  <c r="M45" i="10" s="1"/>
  <c r="G17" i="10"/>
  <c r="I17" i="10" s="1"/>
  <c r="G33" i="10"/>
  <c r="I33" i="10" s="1"/>
  <c r="G41" i="10"/>
  <c r="I41" i="10" s="1"/>
  <c r="G44" i="10"/>
  <c r="M44" i="10" s="1"/>
  <c r="G9" i="10"/>
  <c r="I9" i="10" s="1"/>
  <c r="G25" i="10"/>
  <c r="I25" i="10" s="1"/>
  <c r="G7" i="10"/>
  <c r="I7" i="10" s="1"/>
  <c r="Q11" i="10"/>
  <c r="G15" i="10"/>
  <c r="I15" i="10" s="1"/>
  <c r="Q19" i="10"/>
  <c r="G23" i="10"/>
  <c r="I23" i="10" s="1"/>
  <c r="Q27" i="10"/>
  <c r="G31" i="10"/>
  <c r="I31" i="10" s="1"/>
  <c r="Q35" i="10"/>
  <c r="G39" i="10"/>
  <c r="I39" i="10" s="1"/>
  <c r="G43" i="10"/>
  <c r="M43" i="10" s="1"/>
  <c r="Q45" i="10"/>
  <c r="N46" i="10"/>
  <c r="E17" i="9"/>
  <c r="E20" i="9"/>
  <c r="F21" i="9"/>
  <c r="G21" i="9" s="1"/>
  <c r="I21" i="9" s="1"/>
  <c r="E22" i="9"/>
  <c r="F27" i="9"/>
  <c r="G27" i="9" s="1"/>
  <c r="I27" i="9" s="1"/>
  <c r="F43" i="9"/>
  <c r="G43" i="9" s="1"/>
  <c r="I43" i="9" s="1"/>
  <c r="E44" i="9"/>
  <c r="F45" i="9"/>
  <c r="G45" i="9" s="1"/>
  <c r="I45" i="9" s="1"/>
  <c r="E13" i="9"/>
  <c r="E16" i="9"/>
  <c r="E18" i="9"/>
  <c r="F25" i="9"/>
  <c r="G25" i="9" s="1"/>
  <c r="I25" i="9" s="1"/>
  <c r="E28" i="9"/>
  <c r="E35" i="9"/>
  <c r="F41" i="9"/>
  <c r="G41" i="9" s="1"/>
  <c r="I41" i="9" s="1"/>
  <c r="F10" i="9"/>
  <c r="G10" i="9" s="1"/>
  <c r="I10" i="9" s="1"/>
  <c r="E12" i="9"/>
  <c r="E14" i="9"/>
  <c r="E26" i="9"/>
  <c r="E33" i="9"/>
  <c r="F34" i="9"/>
  <c r="G34" i="9" s="1"/>
  <c r="I34" i="9" s="1"/>
  <c r="E42" i="9"/>
  <c r="F48" i="9"/>
  <c r="G48" i="9" s="1"/>
  <c r="I48" i="9" s="1"/>
  <c r="E15" i="9"/>
  <c r="F15" i="9"/>
  <c r="G15" i="9" s="1"/>
  <c r="I15" i="9" s="1"/>
  <c r="E11" i="9"/>
  <c r="F11" i="9"/>
  <c r="G11" i="9" s="1"/>
  <c r="I11" i="9" s="1"/>
  <c r="F30" i="9"/>
  <c r="G30" i="9" s="1"/>
  <c r="I30" i="9" s="1"/>
  <c r="E30" i="9"/>
  <c r="F38" i="9"/>
  <c r="G38" i="9" s="1"/>
  <c r="I38" i="9" s="1"/>
  <c r="E38" i="9"/>
  <c r="F46" i="9"/>
  <c r="E46" i="9"/>
  <c r="G15" i="2"/>
  <c r="G27" i="2"/>
  <c r="G31" i="2"/>
  <c r="E23" i="9"/>
  <c r="F23" i="9"/>
  <c r="G23" i="9" s="1"/>
  <c r="I23" i="9" s="1"/>
  <c r="E31" i="9"/>
  <c r="F31" i="9"/>
  <c r="G31" i="9" s="1"/>
  <c r="I31" i="9" s="1"/>
  <c r="E39" i="9"/>
  <c r="F39" i="9"/>
  <c r="G39" i="9" s="1"/>
  <c r="I39" i="9" s="1"/>
  <c r="E19" i="9"/>
  <c r="F19" i="9"/>
  <c r="G19" i="9" s="1"/>
  <c r="I19" i="9" s="1"/>
  <c r="F12" i="9"/>
  <c r="G12" i="9" s="1"/>
  <c r="I12" i="9" s="1"/>
  <c r="F16" i="9"/>
  <c r="G16" i="9" s="1"/>
  <c r="I16" i="9" s="1"/>
  <c r="F20" i="9"/>
  <c r="G20" i="9" s="1"/>
  <c r="I20" i="9" s="1"/>
  <c r="E29" i="9"/>
  <c r="E37" i="9"/>
  <c r="E10" i="9"/>
  <c r="E24" i="9"/>
  <c r="E32" i="9"/>
  <c r="I35" i="9"/>
  <c r="E40" i="9"/>
  <c r="E45" i="9"/>
  <c r="G8" i="10"/>
  <c r="I8" i="10" s="1"/>
  <c r="Q8" i="10"/>
  <c r="F8" i="10"/>
  <c r="G10" i="10"/>
  <c r="I10" i="10" s="1"/>
  <c r="Q10" i="10"/>
  <c r="F10" i="10"/>
  <c r="G12" i="10"/>
  <c r="I12" i="10" s="1"/>
  <c r="Q12" i="10"/>
  <c r="F12" i="10"/>
  <c r="G14" i="10"/>
  <c r="I14" i="10" s="1"/>
  <c r="Q14" i="10"/>
  <c r="F14" i="10"/>
  <c r="G16" i="10"/>
  <c r="I16" i="10" s="1"/>
  <c r="Q16" i="10"/>
  <c r="F16" i="10"/>
  <c r="G18" i="10"/>
  <c r="I18" i="10" s="1"/>
  <c r="Q18" i="10"/>
  <c r="F18" i="10"/>
  <c r="G20" i="10"/>
  <c r="I20" i="10" s="1"/>
  <c r="Q20" i="10"/>
  <c r="F20" i="10"/>
  <c r="G22" i="10"/>
  <c r="I22" i="10" s="1"/>
  <c r="Q22" i="10"/>
  <c r="F22" i="10"/>
  <c r="G24" i="10"/>
  <c r="I24" i="10" s="1"/>
  <c r="Q24" i="10"/>
  <c r="F24" i="10"/>
  <c r="G26" i="10"/>
  <c r="I26" i="10" s="1"/>
  <c r="Q26" i="10"/>
  <c r="F26" i="10"/>
  <c r="G28" i="10"/>
  <c r="I28" i="10" s="1"/>
  <c r="Q28" i="10"/>
  <c r="F28" i="10"/>
  <c r="G30" i="10"/>
  <c r="I30" i="10" s="1"/>
  <c r="Q30" i="10"/>
  <c r="F30" i="10"/>
  <c r="G32" i="10"/>
  <c r="I32" i="10" s="1"/>
  <c r="Q32" i="10"/>
  <c r="F32" i="10"/>
  <c r="G34" i="10"/>
  <c r="I34" i="10" s="1"/>
  <c r="Q34" i="10"/>
  <c r="F34" i="10"/>
  <c r="G36" i="10"/>
  <c r="I36" i="10" s="1"/>
  <c r="Q36" i="10"/>
  <c r="F36" i="10"/>
  <c r="G38" i="10"/>
  <c r="I38" i="10" s="1"/>
  <c r="Q38" i="10"/>
  <c r="F38" i="10"/>
  <c r="G40" i="10"/>
  <c r="I40" i="10" s="1"/>
  <c r="Q40" i="10"/>
  <c r="F40" i="10"/>
  <c r="J46" i="10"/>
  <c r="L46" i="10"/>
  <c r="F7" i="10"/>
  <c r="F9" i="10"/>
  <c r="F11" i="10"/>
  <c r="F13" i="10"/>
  <c r="F15" i="10"/>
  <c r="F17" i="10"/>
  <c r="F19" i="10"/>
  <c r="F21" i="10"/>
  <c r="F23" i="10"/>
  <c r="F25" i="10"/>
  <c r="F27" i="10"/>
  <c r="F29" i="10"/>
  <c r="F31" i="10"/>
  <c r="F33" i="10"/>
  <c r="F35" i="10"/>
  <c r="F37" i="10"/>
  <c r="F39" i="10"/>
  <c r="F41" i="10"/>
  <c r="Q42" i="10"/>
  <c r="Q43" i="10"/>
  <c r="Q44" i="10"/>
  <c r="I44" i="10" l="1"/>
  <c r="G47" i="9"/>
  <c r="I47" i="9" s="1"/>
  <c r="J48" i="9"/>
  <c r="L48" i="9" s="1"/>
  <c r="I42" i="10"/>
  <c r="O49" i="9"/>
  <c r="G52" i="9" s="1"/>
  <c r="I43" i="10"/>
  <c r="I45" i="10"/>
  <c r="J45" i="9"/>
  <c r="L45" i="9" s="1"/>
  <c r="R46" i="10"/>
  <c r="G46" i="9"/>
  <c r="I46" i="9" s="1"/>
  <c r="J46" i="9"/>
  <c r="L46" i="9" s="1"/>
  <c r="Q46" i="10"/>
  <c r="I49" i="9" l="1"/>
  <c r="G50" i="9" s="1"/>
  <c r="R49" i="9"/>
  <c r="G53" i="9" s="1"/>
  <c r="L49" i="9"/>
  <c r="G51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</author>
  </authors>
  <commentList>
    <comment ref="K13" authorId="0" shapeId="0" xr:uid="{00000000-0006-0000-0000-000005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15" authorId="0" shapeId="0" xr:uid="{00000000-0006-0000-0000-000006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24" authorId="0" shapeId="0" xr:uid="{00000000-0006-0000-0000-000007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26" authorId="0" shapeId="0" xr:uid="{00000000-0006-0000-0000-000008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38" authorId="0" shapeId="0" xr:uid="{00000000-0006-0000-0000-000009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40" authorId="0" shapeId="0" xr:uid="{00000000-0006-0000-0000-00000A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</commentList>
</comments>
</file>

<file path=xl/sharedStrings.xml><?xml version="1.0" encoding="utf-8"?>
<sst xmlns="http://schemas.openxmlformats.org/spreadsheetml/2006/main" count="535" uniqueCount="156">
  <si>
    <t>차열재</t>
  </si>
  <si>
    <t>No</t>
  </si>
  <si>
    <t>비고</t>
  </si>
  <si>
    <t>합계</t>
  </si>
  <si>
    <t>규격</t>
  </si>
  <si>
    <t>TTL</t>
  </si>
  <si>
    <t>VT-064</t>
  </si>
  <si>
    <t>EZ F.B POSMAC Duct-VT-064</t>
  </si>
  <si>
    <t>라벨소요량(행복산업_KEC 구미공장_251128)</t>
  </si>
  <si>
    <t>25*
1400</t>
  </si>
  <si>
    <t>FS-MP25-0310-3</t>
  </si>
  <si>
    <t>*VM 200(1000*1000)기준</t>
  </si>
  <si>
    <t>수량                확인</t>
  </si>
  <si>
    <t>EZ F.B POSMAC Duct-VT-049</t>
  </si>
  <si>
    <t>차열재 50T*400*3.6M</t>
  </si>
  <si>
    <t>글라스울 25T*1400*20M</t>
  </si>
  <si>
    <t>차열재 50T*600*3.6M</t>
  </si>
  <si>
    <t>VT-049</t>
  </si>
  <si>
    <t>설비번호</t>
  </si>
  <si>
    <t>설치위치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</si>
  <si>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</si>
  <si>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</si>
  <si>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</si>
  <si>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</si>
  <si>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</si>
  <si>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</si>
  <si>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</si>
  <si>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</si>
  <si>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</si>
  <si>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</si>
  <si>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</si>
  <si>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</si>
  <si>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</si>
  <si>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</si>
  <si>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</si>
  <si>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</si>
  <si>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</si>
  <si>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</si>
  <si>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</si>
  <si>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</si>
  <si>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</si>
  <si>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</si>
  <si>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E256</t>
  </si>
  <si>
    <t>E255</t>
  </si>
  <si>
    <t>분할구조</t>
  </si>
  <si>
    <t>FS-MP25-0310-5</t>
  </si>
  <si>
    <t>차열재생산일지(출하용)</t>
  </si>
  <si>
    <t>특이사항 및
 조치사항</t>
  </si>
  <si>
    <t>특이사항 및   조치사항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</si>
  <si>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</si>
  <si>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</si>
  <si>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</si>
  <si>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</si>
  <si>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</si>
  <si>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</si>
  <si>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</si>
  <si>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</si>
  <si>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</si>
  <si>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</si>
  <si>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</si>
  <si>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</si>
  <si>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</si>
  <si>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</si>
  <si>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</si>
  <si>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</si>
  <si>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</si>
  <si>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6" type="noConversion"/>
  </si>
  <si>
    <t>재단작업지시서(VM)</t>
    <phoneticPr fontId="26" type="noConversion"/>
  </si>
  <si>
    <t>절 곡 생 산 일 지(VM)</t>
    <phoneticPr fontId="26" type="noConversion"/>
  </si>
  <si>
    <t>라벨소요량</t>
    <phoneticPr fontId="26" type="noConversion"/>
  </si>
  <si>
    <t>25*
200</t>
    <phoneticPr fontId="26" type="noConversion"/>
  </si>
  <si>
    <t>구조체작업지시서</t>
    <phoneticPr fontId="26" type="noConversion"/>
  </si>
  <si>
    <t>차열재 25T*200*7.4M</t>
    <phoneticPr fontId="26" type="noConversion"/>
  </si>
  <si>
    <t>01</t>
    <phoneticPr fontId="26" type="noConversion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</si>
  <si>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</si>
  <si>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</si>
  <si>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</si>
  <si>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</si>
  <si>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</si>
  <si>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</si>
  <si>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</si>
  <si>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</si>
  <si>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</si>
  <si>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</si>
  <si>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</si>
  <si>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</si>
  <si>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</si>
  <si>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</si>
  <si>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</si>
  <si>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</si>
  <si>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</si>
  <si>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</si>
  <si>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</si>
  <si>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</si>
  <si>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</si>
  <si>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</si>
  <si>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</si>
  <si>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</si>
  <si>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</si>
  <si>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</si>
  <si>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</si>
  <si>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</si>
  <si>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</si>
  <si>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</si>
  <si>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</si>
  <si>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</si>
  <si>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</si>
  <si>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</si>
  <si>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</si>
  <si>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</si>
  <si>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</si>
  <si>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</si>
  <si>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재단작업지시서차열재</t>
    <phoneticPr fontId="26" type="noConversion"/>
  </si>
  <si>
    <t>지상7층</t>
  </si>
  <si>
    <t>지상6층</t>
  </si>
  <si>
    <t>옥상층</t>
  </si>
  <si>
    <t>BR170</t>
  </si>
  <si>
    <t>BR171</t>
  </si>
  <si>
    <t>BR172</t>
  </si>
  <si>
    <t>BR173</t>
  </si>
  <si>
    <t>BR174</t>
  </si>
  <si>
    <t>BR175</t>
  </si>
  <si>
    <t>BR176</t>
  </si>
  <si>
    <t>BR177</t>
  </si>
  <si>
    <t>BR178</t>
  </si>
  <si>
    <t>BR179</t>
  </si>
  <si>
    <t>BR180</t>
  </si>
  <si>
    <t>BR181</t>
  </si>
  <si>
    <t>BR182</t>
  </si>
  <si>
    <t>BR183</t>
  </si>
  <si>
    <t>BR184</t>
  </si>
  <si>
    <t>BR185</t>
  </si>
  <si>
    <t>BR186</t>
  </si>
  <si>
    <t>BR187</t>
  </si>
  <si>
    <t>BR188</t>
  </si>
  <si>
    <t>BR189</t>
  </si>
  <si>
    <t>BR190</t>
  </si>
  <si>
    <t>BR191</t>
  </si>
  <si>
    <t>BR192</t>
  </si>
  <si>
    <t>BR193</t>
  </si>
  <si>
    <t>BR194</t>
  </si>
  <si>
    <t>BR195</t>
  </si>
  <si>
    <t>BR196</t>
  </si>
  <si>
    <t>BR197</t>
  </si>
  <si>
    <t>BR198</t>
  </si>
  <si>
    <t>BR199</t>
  </si>
  <si>
    <t>BR200</t>
  </si>
  <si>
    <t>BR201</t>
  </si>
  <si>
    <t>BR202</t>
  </si>
  <si>
    <t>BR203</t>
  </si>
  <si>
    <t>BR204</t>
  </si>
  <si>
    <t>BR205</t>
  </si>
  <si>
    <t>BR206</t>
  </si>
  <si>
    <t>BR207</t>
  </si>
  <si>
    <t>BR208</t>
  </si>
  <si>
    <t>26.06.11 웰스홈_신승에프엔티_에이치제이종합건설_조선대학교 감염병 전문병원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</si>
</sst>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2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sz val="10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0"/>
      <color rgb="FF4472C4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0"/>
      <color rgb="FF002060"/>
      <name val="Helvetica Neue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0" fillId="0" borderId="1" xfId="0" applyBorder="1" applyAlignment="1">
      <alignment horizontal="center" vertical="center"/>
    </xf>
    <xf numFmtId="0" fontId="25" fillId="0" borderId="0">
      <alignment vertical="center"/>
    </xf>
    <xf numFmtId="176" fontId="25" fillId="0" borderId="0">
      <alignment vertical="center"/>
    </xf>
    <xf numFmtId="0" fontId="1" fillId="0" borderId="0">
      <alignment vertical="center"/>
    </xf>
  </cellStyleXfs>
  <cellXfs count="24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5" fillId="0" borderId="0" xfId="2">
      <alignment vertical="center"/>
    </xf>
    <xf numFmtId="0" fontId="25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76" fontId="25" fillId="0" borderId="6" xfId="3" applyBorder="1" applyAlignment="1">
      <alignment horizontal="center" vertical="center"/>
    </xf>
    <xf numFmtId="176" fontId="25" fillId="0" borderId="7" xfId="3" applyBorder="1" applyAlignment="1">
      <alignment horizontal="center" vertical="center"/>
    </xf>
    <xf numFmtId="176" fontId="25" fillId="0" borderId="8" xfId="3" applyBorder="1" applyAlignment="1">
      <alignment horizontal="center" vertical="center"/>
    </xf>
    <xf numFmtId="176" fontId="25" fillId="0" borderId="12" xfId="3" applyBorder="1" applyAlignment="1">
      <alignment horizontal="center" vertical="center"/>
    </xf>
    <xf numFmtId="176" fontId="25" fillId="0" borderId="10" xfId="3" applyBorder="1" applyAlignment="1">
      <alignment horizontal="center" vertical="center"/>
    </xf>
    <xf numFmtId="176" fontId="25" fillId="0" borderId="13" xfId="3" applyBorder="1" applyAlignment="1">
      <alignment horizontal="center" vertical="center"/>
    </xf>
    <xf numFmtId="176" fontId="25" fillId="0" borderId="14" xfId="3" applyBorder="1" applyAlignment="1">
      <alignment horizontal="center" vertical="center"/>
    </xf>
    <xf numFmtId="0" fontId="25" fillId="0" borderId="17" xfId="2" applyBorder="1" applyAlignment="1">
      <alignment horizontal="center" vertical="center"/>
    </xf>
    <xf numFmtId="0" fontId="6" fillId="0" borderId="18" xfId="2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5" fillId="0" borderId="18" xfId="2" applyBorder="1" applyAlignment="1">
      <alignment horizontal="center" vertical="center" wrapText="1"/>
    </xf>
    <xf numFmtId="0" fontId="7" fillId="0" borderId="18" xfId="4" applyFont="1" applyBorder="1" applyAlignment="1">
      <alignment horizontal="center" vertical="center" wrapText="1"/>
    </xf>
    <xf numFmtId="0" fontId="1" fillId="0" borderId="19" xfId="4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8" fillId="0" borderId="19" xfId="4" applyFont="1" applyBorder="1" applyAlignment="1">
      <alignment horizontal="center" vertical="center" shrinkToFit="1"/>
    </xf>
    <xf numFmtId="0" fontId="1" fillId="0" borderId="19" xfId="4" applyBorder="1" applyAlignment="1">
      <alignment horizontal="center" vertical="center" shrinkToFit="1"/>
    </xf>
    <xf numFmtId="0" fontId="25" fillId="0" borderId="19" xfId="2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9" fillId="0" borderId="18" xfId="4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177" fontId="6" fillId="0" borderId="18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0" fontId="13" fillId="0" borderId="19" xfId="0" applyFont="1" applyBorder="1" applyAlignment="1">
      <alignment horizontal="center" vertical="center" shrinkToFit="1"/>
    </xf>
    <xf numFmtId="0" fontId="4" fillId="5" borderId="18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shrinkToFit="1"/>
    </xf>
    <xf numFmtId="0" fontId="10" fillId="5" borderId="18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9" fillId="0" borderId="15" xfId="4" applyFont="1" applyBorder="1" applyAlignment="1">
      <alignment horizontal="center" vertical="center" wrapText="1"/>
    </xf>
    <xf numFmtId="0" fontId="2" fillId="2" borderId="16" xfId="4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15" fillId="4" borderId="18" xfId="4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2" fillId="2" borderId="19" xfId="4" applyFont="1" applyFill="1" applyBorder="1" applyAlignment="1">
      <alignment horizontal="center" vertical="center" wrapText="1"/>
    </xf>
    <xf numFmtId="0" fontId="15" fillId="3" borderId="18" xfId="4" applyFont="1" applyFill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18" fillId="0" borderId="18" xfId="4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177" fontId="0" fillId="0" borderId="18" xfId="0" applyNumberForma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3" xfId="0" applyBorder="1">
      <alignment vertical="center"/>
    </xf>
    <xf numFmtId="0" fontId="0" fillId="5" borderId="20" xfId="0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0" borderId="0" xfId="1" applyFont="1" applyBorder="1" applyAlignment="1">
      <alignment vertical="center"/>
    </xf>
    <xf numFmtId="0" fontId="1" fillId="9" borderId="0" xfId="4" applyFill="1">
      <alignment vertical="center"/>
    </xf>
    <xf numFmtId="0" fontId="1" fillId="0" borderId="35" xfId="4" applyBorder="1" applyAlignment="1">
      <alignment vertical="top" wrapText="1"/>
    </xf>
    <xf numFmtId="0" fontId="2" fillId="0" borderId="18" xfId="4" applyFont="1" applyBorder="1" applyAlignment="1">
      <alignment horizontal="center" vertical="center" wrapText="1"/>
    </xf>
    <xf numFmtId="0" fontId="2" fillId="0" borderId="19" xfId="4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3" fillId="0" borderId="30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1" fillId="0" borderId="17" xfId="4" quotePrefix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 wrapText="1"/>
    </xf>
    <xf numFmtId="0" fontId="5" fillId="0" borderId="21" xfId="2" applyFont="1" applyBorder="1" applyAlignment="1">
      <alignment horizontal="center" vertical="center"/>
    </xf>
    <xf numFmtId="0" fontId="29" fillId="4" borderId="15" xfId="4" applyFont="1" applyFill="1" applyBorder="1" applyAlignment="1">
      <alignment horizontal="center" vertical="center" wrapText="1"/>
    </xf>
    <xf numFmtId="0" fontId="16" fillId="0" borderId="15" xfId="2" applyFont="1" applyBorder="1" applyAlignment="1">
      <alignment horizontal="center" vertical="center" wrapText="1"/>
    </xf>
    <xf numFmtId="178" fontId="16" fillId="0" borderId="15" xfId="2" applyNumberFormat="1" applyFont="1" applyBorder="1" applyAlignment="1">
      <alignment horizontal="center" vertical="center" wrapText="1"/>
    </xf>
    <xf numFmtId="0" fontId="17" fillId="0" borderId="15" xfId="2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/>
    </xf>
    <xf numFmtId="0" fontId="29" fillId="4" borderId="18" xfId="4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center" vertical="center" wrapText="1"/>
    </xf>
    <xf numFmtId="178" fontId="16" fillId="0" borderId="18" xfId="2" applyNumberFormat="1" applyFont="1" applyBorder="1" applyAlignment="1">
      <alignment horizontal="center" vertical="center" wrapText="1"/>
    </xf>
    <xf numFmtId="0" fontId="17" fillId="0" borderId="18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 wrapText="1"/>
    </xf>
    <xf numFmtId="0" fontId="29" fillId="3" borderId="18" xfId="4" applyFont="1" applyFill="1" applyBorder="1" applyAlignment="1">
      <alignment horizontal="center" vertical="center" wrapText="1"/>
    </xf>
    <xf numFmtId="177" fontId="6" fillId="5" borderId="18" xfId="0" applyNumberFormat="1" applyFont="1" applyFill="1" applyBorder="1" applyAlignment="1">
      <alignment horizontal="center" vertical="center" wrapText="1"/>
    </xf>
    <xf numFmtId="0" fontId="27" fillId="0" borderId="35" xfId="4" applyFont="1" applyBorder="1" applyAlignment="1">
      <alignment horizontal="center" vertical="center" wrapText="1"/>
    </xf>
    <xf numFmtId="0" fontId="27" fillId="0" borderId="37" xfId="4" applyFont="1" applyBorder="1" applyAlignment="1">
      <alignment horizontal="center" vertical="center" wrapText="1"/>
    </xf>
    <xf numFmtId="0" fontId="27" fillId="0" borderId="0" xfId="4" applyFont="1" applyAlignment="1">
      <alignment horizontal="center" vertical="center" wrapText="1"/>
    </xf>
    <xf numFmtId="0" fontId="27" fillId="0" borderId="39" xfId="4" applyFont="1" applyBorder="1" applyAlignment="1">
      <alignment horizontal="center" vertical="center" wrapText="1"/>
    </xf>
    <xf numFmtId="0" fontId="27" fillId="0" borderId="34" xfId="4" applyFont="1" applyBorder="1" applyAlignment="1">
      <alignment horizontal="center" vertical="center" wrapText="1"/>
    </xf>
    <xf numFmtId="0" fontId="28" fillId="0" borderId="35" xfId="4" applyFont="1" applyBorder="1" applyAlignment="1">
      <alignment horizontal="center" vertical="center" shrinkToFit="1"/>
    </xf>
    <xf numFmtId="0" fontId="28" fillId="0" borderId="36" xfId="4" applyFont="1" applyBorder="1" applyAlignment="1">
      <alignment horizontal="center" vertical="center" shrinkToFit="1"/>
    </xf>
    <xf numFmtId="0" fontId="28" fillId="0" borderId="0" xfId="4" applyFont="1" applyAlignment="1">
      <alignment horizontal="center" vertical="center" shrinkToFit="1"/>
    </xf>
    <xf numFmtId="0" fontId="28" fillId="0" borderId="38" xfId="4" applyFont="1" applyBorder="1" applyAlignment="1">
      <alignment horizontal="center" vertical="center" shrinkToFit="1"/>
    </xf>
    <xf numFmtId="0" fontId="28" fillId="0" borderId="34" xfId="4" applyFont="1" applyBorder="1" applyAlignment="1">
      <alignment horizontal="center" vertical="center" shrinkToFit="1"/>
    </xf>
    <xf numFmtId="0" fontId="28" fillId="0" borderId="40" xfId="4" applyFont="1" applyBorder="1" applyAlignment="1">
      <alignment horizontal="center" vertical="center" shrinkToFit="1"/>
    </xf>
    <xf numFmtId="0" fontId="0" fillId="0" borderId="21" xfId="0" applyBorder="1" applyAlignment="1">
      <alignment horizontal="center" vertical="center"/>
    </xf>
    <xf numFmtId="0" fontId="1" fillId="7" borderId="17" xfId="4" applyFill="1" applyBorder="1" applyAlignment="1">
      <alignment horizontal="center" vertical="center" wrapText="1"/>
    </xf>
    <xf numFmtId="0" fontId="2" fillId="7" borderId="15" xfId="4" applyFont="1" applyFill="1" applyBorder="1" applyAlignment="1">
      <alignment horizontal="center" vertical="center" wrapText="1"/>
    </xf>
    <xf numFmtId="0" fontId="2" fillId="7" borderId="18" xfId="4" applyFont="1" applyFill="1" applyBorder="1" applyAlignment="1">
      <alignment horizontal="center" vertical="center" wrapText="1"/>
    </xf>
    <xf numFmtId="0" fontId="2" fillId="7" borderId="16" xfId="4" applyFont="1" applyFill="1" applyBorder="1" applyAlignment="1">
      <alignment horizontal="center" vertical="center" wrapText="1"/>
    </xf>
    <xf numFmtId="0" fontId="2" fillId="7" borderId="19" xfId="4" applyFont="1" applyFill="1" applyBorder="1" applyAlignment="1">
      <alignment horizontal="center" vertical="center" wrapText="1"/>
    </xf>
    <xf numFmtId="0" fontId="3" fillId="0" borderId="26" xfId="4" applyFont="1" applyBorder="1" applyAlignment="1">
      <alignment horizontal="left" vertical="center"/>
    </xf>
    <xf numFmtId="0" fontId="4" fillId="3" borderId="4" xfId="2" applyFont="1" applyFill="1" applyBorder="1" applyAlignment="1">
      <alignment horizontal="center" vertical="center" wrapText="1"/>
    </xf>
    <xf numFmtId="0" fontId="4" fillId="3" borderId="27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3" fillId="0" borderId="24" xfId="2" applyFont="1" applyBorder="1" applyAlignment="1">
      <alignment horizontal="center" vertical="center" shrinkToFit="1"/>
    </xf>
    <xf numFmtId="0" fontId="3" fillId="0" borderId="11" xfId="2" applyFont="1" applyBorder="1" applyAlignment="1">
      <alignment horizontal="center" vertical="center" shrinkToFit="1"/>
    </xf>
    <xf numFmtId="0" fontId="3" fillId="0" borderId="30" xfId="2" applyFont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3" fillId="0" borderId="25" xfId="2" applyFont="1" applyBorder="1" applyAlignment="1">
      <alignment horizontal="center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3" xfId="2" applyFont="1" applyBorder="1" applyAlignment="1">
      <alignment horizontal="center" vertical="center" shrinkToFit="1"/>
    </xf>
    <xf numFmtId="0" fontId="3" fillId="0" borderId="31" xfId="2" applyFont="1" applyBorder="1" applyAlignment="1">
      <alignment horizontal="center" vertical="center" shrinkToFit="1"/>
    </xf>
    <xf numFmtId="0" fontId="3" fillId="0" borderId="29" xfId="2" applyFont="1" applyBorder="1" applyAlignment="1">
      <alignment horizontal="center" vertical="center" shrinkToFit="1"/>
    </xf>
    <xf numFmtId="0" fontId="25" fillId="0" borderId="2" xfId="2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4" fillId="3" borderId="28" xfId="2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31" fillId="0" borderId="24" xfId="0" applyFont="1" applyBorder="1" applyAlignment="1">
      <alignment horizontal="center" vertical="center" wrapText="1" shrinkToFit="1"/>
    </xf>
    <xf numFmtId="0" fontId="31" fillId="0" borderId="11" xfId="0" applyFont="1" applyBorder="1" applyAlignment="1">
      <alignment horizontal="center" vertical="center" wrapText="1" shrinkToFit="1"/>
    </xf>
    <xf numFmtId="0" fontId="31" fillId="0" borderId="30" xfId="0" applyFont="1" applyBorder="1" applyAlignment="1">
      <alignment horizontal="center" vertical="center" wrapText="1" shrinkToFit="1"/>
    </xf>
    <xf numFmtId="0" fontId="31" fillId="0" borderId="0" xfId="0" applyFont="1" applyAlignment="1">
      <alignment horizontal="center" vertical="center" wrapText="1" shrinkToFit="1"/>
    </xf>
    <xf numFmtId="0" fontId="31" fillId="0" borderId="25" xfId="0" applyFont="1" applyBorder="1" applyAlignment="1">
      <alignment horizontal="center" vertical="center" wrapText="1" shrinkToFit="1"/>
    </xf>
    <xf numFmtId="0" fontId="31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1" fillId="0" borderId="24" xfId="2" applyFont="1" applyBorder="1" applyAlignment="1">
      <alignment horizontal="center" vertical="center" shrinkToFit="1"/>
    </xf>
    <xf numFmtId="0" fontId="21" fillId="0" borderId="11" xfId="2" applyFont="1" applyBorder="1" applyAlignment="1">
      <alignment horizontal="center" vertical="center" shrinkToFit="1"/>
    </xf>
    <xf numFmtId="0" fontId="21" fillId="0" borderId="3" xfId="2" applyFont="1" applyBorder="1" applyAlignment="1">
      <alignment horizontal="center" vertical="center" shrinkToFit="1"/>
    </xf>
    <xf numFmtId="0" fontId="21" fillId="0" borderId="30" xfId="2" applyFont="1" applyBorder="1" applyAlignment="1">
      <alignment horizontal="center" vertical="center" shrinkToFit="1"/>
    </xf>
    <xf numFmtId="0" fontId="21" fillId="0" borderId="0" xfId="2" applyFont="1" applyAlignment="1">
      <alignment horizontal="center" vertical="center" shrinkToFit="1"/>
    </xf>
    <xf numFmtId="0" fontId="21" fillId="0" borderId="31" xfId="2" applyFont="1" applyBorder="1" applyAlignment="1">
      <alignment horizontal="center" vertical="center" shrinkToFit="1"/>
    </xf>
    <xf numFmtId="0" fontId="21" fillId="0" borderId="25" xfId="2" applyFont="1" applyBorder="1" applyAlignment="1">
      <alignment horizontal="center" vertical="center" shrinkToFit="1"/>
    </xf>
    <xf numFmtId="0" fontId="21" fillId="0" borderId="2" xfId="2" applyFont="1" applyBorder="1" applyAlignment="1">
      <alignment horizontal="center" vertical="center" shrinkToFit="1"/>
    </xf>
    <xf numFmtId="0" fontId="21" fillId="0" borderId="29" xfId="2" applyFont="1" applyBorder="1" applyAlignment="1">
      <alignment horizontal="center" vertical="center" shrinkToFit="1"/>
    </xf>
    <xf numFmtId="0" fontId="25" fillId="0" borderId="4" xfId="2" applyBorder="1" applyAlignment="1">
      <alignment horizontal="center" vertical="center"/>
    </xf>
    <xf numFmtId="0" fontId="25" fillId="0" borderId="28" xfId="2" applyBorder="1" applyAlignment="1">
      <alignment horizontal="center" vertical="center"/>
    </xf>
    <xf numFmtId="0" fontId="30" fillId="0" borderId="1" xfId="2" applyFont="1" applyBorder="1" applyAlignment="1">
      <alignment horizontal="center" vertical="center" wrapText="1"/>
    </xf>
    <xf numFmtId="0" fontId="25" fillId="0" borderId="21" xfId="2" applyBorder="1" applyAlignment="1">
      <alignment horizontal="center" vertical="center"/>
    </xf>
    <xf numFmtId="0" fontId="25" fillId="0" borderId="17" xfId="2" applyBorder="1" applyAlignment="1">
      <alignment horizontal="center" vertical="center"/>
    </xf>
    <xf numFmtId="0" fontId="6" fillId="0" borderId="15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 wrapText="1"/>
    </xf>
    <xf numFmtId="178" fontId="25" fillId="0" borderId="18" xfId="2" applyNumberFormat="1" applyBorder="1" applyAlignment="1">
      <alignment horizontal="center" vertical="center" wrapText="1"/>
    </xf>
    <xf numFmtId="0" fontId="25" fillId="0" borderId="1" xfId="2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0" fillId="0" borderId="24" xfId="0" applyFont="1" applyBorder="1" applyAlignment="1">
      <alignment horizontal="center" vertical="center" wrapText="1" shrinkToFit="1"/>
    </xf>
    <xf numFmtId="0" fontId="30" fillId="0" borderId="11" xfId="0" applyFont="1" applyBorder="1" applyAlignment="1">
      <alignment horizontal="center" vertical="center" wrapText="1" shrinkToFit="1"/>
    </xf>
    <xf numFmtId="0" fontId="30" fillId="0" borderId="3" xfId="0" applyFont="1" applyBorder="1" applyAlignment="1">
      <alignment horizontal="center" vertical="center" wrapText="1" shrinkToFit="1"/>
    </xf>
    <xf numFmtId="0" fontId="30" fillId="0" borderId="25" xfId="0" applyFont="1" applyBorder="1" applyAlignment="1">
      <alignment horizontal="center" vertical="center" wrapText="1" shrinkToFit="1"/>
    </xf>
    <xf numFmtId="0" fontId="30" fillId="0" borderId="2" xfId="0" applyFont="1" applyBorder="1" applyAlignment="1">
      <alignment horizontal="center" vertical="center" wrapText="1" shrinkToFit="1"/>
    </xf>
    <xf numFmtId="0" fontId="30" fillId="0" borderId="29" xfId="0" applyFont="1" applyBorder="1" applyAlignment="1">
      <alignment horizontal="center" vertical="center" wrapText="1" shrinkToFit="1"/>
    </xf>
    <xf numFmtId="0" fontId="0" fillId="0" borderId="17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77" fontId="0" fillId="2" borderId="33" xfId="0" applyNumberFormat="1" applyFill="1" applyBorder="1" applyAlignment="1">
      <alignment horizontal="center" vertical="center" wrapText="1"/>
    </xf>
    <xf numFmtId="177" fontId="0" fillId="2" borderId="27" xfId="0" applyNumberFormat="1" applyFill="1" applyBorder="1" applyAlignment="1">
      <alignment horizontal="center" vertical="center" wrapText="1"/>
    </xf>
    <xf numFmtId="177" fontId="0" fillId="2" borderId="28" xfId="0" applyNumberForma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0" fillId="0" borderId="15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42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47"/>
  <sheetViews>
    <sheetView tabSelected="1" view="pageBreakPreview" zoomScale="120" zoomScaleNormal="120" zoomScaleSheetLayoutView="120" workbookViewId="0">
      <pane ySplit="8" topLeftCell="A9" activePane="bottomLeft" state="frozen"/>
      <selection pane="bottomLeft" activeCell="T9" sqref="T9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1" t="s">
        <v>71</v>
      </c>
      <c r="B1" s="102"/>
      <c r="C1" s="102"/>
      <c r="D1" s="107" t="str">
        <f>R2</f>
        <v>26.06.11 웰스홈_신승에프엔티_에이치제이종합건설_조선대학교 감염병 전문병원</v>
      </c>
      <c r="E1" s="107"/>
      <c r="F1" s="107"/>
      <c r="G1" s="108"/>
      <c r="R1" s="8" t="s">
        <v>66</v>
      </c>
    </row>
    <row r="2" spans="1:18" ht="16.5" customHeight="1">
      <c r="A2" s="103"/>
      <c r="B2" s="104"/>
      <c r="C2" s="104"/>
      <c r="D2" s="109"/>
      <c r="E2" s="109"/>
      <c r="F2" s="109"/>
      <c r="G2" s="110"/>
      <c r="R2" s="74" t="s">
        <v>155</v>
      </c>
    </row>
    <row r="3" spans="1:18" ht="16.5" customHeight="1">
      <c r="A3" s="103"/>
      <c r="B3" s="104"/>
      <c r="C3" s="104"/>
      <c r="D3" s="109"/>
      <c r="E3" s="109"/>
      <c r="F3" s="109"/>
      <c r="G3" s="110"/>
    </row>
    <row r="4" spans="1:18" ht="17.25" customHeight="1" thickBot="1">
      <c r="A4" s="105"/>
      <c r="B4" s="106"/>
      <c r="C4" s="106"/>
      <c r="D4" s="111"/>
      <c r="E4" s="111"/>
      <c r="F4" s="111"/>
      <c r="G4" s="112"/>
    </row>
    <row r="5" spans="1:18" ht="6.75" customHeight="1" thickTop="1">
      <c r="A5" s="75"/>
      <c r="B5" s="75"/>
      <c r="C5" s="75"/>
      <c r="D5" s="75"/>
      <c r="E5" s="75"/>
      <c r="F5" s="75"/>
      <c r="G5" s="75"/>
    </row>
    <row r="6" spans="1:18" s="10" customFormat="1" ht="18" customHeight="1" thickBot="1">
      <c r="A6" s="113" t="s">
        <v>1</v>
      </c>
      <c r="B6" s="115" t="s">
        <v>65</v>
      </c>
      <c r="C6" s="115" t="s">
        <v>4</v>
      </c>
      <c r="D6" s="115"/>
      <c r="E6" s="115" t="s">
        <v>44</v>
      </c>
      <c r="F6" s="115" t="s">
        <v>39</v>
      </c>
      <c r="G6" s="117" t="s">
        <v>19</v>
      </c>
      <c r="H6" s="9"/>
      <c r="I6" s="119" t="s">
        <v>11</v>
      </c>
      <c r="J6" s="119"/>
      <c r="K6" s="119"/>
      <c r="L6" s="119"/>
      <c r="M6" s="119"/>
      <c r="N6" s="119"/>
      <c r="O6" s="8"/>
    </row>
    <row r="7" spans="1:18" s="10" customFormat="1" ht="18" customHeight="1">
      <c r="A7" s="114"/>
      <c r="B7" s="116"/>
      <c r="C7" s="116" t="s">
        <v>62</v>
      </c>
      <c r="D7" s="116" t="s">
        <v>60</v>
      </c>
      <c r="E7" s="116"/>
      <c r="F7" s="116"/>
      <c r="G7" s="118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14"/>
      <c r="B8" s="116"/>
      <c r="C8" s="116"/>
      <c r="D8" s="116"/>
      <c r="E8" s="116"/>
      <c r="F8" s="116"/>
      <c r="G8" s="118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84" t="s">
        <v>73</v>
      </c>
      <c r="B9" s="53" t="s">
        <v>17</v>
      </c>
      <c r="C9" s="26">
        <v>200</v>
      </c>
      <c r="D9" s="26">
        <v>250</v>
      </c>
      <c r="E9" s="76"/>
      <c r="F9" s="76"/>
      <c r="G9" s="77" t="s">
        <v>113</v>
      </c>
      <c r="H9" s="13"/>
      <c r="I9" s="23"/>
      <c r="J9" s="21"/>
      <c r="K9" s="17"/>
      <c r="L9" s="18"/>
      <c r="M9" s="19"/>
      <c r="N9" s="21"/>
      <c r="O9" s="8"/>
      <c r="Q9" s="10" t="s">
        <v>116</v>
      </c>
    </row>
    <row r="10" spans="1:18" s="10" customFormat="1" ht="18" customHeight="1" thickBot="1">
      <c r="A10" s="84" t="s">
        <v>74</v>
      </c>
      <c r="B10" s="53" t="s">
        <v>17</v>
      </c>
      <c r="C10" s="26">
        <v>250</v>
      </c>
      <c r="D10" s="26">
        <v>200</v>
      </c>
      <c r="E10" s="60"/>
      <c r="F10" s="76"/>
      <c r="G10" s="77" t="s">
        <v>114</v>
      </c>
      <c r="H10" s="13"/>
      <c r="I10" s="23"/>
      <c r="J10" s="21"/>
      <c r="K10" s="17"/>
      <c r="L10" s="18"/>
      <c r="M10" s="19"/>
      <c r="N10" s="21"/>
      <c r="O10" s="8"/>
      <c r="Q10" s="10" t="s">
        <v>117</v>
      </c>
    </row>
    <row r="11" spans="1:18" s="10" customFormat="1" ht="18" customHeight="1" thickBot="1">
      <c r="A11" s="84" t="s">
        <v>75</v>
      </c>
      <c r="B11" s="53" t="s">
        <v>17</v>
      </c>
      <c r="C11" s="26">
        <v>250</v>
      </c>
      <c r="D11" s="26">
        <v>200</v>
      </c>
      <c r="E11" s="60"/>
      <c r="F11" s="76"/>
      <c r="G11" s="77" t="s">
        <v>113</v>
      </c>
      <c r="H11" s="13"/>
      <c r="I11" s="23"/>
      <c r="J11" s="21"/>
      <c r="K11" s="17"/>
      <c r="L11" s="18"/>
      <c r="M11" s="19"/>
      <c r="N11" s="21"/>
      <c r="O11" s="8"/>
      <c r="Q11" s="10" t="s">
        <v>118</v>
      </c>
    </row>
    <row r="12" spans="1:18" s="10" customFormat="1" ht="18" customHeight="1" thickBot="1">
      <c r="A12" s="84" t="s">
        <v>76</v>
      </c>
      <c r="B12" s="53" t="s">
        <v>17</v>
      </c>
      <c r="C12" s="26">
        <v>250</v>
      </c>
      <c r="D12" s="26">
        <v>200</v>
      </c>
      <c r="E12" s="60"/>
      <c r="F12" s="76"/>
      <c r="G12" s="77" t="s">
        <v>113</v>
      </c>
      <c r="H12" s="13"/>
      <c r="I12" s="23"/>
      <c r="J12" s="21"/>
      <c r="K12" s="17"/>
      <c r="L12" s="18"/>
      <c r="M12" s="19"/>
      <c r="N12" s="21"/>
      <c r="O12" s="8"/>
      <c r="Q12" s="10" t="s">
        <v>119</v>
      </c>
    </row>
    <row r="13" spans="1:18" s="10" customFormat="1" ht="18" customHeight="1" thickBot="1">
      <c r="A13" s="84" t="s">
        <v>77</v>
      </c>
      <c r="B13" s="53" t="s">
        <v>17</v>
      </c>
      <c r="C13" s="26">
        <v>250</v>
      </c>
      <c r="D13" s="26">
        <v>200</v>
      </c>
      <c r="E13" s="60"/>
      <c r="F13" s="76"/>
      <c r="G13" s="77" t="s">
        <v>113</v>
      </c>
      <c r="H13" s="13"/>
      <c r="I13" s="12"/>
      <c r="J13" s="12"/>
      <c r="K13" s="17"/>
      <c r="L13" s="18"/>
      <c r="M13" s="19"/>
      <c r="N13" s="12"/>
      <c r="O13" s="8"/>
      <c r="Q13" s="10" t="s">
        <v>120</v>
      </c>
    </row>
    <row r="14" spans="1:18" s="10" customFormat="1" ht="18" customHeight="1" thickBot="1">
      <c r="A14" s="84" t="s">
        <v>78</v>
      </c>
      <c r="B14" s="53" t="s">
        <v>17</v>
      </c>
      <c r="C14" s="26">
        <v>250</v>
      </c>
      <c r="D14" s="26">
        <v>250</v>
      </c>
      <c r="E14" s="60"/>
      <c r="F14" s="76"/>
      <c r="G14" s="77" t="s">
        <v>113</v>
      </c>
      <c r="H14" s="13"/>
      <c r="I14" s="23"/>
      <c r="J14" s="21"/>
      <c r="K14" s="17"/>
      <c r="L14" s="18"/>
      <c r="M14" s="19"/>
      <c r="N14" s="21"/>
      <c r="O14" s="8"/>
      <c r="Q14" s="10" t="s">
        <v>121</v>
      </c>
    </row>
    <row r="15" spans="1:18" s="10" customFormat="1" ht="18" customHeight="1" thickBot="1">
      <c r="A15" s="84" t="s">
        <v>79</v>
      </c>
      <c r="B15" s="53" t="s">
        <v>17</v>
      </c>
      <c r="C15" s="26">
        <v>250</v>
      </c>
      <c r="D15" s="26">
        <v>250</v>
      </c>
      <c r="E15" s="60"/>
      <c r="F15" s="76"/>
      <c r="G15" s="77" t="s">
        <v>113</v>
      </c>
      <c r="H15" s="13"/>
      <c r="I15" s="22"/>
      <c r="J15" s="20"/>
      <c r="K15" s="17"/>
      <c r="L15" s="18"/>
      <c r="M15" s="19"/>
      <c r="N15" s="20"/>
      <c r="O15" s="8"/>
      <c r="Q15" s="10" t="s">
        <v>122</v>
      </c>
    </row>
    <row r="16" spans="1:18" s="10" customFormat="1" ht="18" customHeight="1" thickBot="1">
      <c r="A16" s="84" t="s">
        <v>80</v>
      </c>
      <c r="B16" s="53" t="s">
        <v>17</v>
      </c>
      <c r="C16" s="26">
        <v>250</v>
      </c>
      <c r="D16" s="26">
        <v>250</v>
      </c>
      <c r="E16" s="60"/>
      <c r="F16" s="76"/>
      <c r="G16" s="77" t="s">
        <v>113</v>
      </c>
      <c r="H16" s="13"/>
      <c r="I16" s="23"/>
      <c r="J16" s="21"/>
      <c r="K16" s="17"/>
      <c r="L16" s="18"/>
      <c r="M16" s="19"/>
      <c r="N16" s="21"/>
      <c r="O16" s="8"/>
      <c r="Q16" s="10" t="s">
        <v>123</v>
      </c>
    </row>
    <row r="17" spans="1:17" s="10" customFormat="1" ht="18" customHeight="1" thickBot="1">
      <c r="A17" s="84" t="s">
        <v>81</v>
      </c>
      <c r="B17" s="53" t="s">
        <v>17</v>
      </c>
      <c r="C17" s="26">
        <v>250</v>
      </c>
      <c r="D17" s="26">
        <v>250</v>
      </c>
      <c r="E17" s="60"/>
      <c r="F17" s="76"/>
      <c r="G17" s="77" t="s">
        <v>113</v>
      </c>
      <c r="H17" s="13"/>
      <c r="I17" s="23"/>
      <c r="J17" s="21"/>
      <c r="K17" s="17"/>
      <c r="L17" s="18"/>
      <c r="M17" s="19"/>
      <c r="N17" s="21"/>
      <c r="O17" s="8"/>
      <c r="Q17" s="10" t="s">
        <v>124</v>
      </c>
    </row>
    <row r="18" spans="1:17" s="10" customFormat="1" ht="18" customHeight="1" thickBot="1">
      <c r="A18" s="84" t="s">
        <v>82</v>
      </c>
      <c r="B18" s="53" t="s">
        <v>17</v>
      </c>
      <c r="C18" s="26">
        <v>250</v>
      </c>
      <c r="D18" s="26">
        <v>350</v>
      </c>
      <c r="E18" s="60"/>
      <c r="F18" s="76"/>
      <c r="G18" s="77" t="s">
        <v>115</v>
      </c>
      <c r="H18" s="13"/>
      <c r="I18" s="23"/>
      <c r="J18" s="21"/>
      <c r="K18" s="17"/>
      <c r="L18" s="18"/>
      <c r="M18" s="19"/>
      <c r="N18" s="21"/>
      <c r="O18" s="8"/>
      <c r="Q18" s="10" t="s">
        <v>125</v>
      </c>
    </row>
    <row r="19" spans="1:17" s="10" customFormat="1" ht="18" customHeight="1" thickBot="1">
      <c r="A19" s="84" t="s">
        <v>83</v>
      </c>
      <c r="B19" s="53" t="s">
        <v>17</v>
      </c>
      <c r="C19" s="26">
        <v>300</v>
      </c>
      <c r="D19" s="26">
        <v>250</v>
      </c>
      <c r="E19" s="60"/>
      <c r="F19" s="76"/>
      <c r="G19" s="77" t="s">
        <v>113</v>
      </c>
      <c r="H19" s="13"/>
      <c r="I19" s="23"/>
      <c r="J19" s="21"/>
      <c r="K19" s="17"/>
      <c r="L19" s="18"/>
      <c r="M19" s="19"/>
      <c r="N19" s="21"/>
      <c r="O19" s="8"/>
      <c r="Q19" s="10" t="s">
        <v>126</v>
      </c>
    </row>
    <row r="20" spans="1:17" s="10" customFormat="1" ht="18" customHeight="1" thickBot="1">
      <c r="A20" s="84" t="s">
        <v>84</v>
      </c>
      <c r="B20" s="53" t="s">
        <v>17</v>
      </c>
      <c r="C20" s="26">
        <v>350</v>
      </c>
      <c r="D20" s="26">
        <v>250</v>
      </c>
      <c r="E20" s="76"/>
      <c r="F20" s="76"/>
      <c r="G20" s="77" t="s">
        <v>113</v>
      </c>
      <c r="H20" s="13"/>
      <c r="I20" s="23"/>
      <c r="J20" s="21"/>
      <c r="K20" s="17"/>
      <c r="L20" s="18"/>
      <c r="M20" s="19"/>
      <c r="N20" s="21"/>
      <c r="O20" s="8"/>
      <c r="Q20" s="10" t="s">
        <v>127</v>
      </c>
    </row>
    <row r="21" spans="1:17" s="10" customFormat="1" ht="18" customHeight="1" thickBot="1">
      <c r="A21" s="84" t="s">
        <v>85</v>
      </c>
      <c r="B21" s="53" t="s">
        <v>17</v>
      </c>
      <c r="C21" s="26">
        <v>350</v>
      </c>
      <c r="D21" s="26">
        <v>250</v>
      </c>
      <c r="E21" s="76"/>
      <c r="F21" s="76"/>
      <c r="G21" s="77" t="s">
        <v>115</v>
      </c>
      <c r="H21" s="13"/>
      <c r="I21" s="23"/>
      <c r="J21" s="21"/>
      <c r="K21" s="17"/>
      <c r="L21" s="18"/>
      <c r="M21" s="19"/>
      <c r="N21" s="21"/>
      <c r="O21" s="8"/>
      <c r="Q21" s="10" t="s">
        <v>128</v>
      </c>
    </row>
    <row r="22" spans="1:17" s="10" customFormat="1" ht="18" customHeight="1" thickBot="1">
      <c r="A22" s="84" t="s">
        <v>86</v>
      </c>
      <c r="B22" s="53" t="s">
        <v>17</v>
      </c>
      <c r="C22" s="26">
        <v>400</v>
      </c>
      <c r="D22" s="26">
        <v>250</v>
      </c>
      <c r="E22" s="76"/>
      <c r="F22" s="76"/>
      <c r="G22" s="77" t="s">
        <v>113</v>
      </c>
      <c r="H22" s="13"/>
      <c r="I22" s="23"/>
      <c r="J22" s="21"/>
      <c r="K22" s="17"/>
      <c r="L22" s="18"/>
      <c r="M22" s="19"/>
      <c r="N22" s="21"/>
      <c r="O22" s="8"/>
      <c r="Q22" s="10" t="s">
        <v>129</v>
      </c>
    </row>
    <row r="23" spans="1:17" s="10" customFormat="1" ht="18" customHeight="1" thickBot="1">
      <c r="A23" s="84" t="s">
        <v>87</v>
      </c>
      <c r="B23" s="53" t="s">
        <v>17</v>
      </c>
      <c r="C23" s="26">
        <v>450</v>
      </c>
      <c r="D23" s="26">
        <v>250</v>
      </c>
      <c r="E23" s="60"/>
      <c r="F23" s="76"/>
      <c r="G23" s="77" t="s">
        <v>113</v>
      </c>
      <c r="H23" s="13"/>
      <c r="I23" s="23"/>
      <c r="J23" s="21"/>
      <c r="K23" s="17"/>
      <c r="L23" s="18"/>
      <c r="M23" s="19"/>
      <c r="N23" s="21"/>
      <c r="O23" s="8"/>
      <c r="Q23" s="10" t="s">
        <v>130</v>
      </c>
    </row>
    <row r="24" spans="1:17" s="10" customFormat="1" ht="18" customHeight="1" thickBot="1">
      <c r="A24" s="84" t="s">
        <v>88</v>
      </c>
      <c r="B24" s="53" t="s">
        <v>17</v>
      </c>
      <c r="C24" s="26">
        <v>450</v>
      </c>
      <c r="D24" s="26">
        <v>300</v>
      </c>
      <c r="E24" s="60"/>
      <c r="F24" s="76"/>
      <c r="G24" s="77" t="s">
        <v>114</v>
      </c>
      <c r="H24" s="13"/>
      <c r="I24" s="12"/>
      <c r="J24" s="12"/>
      <c r="K24" s="17"/>
      <c r="L24" s="18"/>
      <c r="M24" s="19"/>
      <c r="N24" s="12"/>
      <c r="O24" s="8"/>
      <c r="Q24" s="10" t="s">
        <v>131</v>
      </c>
    </row>
    <row r="25" spans="1:17" s="10" customFormat="1" ht="18" customHeight="1" thickBot="1">
      <c r="A25" s="84" t="s">
        <v>89</v>
      </c>
      <c r="B25" s="53" t="s">
        <v>17</v>
      </c>
      <c r="C25" s="26">
        <v>450</v>
      </c>
      <c r="D25" s="26">
        <v>300</v>
      </c>
      <c r="E25" s="60"/>
      <c r="F25" s="76"/>
      <c r="G25" s="77" t="s">
        <v>113</v>
      </c>
      <c r="H25" s="13"/>
      <c r="I25" s="23"/>
      <c r="J25" s="21"/>
      <c r="K25" s="17"/>
      <c r="L25" s="18"/>
      <c r="M25" s="19"/>
      <c r="N25" s="21"/>
      <c r="O25" s="8"/>
      <c r="Q25" s="10" t="s">
        <v>132</v>
      </c>
    </row>
    <row r="26" spans="1:17" s="10" customFormat="1" ht="18" customHeight="1" thickBot="1">
      <c r="A26" s="84" t="s">
        <v>90</v>
      </c>
      <c r="B26" s="53" t="s">
        <v>17</v>
      </c>
      <c r="C26" s="26">
        <v>500</v>
      </c>
      <c r="D26" s="26">
        <v>400</v>
      </c>
      <c r="E26" s="60"/>
      <c r="F26" s="76"/>
      <c r="G26" s="77" t="s">
        <v>113</v>
      </c>
      <c r="H26" s="13"/>
      <c r="I26" s="22"/>
      <c r="J26" s="20"/>
      <c r="K26" s="17"/>
      <c r="L26" s="18"/>
      <c r="M26" s="19"/>
      <c r="N26" s="20"/>
      <c r="O26" s="8"/>
      <c r="Q26" s="10" t="s">
        <v>133</v>
      </c>
    </row>
    <row r="27" spans="1:17" s="10" customFormat="1" ht="18" customHeight="1" thickBot="1">
      <c r="A27" s="84" t="s">
        <v>91</v>
      </c>
      <c r="B27" s="53" t="s">
        <v>17</v>
      </c>
      <c r="C27" s="26">
        <v>550</v>
      </c>
      <c r="D27" s="26">
        <v>350</v>
      </c>
      <c r="E27" s="60"/>
      <c r="F27" s="76"/>
      <c r="G27" s="77" t="s">
        <v>113</v>
      </c>
      <c r="H27" s="13"/>
      <c r="I27" s="23"/>
      <c r="J27" s="21"/>
      <c r="K27" s="17"/>
      <c r="L27" s="18"/>
      <c r="M27" s="19"/>
      <c r="N27" s="21"/>
      <c r="O27" s="8"/>
      <c r="Q27" s="10" t="s">
        <v>134</v>
      </c>
    </row>
    <row r="28" spans="1:17" s="10" customFormat="1" ht="18" customHeight="1" thickBot="1">
      <c r="A28" s="84" t="s">
        <v>92</v>
      </c>
      <c r="B28" s="53" t="s">
        <v>17</v>
      </c>
      <c r="C28" s="26">
        <v>600</v>
      </c>
      <c r="D28" s="26">
        <v>400</v>
      </c>
      <c r="E28" s="60"/>
      <c r="F28" s="76"/>
      <c r="G28" s="77" t="s">
        <v>113</v>
      </c>
      <c r="H28" s="13"/>
      <c r="I28" s="23"/>
      <c r="J28" s="21"/>
      <c r="K28" s="17"/>
      <c r="L28" s="18"/>
      <c r="M28" s="19"/>
      <c r="N28" s="21"/>
      <c r="O28" s="8"/>
      <c r="Q28" s="10" t="s">
        <v>135</v>
      </c>
    </row>
    <row r="29" spans="1:17" s="10" customFormat="1" ht="18" customHeight="1" thickBot="1">
      <c r="A29" s="84" t="s">
        <v>93</v>
      </c>
      <c r="B29" s="53" t="s">
        <v>17</v>
      </c>
      <c r="C29" s="26">
        <v>600</v>
      </c>
      <c r="D29" s="26">
        <v>450</v>
      </c>
      <c r="E29" s="60"/>
      <c r="F29" s="76"/>
      <c r="G29" s="77" t="s">
        <v>113</v>
      </c>
      <c r="H29" s="13"/>
      <c r="I29" s="23"/>
      <c r="J29" s="21"/>
      <c r="K29" s="17"/>
      <c r="L29" s="18"/>
      <c r="M29" s="19"/>
      <c r="N29" s="21"/>
      <c r="O29" s="8"/>
      <c r="Q29" s="10" t="s">
        <v>136</v>
      </c>
    </row>
    <row r="30" spans="1:17" s="10" customFormat="1" ht="18" customHeight="1" thickBot="1">
      <c r="A30" s="84" t="s">
        <v>94</v>
      </c>
      <c r="B30" s="53" t="s">
        <v>17</v>
      </c>
      <c r="C30" s="26">
        <v>600</v>
      </c>
      <c r="D30" s="26">
        <v>550</v>
      </c>
      <c r="E30" s="60"/>
      <c r="F30" s="76"/>
      <c r="G30" s="77" t="s">
        <v>113</v>
      </c>
      <c r="H30" s="13"/>
      <c r="I30" s="23"/>
      <c r="J30" s="21"/>
      <c r="K30" s="17"/>
      <c r="L30" s="18"/>
      <c r="M30" s="19"/>
      <c r="N30" s="21"/>
      <c r="O30" s="8"/>
      <c r="Q30" s="10" t="s">
        <v>137</v>
      </c>
    </row>
    <row r="31" spans="1:17" s="10" customFormat="1" ht="18" customHeight="1" thickBot="1">
      <c r="A31" s="84" t="s">
        <v>95</v>
      </c>
      <c r="B31" s="53" t="s">
        <v>17</v>
      </c>
      <c r="C31" s="26">
        <v>600</v>
      </c>
      <c r="D31" s="26">
        <v>600</v>
      </c>
      <c r="E31" s="76"/>
      <c r="F31" s="76"/>
      <c r="G31" s="77" t="s">
        <v>114</v>
      </c>
      <c r="H31" s="13"/>
      <c r="I31" s="23"/>
      <c r="J31" s="21"/>
      <c r="K31" s="17"/>
      <c r="L31" s="18"/>
      <c r="M31" s="19"/>
      <c r="N31" s="21"/>
      <c r="O31" s="8"/>
      <c r="Q31" s="10" t="s">
        <v>138</v>
      </c>
    </row>
    <row r="32" spans="1:17" s="10" customFormat="1" ht="18" customHeight="1" thickBot="1">
      <c r="A32" s="84" t="s">
        <v>96</v>
      </c>
      <c r="B32" s="53" t="s">
        <v>17</v>
      </c>
      <c r="C32" s="26">
        <v>600</v>
      </c>
      <c r="D32" s="26">
        <v>600</v>
      </c>
      <c r="E32" s="76"/>
      <c r="F32" s="76"/>
      <c r="G32" s="77" t="s">
        <v>113</v>
      </c>
      <c r="H32" s="13"/>
      <c r="I32" s="23"/>
      <c r="J32" s="21"/>
      <c r="K32" s="17"/>
      <c r="L32" s="18"/>
      <c r="M32" s="19"/>
      <c r="N32" s="21"/>
      <c r="O32" s="8"/>
      <c r="Q32" s="10" t="s">
        <v>139</v>
      </c>
    </row>
    <row r="33" spans="1:17" s="10" customFormat="1" ht="18" customHeight="1" thickBot="1">
      <c r="A33" s="84" t="s">
        <v>97</v>
      </c>
      <c r="B33" s="53" t="s">
        <v>17</v>
      </c>
      <c r="C33" s="26">
        <v>650</v>
      </c>
      <c r="D33" s="26">
        <v>350</v>
      </c>
      <c r="E33" s="76"/>
      <c r="F33" s="76"/>
      <c r="G33" s="77" t="s">
        <v>113</v>
      </c>
      <c r="H33" s="13"/>
      <c r="I33" s="23"/>
      <c r="J33" s="21"/>
      <c r="K33" s="17"/>
      <c r="L33" s="18"/>
      <c r="M33" s="19"/>
      <c r="N33" s="21"/>
      <c r="O33" s="8"/>
      <c r="Q33" s="10" t="s">
        <v>140</v>
      </c>
    </row>
    <row r="34" spans="1:17" s="10" customFormat="1" ht="18" customHeight="1" thickBot="1">
      <c r="A34" s="84" t="s">
        <v>98</v>
      </c>
      <c r="B34" s="53" t="s">
        <v>17</v>
      </c>
      <c r="C34" s="26">
        <v>650</v>
      </c>
      <c r="D34" s="26">
        <v>400</v>
      </c>
      <c r="E34" s="76"/>
      <c r="F34" s="76"/>
      <c r="G34" s="77" t="s">
        <v>113</v>
      </c>
      <c r="H34" s="13"/>
      <c r="I34" s="23"/>
      <c r="J34" s="21"/>
      <c r="K34" s="17"/>
      <c r="L34" s="18"/>
      <c r="M34" s="19"/>
      <c r="N34" s="21"/>
      <c r="O34" s="8"/>
      <c r="Q34" s="10" t="s">
        <v>141</v>
      </c>
    </row>
    <row r="35" spans="1:17" s="10" customFormat="1" ht="18" customHeight="1" thickBot="1">
      <c r="A35" s="84" t="s">
        <v>99</v>
      </c>
      <c r="B35" s="53" t="s">
        <v>17</v>
      </c>
      <c r="C35" s="26">
        <v>650</v>
      </c>
      <c r="D35" s="26">
        <v>450</v>
      </c>
      <c r="E35" s="60"/>
      <c r="F35" s="76"/>
      <c r="G35" s="77" t="s">
        <v>113</v>
      </c>
      <c r="H35" s="13"/>
      <c r="I35" s="23"/>
      <c r="J35" s="21"/>
      <c r="K35" s="17"/>
      <c r="L35" s="18"/>
      <c r="M35" s="19"/>
      <c r="N35" s="21"/>
      <c r="O35" s="8"/>
      <c r="Q35" s="10" t="s">
        <v>142</v>
      </c>
    </row>
    <row r="36" spans="1:17" s="10" customFormat="1" ht="18" customHeight="1" thickBot="1">
      <c r="A36" s="84" t="s">
        <v>100</v>
      </c>
      <c r="B36" s="53" t="s">
        <v>17</v>
      </c>
      <c r="C36" s="26">
        <v>700</v>
      </c>
      <c r="D36" s="26">
        <v>650</v>
      </c>
      <c r="E36" s="60"/>
      <c r="F36" s="76"/>
      <c r="G36" s="77" t="s">
        <v>115</v>
      </c>
      <c r="H36" s="13"/>
      <c r="I36" s="23"/>
      <c r="J36" s="21"/>
      <c r="K36" s="17"/>
      <c r="L36" s="18"/>
      <c r="M36" s="19"/>
      <c r="N36" s="21"/>
      <c r="O36" s="8"/>
      <c r="Q36" s="10" t="s">
        <v>143</v>
      </c>
    </row>
    <row r="37" spans="1:17" s="10" customFormat="1" ht="18" customHeight="1" thickBot="1">
      <c r="A37" s="84" t="s">
        <v>101</v>
      </c>
      <c r="B37" s="53" t="s">
        <v>17</v>
      </c>
      <c r="C37" s="26">
        <v>750</v>
      </c>
      <c r="D37" s="26">
        <v>550</v>
      </c>
      <c r="E37" s="60"/>
      <c r="F37" s="76"/>
      <c r="G37" s="77" t="s">
        <v>114</v>
      </c>
      <c r="H37" s="13"/>
      <c r="I37" s="23"/>
      <c r="J37" s="21"/>
      <c r="K37" s="17"/>
      <c r="L37" s="18"/>
      <c r="M37" s="19"/>
      <c r="N37" s="21"/>
      <c r="O37" s="8"/>
      <c r="Q37" s="10" t="s">
        <v>144</v>
      </c>
    </row>
    <row r="38" spans="1:17" s="10" customFormat="1" ht="18" customHeight="1" thickBot="1">
      <c r="A38" s="84" t="s">
        <v>102</v>
      </c>
      <c r="B38" s="53" t="s">
        <v>17</v>
      </c>
      <c r="C38" s="26">
        <v>750</v>
      </c>
      <c r="D38" s="26">
        <v>550</v>
      </c>
      <c r="E38" s="60"/>
      <c r="F38" s="76"/>
      <c r="G38" s="77" t="s">
        <v>115</v>
      </c>
      <c r="H38" s="13"/>
      <c r="I38" s="12"/>
      <c r="J38" s="12"/>
      <c r="K38" s="17"/>
      <c r="L38" s="18"/>
      <c r="M38" s="19"/>
      <c r="N38" s="12"/>
      <c r="O38" s="8"/>
      <c r="Q38" s="10" t="s">
        <v>145</v>
      </c>
    </row>
    <row r="39" spans="1:17" s="10" customFormat="1" ht="18" customHeight="1" thickBot="1">
      <c r="A39" s="84" t="s">
        <v>103</v>
      </c>
      <c r="B39" s="53" t="s">
        <v>17</v>
      </c>
      <c r="C39" s="26">
        <v>800</v>
      </c>
      <c r="D39" s="26">
        <v>350</v>
      </c>
      <c r="E39" s="60"/>
      <c r="F39" s="76"/>
      <c r="G39" s="77" t="s">
        <v>114</v>
      </c>
      <c r="H39" s="13"/>
      <c r="I39" s="23"/>
      <c r="J39" s="21"/>
      <c r="K39" s="17"/>
      <c r="L39" s="18"/>
      <c r="M39" s="19"/>
      <c r="N39" s="21"/>
      <c r="O39" s="8"/>
      <c r="Q39" s="10" t="s">
        <v>146</v>
      </c>
    </row>
    <row r="40" spans="1:17" s="10" customFormat="1" ht="18" customHeight="1" thickBot="1">
      <c r="A40" s="84" t="s">
        <v>104</v>
      </c>
      <c r="B40" s="53" t="s">
        <v>17</v>
      </c>
      <c r="C40" s="26">
        <v>800</v>
      </c>
      <c r="D40" s="26">
        <v>550</v>
      </c>
      <c r="E40" s="60"/>
      <c r="F40" s="76"/>
      <c r="G40" s="77" t="s">
        <v>113</v>
      </c>
      <c r="H40" s="13"/>
      <c r="I40" s="22"/>
      <c r="J40" s="20"/>
      <c r="K40" s="17"/>
      <c r="L40" s="18"/>
      <c r="M40" s="19"/>
      <c r="N40" s="20"/>
      <c r="O40" s="8"/>
      <c r="Q40" s="10" t="s">
        <v>147</v>
      </c>
    </row>
    <row r="41" spans="1:17" s="10" customFormat="1" ht="18" customHeight="1" thickBot="1">
      <c r="A41" s="84" t="s">
        <v>105</v>
      </c>
      <c r="B41" s="53" t="s">
        <v>17</v>
      </c>
      <c r="C41" s="26">
        <v>800</v>
      </c>
      <c r="D41" s="26">
        <v>600</v>
      </c>
      <c r="E41" s="60"/>
      <c r="F41" s="76"/>
      <c r="G41" s="77" t="s">
        <v>114</v>
      </c>
      <c r="H41" s="13"/>
      <c r="I41" s="23"/>
      <c r="J41" s="21"/>
      <c r="K41" s="17"/>
      <c r="L41" s="18"/>
      <c r="M41" s="19"/>
      <c r="N41" s="21"/>
      <c r="O41" s="8"/>
      <c r="Q41" s="10" t="s">
        <v>148</v>
      </c>
    </row>
    <row r="42" spans="1:17" s="10" customFormat="1" ht="18" customHeight="1" thickBot="1">
      <c r="A42" s="84" t="s">
        <v>106</v>
      </c>
      <c r="B42" s="53" t="s">
        <v>17</v>
      </c>
      <c r="C42" s="26">
        <v>800</v>
      </c>
      <c r="D42" s="26">
        <v>600</v>
      </c>
      <c r="E42" s="60"/>
      <c r="F42" s="76"/>
      <c r="G42" s="77" t="s">
        <v>113</v>
      </c>
      <c r="H42" s="13"/>
      <c r="I42" s="23"/>
      <c r="J42" s="21"/>
      <c r="K42" s="17"/>
      <c r="L42" s="18"/>
      <c r="M42" s="19"/>
      <c r="N42" s="21"/>
      <c r="O42" s="8"/>
      <c r="Q42" s="10" t="s">
        <v>149</v>
      </c>
    </row>
    <row r="43" spans="1:17" s="10" customFormat="1" ht="18" customHeight="1" thickBot="1">
      <c r="A43" s="84" t="s">
        <v>107</v>
      </c>
      <c r="B43" s="53" t="s">
        <v>17</v>
      </c>
      <c r="C43" s="26">
        <v>800</v>
      </c>
      <c r="D43" s="26">
        <v>600</v>
      </c>
      <c r="E43" s="60"/>
      <c r="F43" s="76"/>
      <c r="G43" s="77" t="s">
        <v>113</v>
      </c>
      <c r="H43" s="13"/>
      <c r="I43" s="23"/>
      <c r="J43" s="21"/>
      <c r="K43" s="17"/>
      <c r="L43" s="18"/>
      <c r="M43" s="19"/>
      <c r="N43" s="21"/>
      <c r="O43" s="8"/>
      <c r="Q43" s="10" t="s">
        <v>150</v>
      </c>
    </row>
    <row r="44" spans="1:17" s="10" customFormat="1" ht="18" customHeight="1" thickBot="1">
      <c r="A44" s="84" t="s">
        <v>108</v>
      </c>
      <c r="B44" s="57" t="s">
        <v>6</v>
      </c>
      <c r="C44" s="26">
        <v>600</v>
      </c>
      <c r="D44" s="26">
        <v>900</v>
      </c>
      <c r="E44" s="76"/>
      <c r="F44" s="76"/>
      <c r="G44" s="77" t="s">
        <v>114</v>
      </c>
      <c r="H44" s="13"/>
      <c r="I44" s="23"/>
      <c r="J44" s="21"/>
      <c r="K44" s="17"/>
      <c r="L44" s="18"/>
      <c r="M44" s="19"/>
      <c r="N44" s="21"/>
      <c r="O44" s="8"/>
      <c r="Q44" s="10" t="s">
        <v>151</v>
      </c>
    </row>
    <row r="45" spans="1:17" s="10" customFormat="1" ht="18" customHeight="1" thickBot="1">
      <c r="A45" s="84" t="s">
        <v>109</v>
      </c>
      <c r="B45" s="57" t="s">
        <v>6</v>
      </c>
      <c r="C45" s="26">
        <v>600</v>
      </c>
      <c r="D45" s="26">
        <v>1000</v>
      </c>
      <c r="E45" s="60"/>
      <c r="F45" s="76"/>
      <c r="G45" s="77" t="s">
        <v>114</v>
      </c>
      <c r="H45" s="13"/>
      <c r="I45" s="23"/>
      <c r="J45" s="21"/>
      <c r="K45" s="17"/>
      <c r="L45" s="18"/>
      <c r="M45" s="19"/>
      <c r="N45" s="21"/>
      <c r="O45" s="8"/>
      <c r="Q45" s="10" t="s">
        <v>152</v>
      </c>
    </row>
    <row r="46" spans="1:17" s="10" customFormat="1" ht="18" customHeight="1" thickBot="1">
      <c r="A46" s="84" t="s">
        <v>110</v>
      </c>
      <c r="B46" s="57" t="s">
        <v>6</v>
      </c>
      <c r="C46" s="26">
        <v>600</v>
      </c>
      <c r="D46" s="26">
        <v>1000</v>
      </c>
      <c r="E46" s="60"/>
      <c r="F46" s="76"/>
      <c r="G46" s="77" t="s">
        <v>113</v>
      </c>
      <c r="H46" s="13"/>
      <c r="I46" s="23"/>
      <c r="J46" s="21"/>
      <c r="K46" s="17"/>
      <c r="L46" s="18"/>
      <c r="M46" s="19"/>
      <c r="N46" s="21"/>
      <c r="O46" s="8"/>
      <c r="Q46" s="10" t="s">
        <v>153</v>
      </c>
    </row>
    <row r="47" spans="1:17" s="10" customFormat="1" ht="18" customHeight="1">
      <c r="A47" s="84" t="s">
        <v>111</v>
      </c>
      <c r="B47" s="57" t="s">
        <v>6</v>
      </c>
      <c r="C47" s="26">
        <v>1000</v>
      </c>
      <c r="D47" s="26">
        <v>550</v>
      </c>
      <c r="E47" s="60"/>
      <c r="F47" s="76"/>
      <c r="G47" s="77" t="s">
        <v>113</v>
      </c>
      <c r="H47" s="13"/>
      <c r="I47" s="23"/>
      <c r="J47" s="21"/>
      <c r="K47" s="17"/>
      <c r="L47" s="18"/>
      <c r="M47" s="19"/>
      <c r="N47" s="21"/>
      <c r="O47" s="8"/>
      <c r="Q47" s="10" t="s">
        <v>154</v>
      </c>
    </row>
  </sheetData>
  <mergeCells count="11">
    <mergeCell ref="I6:N6"/>
    <mergeCell ref="C7:C8"/>
    <mergeCell ref="D7:D8"/>
    <mergeCell ref="A1:C4"/>
    <mergeCell ref="D1:G4"/>
    <mergeCell ref="A6:A8"/>
    <mergeCell ref="B6:B8"/>
    <mergeCell ref="C6:D6"/>
    <mergeCell ref="E6:E8"/>
    <mergeCell ref="F6:F8"/>
    <mergeCell ref="G6:G8"/>
  </mergeCells>
  <phoneticPr fontId="26" type="noConversion"/>
  <pageMargins left="0.23597222566604614" right="0.23597222566604614" top="0.74750000238418579" bottom="0.74750000238418579" header="0.31486111879348755" footer="0.3148611187934875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50"/>
  <sheetViews>
    <sheetView zoomScaleNormal="100" zoomScaleSheetLayoutView="100" workbookViewId="0">
      <selection activeCell="F57" sqref="F57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1"/>
      <c r="B1" s="1"/>
      <c r="C1" s="1"/>
      <c r="D1" s="1"/>
      <c r="E1" s="126" t="s">
        <v>67</v>
      </c>
      <c r="F1" s="127"/>
      <c r="G1" s="127"/>
      <c r="H1" s="127" t="str">
        <f>'1. 소켓인수검사'!R2</f>
        <v>26.06.11 웰스홈_신승에프엔티_에이치제이종합건설_조선대학교 감염병 전문병원</v>
      </c>
      <c r="I1" s="127"/>
      <c r="J1" s="127"/>
      <c r="K1" s="127"/>
      <c r="L1" s="127"/>
      <c r="M1" s="127"/>
      <c r="N1" s="127"/>
      <c r="O1" s="132"/>
    </row>
    <row r="2" spans="1:15" ht="16.5" customHeight="1">
      <c r="A2" s="1"/>
      <c r="B2" s="1"/>
      <c r="C2" s="1"/>
      <c r="D2" s="1"/>
      <c r="E2" s="128"/>
      <c r="F2" s="129"/>
      <c r="G2" s="129"/>
      <c r="H2" s="129"/>
      <c r="I2" s="129"/>
      <c r="J2" s="129"/>
      <c r="K2" s="129"/>
      <c r="L2" s="129"/>
      <c r="M2" s="129"/>
      <c r="N2" s="129"/>
      <c r="O2" s="133"/>
    </row>
    <row r="3" spans="1:15" ht="16.5" customHeight="1">
      <c r="A3" s="1"/>
      <c r="B3" s="1"/>
      <c r="C3" s="1"/>
      <c r="D3" s="1"/>
      <c r="E3" s="130"/>
      <c r="F3" s="131"/>
      <c r="G3" s="131"/>
      <c r="H3" s="131"/>
      <c r="I3" s="131"/>
      <c r="J3" s="131"/>
      <c r="K3" s="131"/>
      <c r="L3" s="131"/>
      <c r="M3" s="131"/>
      <c r="N3" s="131"/>
      <c r="O3" s="134"/>
    </row>
    <row r="4" spans="1:15" ht="8.1" customHeight="1">
      <c r="A4" s="135"/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</row>
    <row r="5" spans="1:15" ht="26.45" customHeight="1">
      <c r="A5" s="136" t="s">
        <v>55</v>
      </c>
      <c r="B5" s="137" t="s">
        <v>65</v>
      </c>
      <c r="C5" s="125" t="s">
        <v>4</v>
      </c>
      <c r="D5" s="125"/>
      <c r="E5" s="125" t="s">
        <v>25</v>
      </c>
      <c r="F5" s="122" t="s">
        <v>53</v>
      </c>
      <c r="G5" s="120" t="s">
        <v>21</v>
      </c>
      <c r="H5" s="121"/>
      <c r="I5" s="121"/>
      <c r="J5" s="140"/>
      <c r="K5" s="120" t="s">
        <v>35</v>
      </c>
      <c r="L5" s="121"/>
      <c r="M5" s="121"/>
      <c r="N5" s="121"/>
      <c r="O5" s="122" t="s">
        <v>2</v>
      </c>
    </row>
    <row r="6" spans="1:15" ht="16.5" customHeight="1">
      <c r="A6" s="136"/>
      <c r="B6" s="138"/>
      <c r="C6" s="125" t="s">
        <v>62</v>
      </c>
      <c r="D6" s="125" t="s">
        <v>60</v>
      </c>
      <c r="E6" s="125"/>
      <c r="F6" s="123"/>
      <c r="G6" s="125" t="s">
        <v>62</v>
      </c>
      <c r="H6" s="125"/>
      <c r="I6" s="125" t="s">
        <v>60</v>
      </c>
      <c r="J6" s="125"/>
      <c r="K6" s="125" t="s">
        <v>64</v>
      </c>
      <c r="L6" s="125"/>
      <c r="M6" s="120" t="s">
        <v>61</v>
      </c>
      <c r="N6" s="121"/>
      <c r="O6" s="123"/>
    </row>
    <row r="7" spans="1:15">
      <c r="A7" s="136"/>
      <c r="B7" s="139"/>
      <c r="C7" s="125"/>
      <c r="D7" s="125"/>
      <c r="E7" s="125"/>
      <c r="F7" s="124"/>
      <c r="G7" s="85" t="s">
        <v>4</v>
      </c>
      <c r="H7" s="85" t="s">
        <v>32</v>
      </c>
      <c r="I7" s="88" t="s">
        <v>4</v>
      </c>
      <c r="J7" s="87" t="s">
        <v>32</v>
      </c>
      <c r="K7" s="85" t="s">
        <v>4</v>
      </c>
      <c r="L7" s="85" t="s">
        <v>53</v>
      </c>
      <c r="M7" s="85" t="s">
        <v>4</v>
      </c>
      <c r="N7" s="86" t="s">
        <v>53</v>
      </c>
      <c r="O7" s="124"/>
    </row>
    <row r="8" spans="1:15">
      <c r="A8" s="89" t="str">
        <f>'1. 소켓인수검사'!A9</f>
        <v>01</v>
      </c>
      <c r="B8" s="90" t="s">
        <v>17</v>
      </c>
      <c r="C8" s="58">
        <f>'1. 소켓인수검사'!C9</f>
        <v>200</v>
      </c>
      <c r="D8" s="58">
        <f>'1. 소켓인수검사'!D9</f>
        <v>250</v>
      </c>
      <c r="E8" s="50"/>
      <c r="F8" s="58">
        <v>1</v>
      </c>
      <c r="G8" s="91">
        <f>C8-5</f>
        <v>195</v>
      </c>
      <c r="H8" s="58">
        <f t="shared" ref="H8:H42" si="0">F8*4</f>
        <v>4</v>
      </c>
      <c r="I8" s="92">
        <f t="shared" ref="I8:I42" si="1">D8-30</f>
        <v>220</v>
      </c>
      <c r="J8" s="58">
        <f t="shared" ref="J8:J42" si="2">F8*4</f>
        <v>4</v>
      </c>
      <c r="K8" s="93">
        <f t="shared" ref="K8:K42" si="3">C8+60</f>
        <v>260</v>
      </c>
      <c r="L8" s="58">
        <v>2</v>
      </c>
      <c r="M8" s="93">
        <f>D8</f>
        <v>250</v>
      </c>
      <c r="N8" s="58">
        <v>2</v>
      </c>
      <c r="O8" s="51"/>
    </row>
    <row r="9" spans="1:15">
      <c r="A9" s="94" t="str">
        <f>'1. 소켓인수검사'!A10</f>
        <v>02</v>
      </c>
      <c r="B9" s="95" t="s">
        <v>17</v>
      </c>
      <c r="C9" s="59">
        <f>'1. 소켓인수검사'!C10</f>
        <v>250</v>
      </c>
      <c r="D9" s="59">
        <f>'1. 소켓인수검사'!D10</f>
        <v>200</v>
      </c>
      <c r="E9" s="37"/>
      <c r="F9" s="59">
        <v>1</v>
      </c>
      <c r="G9" s="96">
        <f t="shared" ref="G9:G42" si="4">C9-5</f>
        <v>245</v>
      </c>
      <c r="H9" s="59">
        <f t="shared" si="0"/>
        <v>4</v>
      </c>
      <c r="I9" s="97">
        <f t="shared" si="1"/>
        <v>170</v>
      </c>
      <c r="J9" s="59">
        <f t="shared" si="2"/>
        <v>4</v>
      </c>
      <c r="K9" s="98">
        <f t="shared" si="3"/>
        <v>310</v>
      </c>
      <c r="L9" s="59">
        <v>2</v>
      </c>
      <c r="M9" s="98">
        <f t="shared" ref="M9:M42" si="5">D9</f>
        <v>200</v>
      </c>
      <c r="N9" s="59">
        <v>2</v>
      </c>
      <c r="O9" s="99"/>
    </row>
    <row r="10" spans="1:15">
      <c r="A10" s="94" t="str">
        <f>'1. 소켓인수검사'!A11</f>
        <v>03</v>
      </c>
      <c r="B10" s="95" t="s">
        <v>17</v>
      </c>
      <c r="C10" s="59">
        <f>'1. 소켓인수검사'!C11</f>
        <v>250</v>
      </c>
      <c r="D10" s="59">
        <f>'1. 소켓인수검사'!D11</f>
        <v>200</v>
      </c>
      <c r="E10" s="37"/>
      <c r="F10" s="59">
        <v>1</v>
      </c>
      <c r="G10" s="96">
        <f t="shared" si="4"/>
        <v>245</v>
      </c>
      <c r="H10" s="59">
        <f t="shared" si="0"/>
        <v>4</v>
      </c>
      <c r="I10" s="97">
        <f t="shared" si="1"/>
        <v>170</v>
      </c>
      <c r="J10" s="59">
        <f t="shared" si="2"/>
        <v>4</v>
      </c>
      <c r="K10" s="98">
        <f t="shared" si="3"/>
        <v>310</v>
      </c>
      <c r="L10" s="59">
        <v>2</v>
      </c>
      <c r="M10" s="98">
        <f t="shared" si="5"/>
        <v>200</v>
      </c>
      <c r="N10" s="59">
        <v>2</v>
      </c>
      <c r="O10" s="99"/>
    </row>
    <row r="11" spans="1:15">
      <c r="A11" s="94" t="str">
        <f>'1. 소켓인수검사'!A12</f>
        <v>04</v>
      </c>
      <c r="B11" s="95" t="s">
        <v>17</v>
      </c>
      <c r="C11" s="59">
        <f>'1. 소켓인수검사'!C12</f>
        <v>250</v>
      </c>
      <c r="D11" s="59">
        <f>'1. 소켓인수검사'!D12</f>
        <v>200</v>
      </c>
      <c r="E11" s="37"/>
      <c r="F11" s="59">
        <v>1</v>
      </c>
      <c r="G11" s="96">
        <f t="shared" si="4"/>
        <v>245</v>
      </c>
      <c r="H11" s="59">
        <f t="shared" si="0"/>
        <v>4</v>
      </c>
      <c r="I11" s="97">
        <f t="shared" si="1"/>
        <v>170</v>
      </c>
      <c r="J11" s="59">
        <f t="shared" si="2"/>
        <v>4</v>
      </c>
      <c r="K11" s="98">
        <f t="shared" si="3"/>
        <v>310</v>
      </c>
      <c r="L11" s="59">
        <v>2</v>
      </c>
      <c r="M11" s="98">
        <f t="shared" si="5"/>
        <v>200</v>
      </c>
      <c r="N11" s="59">
        <v>2</v>
      </c>
      <c r="O11" s="99"/>
    </row>
    <row r="12" spans="1:15">
      <c r="A12" s="94" t="str">
        <f>'1. 소켓인수검사'!A13</f>
        <v>05</v>
      </c>
      <c r="B12" s="95" t="s">
        <v>17</v>
      </c>
      <c r="C12" s="59">
        <f>'1. 소켓인수검사'!C13</f>
        <v>250</v>
      </c>
      <c r="D12" s="59">
        <f>'1. 소켓인수검사'!D13</f>
        <v>200</v>
      </c>
      <c r="E12" s="37"/>
      <c r="F12" s="59">
        <v>1</v>
      </c>
      <c r="G12" s="96">
        <f t="shared" si="4"/>
        <v>245</v>
      </c>
      <c r="H12" s="59">
        <f t="shared" si="0"/>
        <v>4</v>
      </c>
      <c r="I12" s="97">
        <f t="shared" si="1"/>
        <v>170</v>
      </c>
      <c r="J12" s="59">
        <f t="shared" si="2"/>
        <v>4</v>
      </c>
      <c r="K12" s="98">
        <f t="shared" si="3"/>
        <v>310</v>
      </c>
      <c r="L12" s="59">
        <v>2</v>
      </c>
      <c r="M12" s="98">
        <f t="shared" si="5"/>
        <v>200</v>
      </c>
      <c r="N12" s="59">
        <v>2</v>
      </c>
      <c r="O12" s="99"/>
    </row>
    <row r="13" spans="1:15">
      <c r="A13" s="94" t="str">
        <f>'1. 소켓인수검사'!A14</f>
        <v>06</v>
      </c>
      <c r="B13" s="95" t="s">
        <v>17</v>
      </c>
      <c r="C13" s="59">
        <f>'1. 소켓인수검사'!C14</f>
        <v>250</v>
      </c>
      <c r="D13" s="59">
        <f>'1. 소켓인수검사'!D14</f>
        <v>250</v>
      </c>
      <c r="E13" s="37"/>
      <c r="F13" s="59">
        <v>1</v>
      </c>
      <c r="G13" s="96">
        <f t="shared" si="4"/>
        <v>245</v>
      </c>
      <c r="H13" s="59">
        <f t="shared" si="0"/>
        <v>4</v>
      </c>
      <c r="I13" s="97">
        <f t="shared" si="1"/>
        <v>220</v>
      </c>
      <c r="J13" s="59">
        <f t="shared" si="2"/>
        <v>4</v>
      </c>
      <c r="K13" s="98">
        <f t="shared" si="3"/>
        <v>310</v>
      </c>
      <c r="L13" s="59">
        <v>2</v>
      </c>
      <c r="M13" s="98">
        <f t="shared" si="5"/>
        <v>250</v>
      </c>
      <c r="N13" s="59">
        <v>2</v>
      </c>
      <c r="O13" s="99"/>
    </row>
    <row r="14" spans="1:15">
      <c r="A14" s="94" t="str">
        <f>'1. 소켓인수검사'!A15</f>
        <v>07</v>
      </c>
      <c r="B14" s="95" t="s">
        <v>17</v>
      </c>
      <c r="C14" s="59">
        <f>'1. 소켓인수검사'!C15</f>
        <v>250</v>
      </c>
      <c r="D14" s="59">
        <f>'1. 소켓인수검사'!D15</f>
        <v>250</v>
      </c>
      <c r="E14" s="37"/>
      <c r="F14" s="59">
        <v>1</v>
      </c>
      <c r="G14" s="96">
        <f t="shared" si="4"/>
        <v>245</v>
      </c>
      <c r="H14" s="59">
        <f t="shared" si="0"/>
        <v>4</v>
      </c>
      <c r="I14" s="97">
        <f t="shared" si="1"/>
        <v>220</v>
      </c>
      <c r="J14" s="59">
        <f t="shared" si="2"/>
        <v>4</v>
      </c>
      <c r="K14" s="98">
        <f t="shared" si="3"/>
        <v>310</v>
      </c>
      <c r="L14" s="59">
        <v>2</v>
      </c>
      <c r="M14" s="98">
        <f t="shared" si="5"/>
        <v>250</v>
      </c>
      <c r="N14" s="59">
        <v>2</v>
      </c>
      <c r="O14" s="99"/>
    </row>
    <row r="15" spans="1:15">
      <c r="A15" s="94" t="str">
        <f>'1. 소켓인수검사'!A16</f>
        <v>08</v>
      </c>
      <c r="B15" s="95" t="s">
        <v>17</v>
      </c>
      <c r="C15" s="59">
        <f>'1. 소켓인수검사'!C16</f>
        <v>250</v>
      </c>
      <c r="D15" s="59">
        <f>'1. 소켓인수검사'!D16</f>
        <v>250</v>
      </c>
      <c r="E15" s="37"/>
      <c r="F15" s="59">
        <v>1</v>
      </c>
      <c r="G15" s="96">
        <f t="shared" si="4"/>
        <v>245</v>
      </c>
      <c r="H15" s="59">
        <f t="shared" si="0"/>
        <v>4</v>
      </c>
      <c r="I15" s="97">
        <f t="shared" si="1"/>
        <v>220</v>
      </c>
      <c r="J15" s="59">
        <f t="shared" si="2"/>
        <v>4</v>
      </c>
      <c r="K15" s="98">
        <f t="shared" si="3"/>
        <v>310</v>
      </c>
      <c r="L15" s="59">
        <v>2</v>
      </c>
      <c r="M15" s="98">
        <f t="shared" si="5"/>
        <v>250</v>
      </c>
      <c r="N15" s="59">
        <v>2</v>
      </c>
      <c r="O15" s="99"/>
    </row>
    <row r="16" spans="1:15">
      <c r="A16" s="94" t="str">
        <f>'1. 소켓인수검사'!A17</f>
        <v>09</v>
      </c>
      <c r="B16" s="95" t="s">
        <v>17</v>
      </c>
      <c r="C16" s="59">
        <f>'1. 소켓인수검사'!C17</f>
        <v>250</v>
      </c>
      <c r="D16" s="59">
        <f>'1. 소켓인수검사'!D17</f>
        <v>250</v>
      </c>
      <c r="E16" s="37"/>
      <c r="F16" s="59">
        <v>1</v>
      </c>
      <c r="G16" s="96">
        <f t="shared" si="4"/>
        <v>245</v>
      </c>
      <c r="H16" s="59">
        <f t="shared" si="0"/>
        <v>4</v>
      </c>
      <c r="I16" s="97">
        <f t="shared" si="1"/>
        <v>220</v>
      </c>
      <c r="J16" s="59">
        <f t="shared" si="2"/>
        <v>4</v>
      </c>
      <c r="K16" s="98">
        <f t="shared" si="3"/>
        <v>310</v>
      </c>
      <c r="L16" s="59">
        <v>2</v>
      </c>
      <c r="M16" s="98">
        <f t="shared" si="5"/>
        <v>250</v>
      </c>
      <c r="N16" s="59">
        <v>2</v>
      </c>
      <c r="O16" s="99"/>
    </row>
    <row r="17" spans="1:15">
      <c r="A17" s="94" t="str">
        <f>'1. 소켓인수검사'!A18</f>
        <v>10</v>
      </c>
      <c r="B17" s="95" t="s">
        <v>17</v>
      </c>
      <c r="C17" s="59">
        <f>'1. 소켓인수검사'!C18</f>
        <v>250</v>
      </c>
      <c r="D17" s="59">
        <f>'1. 소켓인수검사'!D18</f>
        <v>350</v>
      </c>
      <c r="E17" s="37"/>
      <c r="F17" s="59">
        <v>1</v>
      </c>
      <c r="G17" s="96">
        <f t="shared" si="4"/>
        <v>245</v>
      </c>
      <c r="H17" s="59">
        <f t="shared" si="0"/>
        <v>4</v>
      </c>
      <c r="I17" s="97">
        <f t="shared" si="1"/>
        <v>320</v>
      </c>
      <c r="J17" s="59">
        <f t="shared" si="2"/>
        <v>4</v>
      </c>
      <c r="K17" s="98">
        <f t="shared" si="3"/>
        <v>310</v>
      </c>
      <c r="L17" s="59">
        <v>2</v>
      </c>
      <c r="M17" s="98">
        <f t="shared" si="5"/>
        <v>350</v>
      </c>
      <c r="N17" s="59">
        <v>2</v>
      </c>
      <c r="O17" s="99"/>
    </row>
    <row r="18" spans="1:15">
      <c r="A18" s="94" t="str">
        <f>'1. 소켓인수검사'!A19</f>
        <v>11</v>
      </c>
      <c r="B18" s="95" t="s">
        <v>17</v>
      </c>
      <c r="C18" s="59">
        <f>'1. 소켓인수검사'!C19</f>
        <v>300</v>
      </c>
      <c r="D18" s="59">
        <f>'1. 소켓인수검사'!D19</f>
        <v>250</v>
      </c>
      <c r="E18" s="37"/>
      <c r="F18" s="59">
        <v>1</v>
      </c>
      <c r="G18" s="96">
        <f t="shared" si="4"/>
        <v>295</v>
      </c>
      <c r="H18" s="59">
        <f t="shared" si="0"/>
        <v>4</v>
      </c>
      <c r="I18" s="97">
        <f t="shared" si="1"/>
        <v>220</v>
      </c>
      <c r="J18" s="59">
        <f t="shared" si="2"/>
        <v>4</v>
      </c>
      <c r="K18" s="98">
        <f t="shared" si="3"/>
        <v>360</v>
      </c>
      <c r="L18" s="59">
        <v>2</v>
      </c>
      <c r="M18" s="98">
        <f t="shared" si="5"/>
        <v>250</v>
      </c>
      <c r="N18" s="59">
        <v>2</v>
      </c>
      <c r="O18" s="99"/>
    </row>
    <row r="19" spans="1:15">
      <c r="A19" s="94" t="str">
        <f>'1. 소켓인수검사'!A20</f>
        <v>12</v>
      </c>
      <c r="B19" s="95" t="s">
        <v>17</v>
      </c>
      <c r="C19" s="59">
        <f>'1. 소켓인수검사'!C20</f>
        <v>350</v>
      </c>
      <c r="D19" s="59">
        <f>'1. 소켓인수검사'!D20</f>
        <v>250</v>
      </c>
      <c r="E19" s="37"/>
      <c r="F19" s="59">
        <v>1</v>
      </c>
      <c r="G19" s="96">
        <f t="shared" si="4"/>
        <v>345</v>
      </c>
      <c r="H19" s="59">
        <f t="shared" si="0"/>
        <v>4</v>
      </c>
      <c r="I19" s="97">
        <f t="shared" si="1"/>
        <v>220</v>
      </c>
      <c r="J19" s="59">
        <f t="shared" si="2"/>
        <v>4</v>
      </c>
      <c r="K19" s="98">
        <f t="shared" si="3"/>
        <v>410</v>
      </c>
      <c r="L19" s="59">
        <v>2</v>
      </c>
      <c r="M19" s="98">
        <f t="shared" si="5"/>
        <v>250</v>
      </c>
      <c r="N19" s="59">
        <v>2</v>
      </c>
      <c r="O19" s="99"/>
    </row>
    <row r="20" spans="1:15">
      <c r="A20" s="94" t="str">
        <f>'1. 소켓인수검사'!A21</f>
        <v>13</v>
      </c>
      <c r="B20" s="95" t="s">
        <v>17</v>
      </c>
      <c r="C20" s="59">
        <f>'1. 소켓인수검사'!C21</f>
        <v>350</v>
      </c>
      <c r="D20" s="59">
        <f>'1. 소켓인수검사'!D21</f>
        <v>250</v>
      </c>
      <c r="E20" s="37"/>
      <c r="F20" s="59">
        <v>1</v>
      </c>
      <c r="G20" s="96">
        <f t="shared" si="4"/>
        <v>345</v>
      </c>
      <c r="H20" s="59">
        <f t="shared" si="0"/>
        <v>4</v>
      </c>
      <c r="I20" s="97">
        <f t="shared" si="1"/>
        <v>220</v>
      </c>
      <c r="J20" s="59">
        <f t="shared" si="2"/>
        <v>4</v>
      </c>
      <c r="K20" s="98">
        <f t="shared" si="3"/>
        <v>410</v>
      </c>
      <c r="L20" s="59">
        <v>2</v>
      </c>
      <c r="M20" s="98">
        <f t="shared" si="5"/>
        <v>250</v>
      </c>
      <c r="N20" s="59">
        <v>2</v>
      </c>
      <c r="O20" s="99"/>
    </row>
    <row r="21" spans="1:15">
      <c r="A21" s="94" t="str">
        <f>'1. 소켓인수검사'!A22</f>
        <v>14</v>
      </c>
      <c r="B21" s="95" t="s">
        <v>17</v>
      </c>
      <c r="C21" s="59">
        <f>'1. 소켓인수검사'!C22</f>
        <v>400</v>
      </c>
      <c r="D21" s="59">
        <f>'1. 소켓인수검사'!D22</f>
        <v>250</v>
      </c>
      <c r="E21" s="37"/>
      <c r="F21" s="59">
        <v>1</v>
      </c>
      <c r="G21" s="96">
        <f t="shared" si="4"/>
        <v>395</v>
      </c>
      <c r="H21" s="59">
        <f t="shared" si="0"/>
        <v>4</v>
      </c>
      <c r="I21" s="97">
        <f t="shared" si="1"/>
        <v>220</v>
      </c>
      <c r="J21" s="59">
        <f t="shared" si="2"/>
        <v>4</v>
      </c>
      <c r="K21" s="98">
        <f t="shared" si="3"/>
        <v>460</v>
      </c>
      <c r="L21" s="59">
        <v>2</v>
      </c>
      <c r="M21" s="98">
        <f t="shared" si="5"/>
        <v>250</v>
      </c>
      <c r="N21" s="59">
        <v>2</v>
      </c>
      <c r="O21" s="99"/>
    </row>
    <row r="22" spans="1:15">
      <c r="A22" s="94" t="str">
        <f>'1. 소켓인수검사'!A23</f>
        <v>15</v>
      </c>
      <c r="B22" s="95" t="s">
        <v>17</v>
      </c>
      <c r="C22" s="59">
        <f>'1. 소켓인수검사'!C23</f>
        <v>450</v>
      </c>
      <c r="D22" s="59">
        <f>'1. 소켓인수검사'!D23</f>
        <v>250</v>
      </c>
      <c r="E22" s="37"/>
      <c r="F22" s="59">
        <v>1</v>
      </c>
      <c r="G22" s="96">
        <f t="shared" si="4"/>
        <v>445</v>
      </c>
      <c r="H22" s="59">
        <f t="shared" si="0"/>
        <v>4</v>
      </c>
      <c r="I22" s="97">
        <f t="shared" si="1"/>
        <v>220</v>
      </c>
      <c r="J22" s="59">
        <f t="shared" si="2"/>
        <v>4</v>
      </c>
      <c r="K22" s="98">
        <f t="shared" si="3"/>
        <v>510</v>
      </c>
      <c r="L22" s="59">
        <v>2</v>
      </c>
      <c r="M22" s="98">
        <f t="shared" si="5"/>
        <v>250</v>
      </c>
      <c r="N22" s="59">
        <v>2</v>
      </c>
      <c r="O22" s="99"/>
    </row>
    <row r="23" spans="1:15">
      <c r="A23" s="94" t="str">
        <f>'1. 소켓인수검사'!A24</f>
        <v>16</v>
      </c>
      <c r="B23" s="95" t="s">
        <v>17</v>
      </c>
      <c r="C23" s="59">
        <f>'1. 소켓인수검사'!C24</f>
        <v>450</v>
      </c>
      <c r="D23" s="59">
        <f>'1. 소켓인수검사'!D24</f>
        <v>300</v>
      </c>
      <c r="E23" s="37"/>
      <c r="F23" s="59">
        <v>1</v>
      </c>
      <c r="G23" s="96">
        <f t="shared" si="4"/>
        <v>445</v>
      </c>
      <c r="H23" s="59">
        <f t="shared" si="0"/>
        <v>4</v>
      </c>
      <c r="I23" s="97">
        <f t="shared" si="1"/>
        <v>270</v>
      </c>
      <c r="J23" s="59">
        <f t="shared" si="2"/>
        <v>4</v>
      </c>
      <c r="K23" s="98">
        <f t="shared" si="3"/>
        <v>510</v>
      </c>
      <c r="L23" s="59">
        <v>2</v>
      </c>
      <c r="M23" s="98">
        <f t="shared" si="5"/>
        <v>300</v>
      </c>
      <c r="N23" s="59">
        <v>2</v>
      </c>
      <c r="O23" s="99"/>
    </row>
    <row r="24" spans="1:15">
      <c r="A24" s="94" t="str">
        <f>'1. 소켓인수검사'!A25</f>
        <v>17</v>
      </c>
      <c r="B24" s="95" t="s">
        <v>17</v>
      </c>
      <c r="C24" s="59">
        <f>'1. 소켓인수검사'!C25</f>
        <v>450</v>
      </c>
      <c r="D24" s="59">
        <f>'1. 소켓인수검사'!D25</f>
        <v>300</v>
      </c>
      <c r="E24" s="37"/>
      <c r="F24" s="59">
        <v>1</v>
      </c>
      <c r="G24" s="96">
        <f t="shared" si="4"/>
        <v>445</v>
      </c>
      <c r="H24" s="59">
        <f t="shared" si="0"/>
        <v>4</v>
      </c>
      <c r="I24" s="97">
        <f t="shared" si="1"/>
        <v>270</v>
      </c>
      <c r="J24" s="59">
        <f t="shared" si="2"/>
        <v>4</v>
      </c>
      <c r="K24" s="98">
        <f t="shared" si="3"/>
        <v>510</v>
      </c>
      <c r="L24" s="59">
        <v>2</v>
      </c>
      <c r="M24" s="98">
        <f t="shared" si="5"/>
        <v>300</v>
      </c>
      <c r="N24" s="59">
        <v>2</v>
      </c>
      <c r="O24" s="99"/>
    </row>
    <row r="25" spans="1:15">
      <c r="A25" s="94" t="str">
        <f>'1. 소켓인수검사'!A26</f>
        <v>18</v>
      </c>
      <c r="B25" s="95" t="s">
        <v>17</v>
      </c>
      <c r="C25" s="59">
        <f>'1. 소켓인수검사'!C26</f>
        <v>500</v>
      </c>
      <c r="D25" s="59">
        <f>'1. 소켓인수검사'!D26</f>
        <v>400</v>
      </c>
      <c r="E25" s="37"/>
      <c r="F25" s="59">
        <v>1</v>
      </c>
      <c r="G25" s="96">
        <f t="shared" si="4"/>
        <v>495</v>
      </c>
      <c r="H25" s="59">
        <f t="shared" si="0"/>
        <v>4</v>
      </c>
      <c r="I25" s="97">
        <f t="shared" si="1"/>
        <v>370</v>
      </c>
      <c r="J25" s="59">
        <f t="shared" si="2"/>
        <v>4</v>
      </c>
      <c r="K25" s="98">
        <f t="shared" si="3"/>
        <v>560</v>
      </c>
      <c r="L25" s="59">
        <v>2</v>
      </c>
      <c r="M25" s="98">
        <f t="shared" si="5"/>
        <v>400</v>
      </c>
      <c r="N25" s="59">
        <v>2</v>
      </c>
      <c r="O25" s="99"/>
    </row>
    <row r="26" spans="1:15">
      <c r="A26" s="94" t="str">
        <f>'1. 소켓인수검사'!A27</f>
        <v>19</v>
      </c>
      <c r="B26" s="95" t="s">
        <v>17</v>
      </c>
      <c r="C26" s="59">
        <f>'1. 소켓인수검사'!C27</f>
        <v>550</v>
      </c>
      <c r="D26" s="59">
        <f>'1. 소켓인수검사'!D27</f>
        <v>350</v>
      </c>
      <c r="E26" s="37"/>
      <c r="F26" s="59">
        <v>1</v>
      </c>
      <c r="G26" s="96">
        <f t="shared" si="4"/>
        <v>545</v>
      </c>
      <c r="H26" s="59">
        <f t="shared" si="0"/>
        <v>4</v>
      </c>
      <c r="I26" s="97">
        <f t="shared" si="1"/>
        <v>320</v>
      </c>
      <c r="J26" s="59">
        <f t="shared" si="2"/>
        <v>4</v>
      </c>
      <c r="K26" s="98">
        <f t="shared" si="3"/>
        <v>610</v>
      </c>
      <c r="L26" s="59">
        <v>2</v>
      </c>
      <c r="M26" s="98">
        <f t="shared" si="5"/>
        <v>350</v>
      </c>
      <c r="N26" s="59">
        <v>2</v>
      </c>
      <c r="O26" s="99"/>
    </row>
    <row r="27" spans="1:15">
      <c r="A27" s="94" t="str">
        <f>'1. 소켓인수검사'!A28</f>
        <v>20</v>
      </c>
      <c r="B27" s="95" t="s">
        <v>17</v>
      </c>
      <c r="C27" s="59">
        <f>'1. 소켓인수검사'!C28</f>
        <v>600</v>
      </c>
      <c r="D27" s="59">
        <f>'1. 소켓인수검사'!D28</f>
        <v>400</v>
      </c>
      <c r="E27" s="37"/>
      <c r="F27" s="59">
        <v>1</v>
      </c>
      <c r="G27" s="96">
        <f t="shared" si="4"/>
        <v>595</v>
      </c>
      <c r="H27" s="59">
        <f t="shared" si="0"/>
        <v>4</v>
      </c>
      <c r="I27" s="97">
        <f t="shared" si="1"/>
        <v>370</v>
      </c>
      <c r="J27" s="59">
        <f t="shared" si="2"/>
        <v>4</v>
      </c>
      <c r="K27" s="98">
        <f t="shared" si="3"/>
        <v>660</v>
      </c>
      <c r="L27" s="59">
        <v>2</v>
      </c>
      <c r="M27" s="98">
        <f t="shared" si="5"/>
        <v>400</v>
      </c>
      <c r="N27" s="59">
        <v>2</v>
      </c>
      <c r="O27" s="99"/>
    </row>
    <row r="28" spans="1:15">
      <c r="A28" s="94" t="str">
        <f>'1. 소켓인수검사'!A29</f>
        <v>21</v>
      </c>
      <c r="B28" s="95" t="s">
        <v>17</v>
      </c>
      <c r="C28" s="59">
        <f>'1. 소켓인수검사'!C29</f>
        <v>600</v>
      </c>
      <c r="D28" s="59">
        <f>'1. 소켓인수검사'!D29</f>
        <v>450</v>
      </c>
      <c r="E28" s="37"/>
      <c r="F28" s="59">
        <v>1</v>
      </c>
      <c r="G28" s="96">
        <f t="shared" si="4"/>
        <v>595</v>
      </c>
      <c r="H28" s="59">
        <f t="shared" si="0"/>
        <v>4</v>
      </c>
      <c r="I28" s="97">
        <f t="shared" si="1"/>
        <v>420</v>
      </c>
      <c r="J28" s="59">
        <f t="shared" si="2"/>
        <v>4</v>
      </c>
      <c r="K28" s="98">
        <f t="shared" si="3"/>
        <v>660</v>
      </c>
      <c r="L28" s="59">
        <v>2</v>
      </c>
      <c r="M28" s="98">
        <f t="shared" si="5"/>
        <v>450</v>
      </c>
      <c r="N28" s="59">
        <v>2</v>
      </c>
      <c r="O28" s="56"/>
    </row>
    <row r="29" spans="1:15">
      <c r="A29" s="94" t="str">
        <f>'1. 소켓인수검사'!A30</f>
        <v>22</v>
      </c>
      <c r="B29" s="95" t="s">
        <v>17</v>
      </c>
      <c r="C29" s="59">
        <f>'1. 소켓인수검사'!C30</f>
        <v>600</v>
      </c>
      <c r="D29" s="59">
        <f>'1. 소켓인수검사'!D30</f>
        <v>550</v>
      </c>
      <c r="E29" s="37"/>
      <c r="F29" s="59">
        <v>1</v>
      </c>
      <c r="G29" s="96">
        <f t="shared" si="4"/>
        <v>595</v>
      </c>
      <c r="H29" s="59">
        <f t="shared" si="0"/>
        <v>4</v>
      </c>
      <c r="I29" s="97">
        <f t="shared" si="1"/>
        <v>520</v>
      </c>
      <c r="J29" s="59">
        <f t="shared" si="2"/>
        <v>4</v>
      </c>
      <c r="K29" s="98">
        <f t="shared" si="3"/>
        <v>660</v>
      </c>
      <c r="L29" s="59">
        <v>2</v>
      </c>
      <c r="M29" s="98">
        <f t="shared" si="5"/>
        <v>550</v>
      </c>
      <c r="N29" s="59">
        <v>2</v>
      </c>
      <c r="O29" s="99"/>
    </row>
    <row r="30" spans="1:15">
      <c r="A30" s="94" t="str">
        <f>'1. 소켓인수검사'!A31</f>
        <v>23</v>
      </c>
      <c r="B30" s="95" t="s">
        <v>17</v>
      </c>
      <c r="C30" s="59">
        <f>'1. 소켓인수검사'!C31</f>
        <v>600</v>
      </c>
      <c r="D30" s="59">
        <f>'1. 소켓인수검사'!D31</f>
        <v>600</v>
      </c>
      <c r="E30" s="37"/>
      <c r="F30" s="59">
        <v>1</v>
      </c>
      <c r="G30" s="96">
        <f t="shared" si="4"/>
        <v>595</v>
      </c>
      <c r="H30" s="59">
        <f t="shared" si="0"/>
        <v>4</v>
      </c>
      <c r="I30" s="97">
        <f t="shared" si="1"/>
        <v>570</v>
      </c>
      <c r="J30" s="59">
        <f t="shared" si="2"/>
        <v>4</v>
      </c>
      <c r="K30" s="98">
        <f t="shared" si="3"/>
        <v>660</v>
      </c>
      <c r="L30" s="59">
        <v>2</v>
      </c>
      <c r="M30" s="98">
        <f t="shared" si="5"/>
        <v>600</v>
      </c>
      <c r="N30" s="59">
        <v>2</v>
      </c>
      <c r="O30" s="99"/>
    </row>
    <row r="31" spans="1:15">
      <c r="A31" s="94" t="str">
        <f>'1. 소켓인수검사'!A32</f>
        <v>24</v>
      </c>
      <c r="B31" s="95" t="s">
        <v>17</v>
      </c>
      <c r="C31" s="59">
        <f>'1. 소켓인수검사'!C32</f>
        <v>600</v>
      </c>
      <c r="D31" s="59">
        <f>'1. 소켓인수검사'!D32</f>
        <v>600</v>
      </c>
      <c r="E31" s="37"/>
      <c r="F31" s="59">
        <v>1</v>
      </c>
      <c r="G31" s="96">
        <f t="shared" si="4"/>
        <v>595</v>
      </c>
      <c r="H31" s="59">
        <f t="shared" si="0"/>
        <v>4</v>
      </c>
      <c r="I31" s="97">
        <f t="shared" si="1"/>
        <v>570</v>
      </c>
      <c r="J31" s="59">
        <f t="shared" si="2"/>
        <v>4</v>
      </c>
      <c r="K31" s="98">
        <f t="shared" si="3"/>
        <v>660</v>
      </c>
      <c r="L31" s="59">
        <v>2</v>
      </c>
      <c r="M31" s="98">
        <f t="shared" si="5"/>
        <v>600</v>
      </c>
      <c r="N31" s="59">
        <v>2</v>
      </c>
      <c r="O31" s="99"/>
    </row>
    <row r="32" spans="1:15">
      <c r="A32" s="94" t="str">
        <f>'1. 소켓인수검사'!A33</f>
        <v>25</v>
      </c>
      <c r="B32" s="95" t="s">
        <v>17</v>
      </c>
      <c r="C32" s="59">
        <f>'1. 소켓인수검사'!C33</f>
        <v>650</v>
      </c>
      <c r="D32" s="59">
        <f>'1. 소켓인수검사'!D33</f>
        <v>350</v>
      </c>
      <c r="E32" s="37"/>
      <c r="F32" s="59">
        <v>1</v>
      </c>
      <c r="G32" s="96">
        <f t="shared" si="4"/>
        <v>645</v>
      </c>
      <c r="H32" s="59">
        <f t="shared" si="0"/>
        <v>4</v>
      </c>
      <c r="I32" s="97">
        <f t="shared" si="1"/>
        <v>320</v>
      </c>
      <c r="J32" s="59">
        <f t="shared" si="2"/>
        <v>4</v>
      </c>
      <c r="K32" s="98">
        <f t="shared" si="3"/>
        <v>710</v>
      </c>
      <c r="L32" s="59">
        <v>2</v>
      </c>
      <c r="M32" s="98">
        <f t="shared" si="5"/>
        <v>350</v>
      </c>
      <c r="N32" s="59">
        <v>2</v>
      </c>
      <c r="O32" s="99"/>
    </row>
    <row r="33" spans="1:15">
      <c r="A33" s="94" t="str">
        <f>'1. 소켓인수검사'!A34</f>
        <v>26</v>
      </c>
      <c r="B33" s="95" t="s">
        <v>17</v>
      </c>
      <c r="C33" s="59">
        <f>'1. 소켓인수검사'!C34</f>
        <v>650</v>
      </c>
      <c r="D33" s="59">
        <f>'1. 소켓인수검사'!D34</f>
        <v>400</v>
      </c>
      <c r="E33" s="37"/>
      <c r="F33" s="59">
        <v>1</v>
      </c>
      <c r="G33" s="96">
        <f t="shared" si="4"/>
        <v>645</v>
      </c>
      <c r="H33" s="59">
        <f t="shared" si="0"/>
        <v>4</v>
      </c>
      <c r="I33" s="97">
        <f t="shared" si="1"/>
        <v>370</v>
      </c>
      <c r="J33" s="59">
        <f t="shared" si="2"/>
        <v>4</v>
      </c>
      <c r="K33" s="98">
        <f t="shared" si="3"/>
        <v>710</v>
      </c>
      <c r="L33" s="59">
        <v>2</v>
      </c>
      <c r="M33" s="98">
        <f t="shared" si="5"/>
        <v>400</v>
      </c>
      <c r="N33" s="59">
        <v>2</v>
      </c>
      <c r="O33" s="99"/>
    </row>
    <row r="34" spans="1:15">
      <c r="A34" s="94" t="str">
        <f>'1. 소켓인수검사'!A35</f>
        <v>27</v>
      </c>
      <c r="B34" s="95" t="s">
        <v>17</v>
      </c>
      <c r="C34" s="59">
        <f>'1. 소켓인수검사'!C35</f>
        <v>650</v>
      </c>
      <c r="D34" s="59">
        <f>'1. 소켓인수검사'!D35</f>
        <v>450</v>
      </c>
      <c r="E34" s="37"/>
      <c r="F34" s="59">
        <v>1</v>
      </c>
      <c r="G34" s="96">
        <f t="shared" si="4"/>
        <v>645</v>
      </c>
      <c r="H34" s="59">
        <f t="shared" si="0"/>
        <v>4</v>
      </c>
      <c r="I34" s="97">
        <f t="shared" si="1"/>
        <v>420</v>
      </c>
      <c r="J34" s="59">
        <f t="shared" si="2"/>
        <v>4</v>
      </c>
      <c r="K34" s="98">
        <f t="shared" si="3"/>
        <v>710</v>
      </c>
      <c r="L34" s="59">
        <v>2</v>
      </c>
      <c r="M34" s="98">
        <f t="shared" si="5"/>
        <v>450</v>
      </c>
      <c r="N34" s="59">
        <v>2</v>
      </c>
      <c r="O34" s="99"/>
    </row>
    <row r="35" spans="1:15">
      <c r="A35" s="94" t="str">
        <f>'1. 소켓인수검사'!A36</f>
        <v>28</v>
      </c>
      <c r="B35" s="95" t="s">
        <v>17</v>
      </c>
      <c r="C35" s="59">
        <f>'1. 소켓인수검사'!C36</f>
        <v>700</v>
      </c>
      <c r="D35" s="59">
        <f>'1. 소켓인수검사'!D36</f>
        <v>650</v>
      </c>
      <c r="E35" s="37"/>
      <c r="F35" s="59">
        <v>1</v>
      </c>
      <c r="G35" s="96">
        <f t="shared" si="4"/>
        <v>695</v>
      </c>
      <c r="H35" s="59">
        <f t="shared" si="0"/>
        <v>4</v>
      </c>
      <c r="I35" s="97">
        <f t="shared" si="1"/>
        <v>620</v>
      </c>
      <c r="J35" s="59">
        <f t="shared" si="2"/>
        <v>4</v>
      </c>
      <c r="K35" s="98">
        <f t="shared" si="3"/>
        <v>760</v>
      </c>
      <c r="L35" s="59">
        <v>2</v>
      </c>
      <c r="M35" s="98">
        <f t="shared" si="5"/>
        <v>650</v>
      </c>
      <c r="N35" s="59">
        <v>2</v>
      </c>
      <c r="O35" s="99"/>
    </row>
    <row r="36" spans="1:15">
      <c r="A36" s="94" t="str">
        <f>'1. 소켓인수검사'!A37</f>
        <v>29</v>
      </c>
      <c r="B36" s="95" t="s">
        <v>17</v>
      </c>
      <c r="C36" s="59">
        <f>'1. 소켓인수검사'!C37</f>
        <v>750</v>
      </c>
      <c r="D36" s="59">
        <f>'1. 소켓인수검사'!D37</f>
        <v>550</v>
      </c>
      <c r="E36" s="37"/>
      <c r="F36" s="59">
        <v>1</v>
      </c>
      <c r="G36" s="96">
        <f t="shared" si="4"/>
        <v>745</v>
      </c>
      <c r="H36" s="59">
        <f t="shared" si="0"/>
        <v>4</v>
      </c>
      <c r="I36" s="97">
        <f t="shared" si="1"/>
        <v>520</v>
      </c>
      <c r="J36" s="59">
        <f t="shared" si="2"/>
        <v>4</v>
      </c>
      <c r="K36" s="98">
        <f t="shared" si="3"/>
        <v>810</v>
      </c>
      <c r="L36" s="59">
        <v>2</v>
      </c>
      <c r="M36" s="98">
        <f t="shared" si="5"/>
        <v>550</v>
      </c>
      <c r="N36" s="59">
        <v>2</v>
      </c>
      <c r="O36" s="99"/>
    </row>
    <row r="37" spans="1:15">
      <c r="A37" s="94" t="str">
        <f>'1. 소켓인수검사'!A38</f>
        <v>30</v>
      </c>
      <c r="B37" s="95" t="s">
        <v>17</v>
      </c>
      <c r="C37" s="59">
        <f>'1. 소켓인수검사'!C38</f>
        <v>750</v>
      </c>
      <c r="D37" s="59">
        <f>'1. 소켓인수검사'!D38</f>
        <v>550</v>
      </c>
      <c r="E37" s="37"/>
      <c r="F37" s="59">
        <v>1</v>
      </c>
      <c r="G37" s="96">
        <f t="shared" si="4"/>
        <v>745</v>
      </c>
      <c r="H37" s="59">
        <f t="shared" si="0"/>
        <v>4</v>
      </c>
      <c r="I37" s="97">
        <f t="shared" si="1"/>
        <v>520</v>
      </c>
      <c r="J37" s="59">
        <f t="shared" si="2"/>
        <v>4</v>
      </c>
      <c r="K37" s="98">
        <f t="shared" si="3"/>
        <v>810</v>
      </c>
      <c r="L37" s="59">
        <v>2</v>
      </c>
      <c r="M37" s="98">
        <f t="shared" si="5"/>
        <v>550</v>
      </c>
      <c r="N37" s="59">
        <v>2</v>
      </c>
      <c r="O37" s="99"/>
    </row>
    <row r="38" spans="1:15">
      <c r="A38" s="94" t="str">
        <f>'1. 소켓인수검사'!A39</f>
        <v>31</v>
      </c>
      <c r="B38" s="95" t="s">
        <v>17</v>
      </c>
      <c r="C38" s="59">
        <f>'1. 소켓인수검사'!C39</f>
        <v>800</v>
      </c>
      <c r="D38" s="59">
        <f>'1. 소켓인수검사'!D39</f>
        <v>350</v>
      </c>
      <c r="E38" s="37"/>
      <c r="F38" s="59">
        <v>1</v>
      </c>
      <c r="G38" s="96">
        <f t="shared" si="4"/>
        <v>795</v>
      </c>
      <c r="H38" s="59">
        <f t="shared" si="0"/>
        <v>4</v>
      </c>
      <c r="I38" s="97">
        <f t="shared" si="1"/>
        <v>320</v>
      </c>
      <c r="J38" s="59">
        <f t="shared" si="2"/>
        <v>4</v>
      </c>
      <c r="K38" s="98">
        <f t="shared" si="3"/>
        <v>860</v>
      </c>
      <c r="L38" s="59">
        <v>2</v>
      </c>
      <c r="M38" s="98">
        <f t="shared" si="5"/>
        <v>350</v>
      </c>
      <c r="N38" s="59">
        <v>2</v>
      </c>
      <c r="O38" s="99"/>
    </row>
    <row r="39" spans="1:15">
      <c r="A39" s="94" t="str">
        <f>'1. 소켓인수검사'!A40</f>
        <v>32</v>
      </c>
      <c r="B39" s="95" t="s">
        <v>17</v>
      </c>
      <c r="C39" s="59">
        <f>'1. 소켓인수검사'!C40</f>
        <v>800</v>
      </c>
      <c r="D39" s="59">
        <f>'1. 소켓인수검사'!D40</f>
        <v>550</v>
      </c>
      <c r="E39" s="37"/>
      <c r="F39" s="59">
        <v>1</v>
      </c>
      <c r="G39" s="96">
        <f t="shared" si="4"/>
        <v>795</v>
      </c>
      <c r="H39" s="59">
        <f t="shared" si="0"/>
        <v>4</v>
      </c>
      <c r="I39" s="97">
        <f t="shared" si="1"/>
        <v>520</v>
      </c>
      <c r="J39" s="59">
        <f t="shared" si="2"/>
        <v>4</v>
      </c>
      <c r="K39" s="98">
        <f t="shared" si="3"/>
        <v>860</v>
      </c>
      <c r="L39" s="59">
        <v>2</v>
      </c>
      <c r="M39" s="98">
        <f t="shared" si="5"/>
        <v>550</v>
      </c>
      <c r="N39" s="59">
        <v>2</v>
      </c>
      <c r="O39" s="99"/>
    </row>
    <row r="40" spans="1:15">
      <c r="A40" s="94" t="str">
        <f>'1. 소켓인수검사'!A41</f>
        <v>33</v>
      </c>
      <c r="B40" s="95" t="s">
        <v>17</v>
      </c>
      <c r="C40" s="59">
        <f>'1. 소켓인수검사'!C41</f>
        <v>800</v>
      </c>
      <c r="D40" s="59">
        <f>'1. 소켓인수검사'!D41</f>
        <v>600</v>
      </c>
      <c r="E40" s="37"/>
      <c r="F40" s="59">
        <v>1</v>
      </c>
      <c r="G40" s="96">
        <f t="shared" si="4"/>
        <v>795</v>
      </c>
      <c r="H40" s="59">
        <f t="shared" si="0"/>
        <v>4</v>
      </c>
      <c r="I40" s="97">
        <f t="shared" si="1"/>
        <v>570</v>
      </c>
      <c r="J40" s="59">
        <f t="shared" si="2"/>
        <v>4</v>
      </c>
      <c r="K40" s="98">
        <f t="shared" si="3"/>
        <v>860</v>
      </c>
      <c r="L40" s="59">
        <v>2</v>
      </c>
      <c r="M40" s="98">
        <f t="shared" si="5"/>
        <v>600</v>
      </c>
      <c r="N40" s="59">
        <v>2</v>
      </c>
      <c r="O40" s="99"/>
    </row>
    <row r="41" spans="1:15">
      <c r="A41" s="94" t="str">
        <f>'1. 소켓인수검사'!A42</f>
        <v>34</v>
      </c>
      <c r="B41" s="95" t="s">
        <v>17</v>
      </c>
      <c r="C41" s="59">
        <f>'1. 소켓인수검사'!C42</f>
        <v>800</v>
      </c>
      <c r="D41" s="59">
        <f>'1. 소켓인수검사'!D42</f>
        <v>600</v>
      </c>
      <c r="E41" s="37"/>
      <c r="F41" s="59">
        <v>1</v>
      </c>
      <c r="G41" s="96">
        <f t="shared" si="4"/>
        <v>795</v>
      </c>
      <c r="H41" s="59">
        <f t="shared" si="0"/>
        <v>4</v>
      </c>
      <c r="I41" s="97">
        <f t="shared" si="1"/>
        <v>570</v>
      </c>
      <c r="J41" s="59">
        <f t="shared" si="2"/>
        <v>4</v>
      </c>
      <c r="K41" s="98">
        <f t="shared" si="3"/>
        <v>860</v>
      </c>
      <c r="L41" s="59">
        <v>2</v>
      </c>
      <c r="M41" s="98">
        <f t="shared" si="5"/>
        <v>600</v>
      </c>
      <c r="N41" s="59">
        <v>2</v>
      </c>
      <c r="O41" s="99"/>
    </row>
    <row r="42" spans="1:15">
      <c r="A42" s="94" t="str">
        <f>'1. 소켓인수검사'!A43</f>
        <v>35</v>
      </c>
      <c r="B42" s="95" t="s">
        <v>17</v>
      </c>
      <c r="C42" s="59">
        <f>'1. 소켓인수검사'!C43</f>
        <v>800</v>
      </c>
      <c r="D42" s="59">
        <f>'1. 소켓인수검사'!D43</f>
        <v>600</v>
      </c>
      <c r="E42" s="37"/>
      <c r="F42" s="59">
        <v>1</v>
      </c>
      <c r="G42" s="96">
        <f t="shared" si="4"/>
        <v>795</v>
      </c>
      <c r="H42" s="59">
        <f t="shared" si="0"/>
        <v>4</v>
      </c>
      <c r="I42" s="97">
        <f t="shared" si="1"/>
        <v>570</v>
      </c>
      <c r="J42" s="59">
        <f t="shared" si="2"/>
        <v>4</v>
      </c>
      <c r="K42" s="98">
        <f t="shared" si="3"/>
        <v>860</v>
      </c>
      <c r="L42" s="59">
        <v>2</v>
      </c>
      <c r="M42" s="98">
        <f t="shared" si="5"/>
        <v>600</v>
      </c>
      <c r="N42" s="59">
        <v>2</v>
      </c>
      <c r="O42" s="99"/>
    </row>
    <row r="43" spans="1:15">
      <c r="A43" s="94" t="str">
        <f>'1. 소켓인수검사'!A44</f>
        <v>36</v>
      </c>
      <c r="B43" s="100" t="s">
        <v>6</v>
      </c>
      <c r="C43" s="59">
        <f>'1. 소켓인수검사'!C44</f>
        <v>600</v>
      </c>
      <c r="D43" s="59">
        <f>'1. 소켓인수검사'!D44</f>
        <v>900</v>
      </c>
      <c r="E43" s="37"/>
      <c r="F43" s="59">
        <v>1</v>
      </c>
      <c r="G43" s="96">
        <f t="shared" ref="G43:G46" si="6">C43-5</f>
        <v>595</v>
      </c>
      <c r="H43" s="59">
        <f t="shared" ref="H43:H46" si="7">F43*4</f>
        <v>4</v>
      </c>
      <c r="I43" s="97">
        <f t="shared" ref="I43:I46" si="8">D43-30</f>
        <v>870</v>
      </c>
      <c r="J43" s="59">
        <f t="shared" ref="J43:J46" si="9">F43*4</f>
        <v>4</v>
      </c>
      <c r="K43" s="98">
        <f t="shared" ref="K43:K46" si="10">C43+60</f>
        <v>660</v>
      </c>
      <c r="L43" s="59">
        <v>2</v>
      </c>
      <c r="M43" s="98">
        <f t="shared" ref="M43:M46" si="11">D43</f>
        <v>900</v>
      </c>
      <c r="N43" s="59">
        <v>2</v>
      </c>
      <c r="O43" s="56"/>
    </row>
    <row r="44" spans="1:15">
      <c r="A44" s="94" t="str">
        <f>'1. 소켓인수검사'!A45</f>
        <v>37</v>
      </c>
      <c r="B44" s="100" t="s">
        <v>6</v>
      </c>
      <c r="C44" s="59">
        <f>'1. 소켓인수검사'!C45</f>
        <v>600</v>
      </c>
      <c r="D44" s="59">
        <f>'1. 소켓인수검사'!D45</f>
        <v>1000</v>
      </c>
      <c r="E44" s="37"/>
      <c r="F44" s="59">
        <v>1</v>
      </c>
      <c r="G44" s="96">
        <f t="shared" si="6"/>
        <v>595</v>
      </c>
      <c r="H44" s="59">
        <f t="shared" si="7"/>
        <v>4</v>
      </c>
      <c r="I44" s="97">
        <f t="shared" si="8"/>
        <v>970</v>
      </c>
      <c r="J44" s="59">
        <f t="shared" si="9"/>
        <v>4</v>
      </c>
      <c r="K44" s="98">
        <f t="shared" si="10"/>
        <v>660</v>
      </c>
      <c r="L44" s="59">
        <v>2</v>
      </c>
      <c r="M44" s="98">
        <f t="shared" si="11"/>
        <v>1000</v>
      </c>
      <c r="N44" s="59">
        <v>2</v>
      </c>
      <c r="O44" s="99"/>
    </row>
    <row r="45" spans="1:15">
      <c r="A45" s="94" t="str">
        <f>'1. 소켓인수검사'!A46</f>
        <v>38</v>
      </c>
      <c r="B45" s="100" t="s">
        <v>6</v>
      </c>
      <c r="C45" s="59">
        <f>'1. 소켓인수검사'!C46</f>
        <v>600</v>
      </c>
      <c r="D45" s="59">
        <f>'1. 소켓인수검사'!D46</f>
        <v>1000</v>
      </c>
      <c r="E45" s="37"/>
      <c r="F45" s="59">
        <v>1</v>
      </c>
      <c r="G45" s="96">
        <f t="shared" si="6"/>
        <v>595</v>
      </c>
      <c r="H45" s="59">
        <f t="shared" si="7"/>
        <v>4</v>
      </c>
      <c r="I45" s="97">
        <f t="shared" si="8"/>
        <v>970</v>
      </c>
      <c r="J45" s="59">
        <f t="shared" si="9"/>
        <v>4</v>
      </c>
      <c r="K45" s="98">
        <f t="shared" si="10"/>
        <v>660</v>
      </c>
      <c r="L45" s="59">
        <v>2</v>
      </c>
      <c r="M45" s="98">
        <f t="shared" si="11"/>
        <v>1000</v>
      </c>
      <c r="N45" s="59">
        <v>2</v>
      </c>
      <c r="O45" s="99"/>
    </row>
    <row r="46" spans="1:15">
      <c r="A46" s="94" t="str">
        <f>'1. 소켓인수검사'!A47</f>
        <v>39</v>
      </c>
      <c r="B46" s="100" t="s">
        <v>6</v>
      </c>
      <c r="C46" s="59">
        <f>'1. 소켓인수검사'!C47</f>
        <v>1000</v>
      </c>
      <c r="D46" s="59">
        <f>'1. 소켓인수검사'!D47</f>
        <v>550</v>
      </c>
      <c r="E46" s="37"/>
      <c r="F46" s="59">
        <v>1</v>
      </c>
      <c r="G46" s="96">
        <f t="shared" si="6"/>
        <v>995</v>
      </c>
      <c r="H46" s="59">
        <f t="shared" si="7"/>
        <v>4</v>
      </c>
      <c r="I46" s="97">
        <f t="shared" si="8"/>
        <v>520</v>
      </c>
      <c r="J46" s="59">
        <f t="shared" si="9"/>
        <v>4</v>
      </c>
      <c r="K46" s="98">
        <f t="shared" si="10"/>
        <v>1060</v>
      </c>
      <c r="L46" s="59">
        <v>2</v>
      </c>
      <c r="M46" s="98">
        <f t="shared" si="11"/>
        <v>550</v>
      </c>
      <c r="N46" s="59">
        <v>2</v>
      </c>
      <c r="O46" s="99"/>
    </row>
    <row r="47" spans="1:15" ht="8.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 t="s">
        <v>47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</sheetData>
  <mergeCells count="21"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  <mergeCell ref="A47:O47"/>
    <mergeCell ref="A48:C50"/>
    <mergeCell ref="D48:O50"/>
    <mergeCell ref="K5:N5"/>
    <mergeCell ref="O5:O7"/>
    <mergeCell ref="C6:C7"/>
    <mergeCell ref="D6:D7"/>
    <mergeCell ref="G6:H6"/>
    <mergeCell ref="I6:J6"/>
    <mergeCell ref="K6:L6"/>
    <mergeCell ref="M6:N6"/>
  </mergeCells>
  <phoneticPr fontId="26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49"/>
  <sheetViews>
    <sheetView topLeftCell="A27" zoomScaleNormal="100" zoomScaleSheetLayoutView="100" workbookViewId="0">
      <selection activeCell="I57" sqref="I57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1"/>
      <c r="B1" s="1"/>
      <c r="C1" s="1"/>
      <c r="D1" s="1"/>
      <c r="E1" s="143" t="s">
        <v>112</v>
      </c>
      <c r="F1" s="144"/>
      <c r="G1" s="149" t="str">
        <f>'1. 소켓인수검사'!R2</f>
        <v>26.06.11 웰스홈_신승에프엔티_에이치제이종합건설_조선대학교 감염병 전문병원</v>
      </c>
      <c r="H1" s="149"/>
      <c r="I1" s="149"/>
      <c r="J1" s="149"/>
      <c r="K1" s="150"/>
    </row>
    <row r="2" spans="1:11" ht="16.5" customHeight="1">
      <c r="A2" s="1"/>
      <c r="B2" s="1"/>
      <c r="C2" s="1"/>
      <c r="D2" s="1"/>
      <c r="E2" s="145"/>
      <c r="F2" s="146"/>
      <c r="G2" s="151"/>
      <c r="H2" s="151"/>
      <c r="I2" s="151"/>
      <c r="J2" s="151"/>
      <c r="K2" s="152"/>
    </row>
    <row r="3" spans="1:11" ht="16.5" customHeight="1">
      <c r="A3" s="1"/>
      <c r="B3" s="1"/>
      <c r="C3" s="1"/>
      <c r="D3" s="1"/>
      <c r="E3" s="147"/>
      <c r="F3" s="148"/>
      <c r="G3" s="153"/>
      <c r="H3" s="153"/>
      <c r="I3" s="153"/>
      <c r="J3" s="153"/>
      <c r="K3" s="154"/>
    </row>
    <row r="4" spans="1:11" ht="8.1" customHeight="1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</row>
    <row r="5" spans="1:11" ht="26.45" customHeight="1">
      <c r="A5" s="156" t="s">
        <v>55</v>
      </c>
      <c r="B5" s="157" t="s">
        <v>65</v>
      </c>
      <c r="C5" s="160" t="s">
        <v>4</v>
      </c>
      <c r="D5" s="160"/>
      <c r="E5" s="160" t="s">
        <v>25</v>
      </c>
      <c r="F5" s="161" t="s">
        <v>53</v>
      </c>
      <c r="G5" s="141" t="s">
        <v>35</v>
      </c>
      <c r="H5" s="142"/>
      <c r="I5" s="142"/>
      <c r="J5" s="142"/>
      <c r="K5" s="161" t="s">
        <v>2</v>
      </c>
    </row>
    <row r="6" spans="1:11" ht="16.5" customHeight="1">
      <c r="A6" s="156"/>
      <c r="B6" s="158"/>
      <c r="C6" s="160" t="s">
        <v>62</v>
      </c>
      <c r="D6" s="160" t="s">
        <v>60</v>
      </c>
      <c r="E6" s="160"/>
      <c r="F6" s="162"/>
      <c r="G6" s="160" t="s">
        <v>64</v>
      </c>
      <c r="H6" s="160"/>
      <c r="I6" s="141" t="s">
        <v>61</v>
      </c>
      <c r="J6" s="142"/>
      <c r="K6" s="162"/>
    </row>
    <row r="7" spans="1:11">
      <c r="A7" s="156"/>
      <c r="B7" s="159"/>
      <c r="C7" s="160"/>
      <c r="D7" s="160"/>
      <c r="E7" s="160"/>
      <c r="F7" s="163"/>
      <c r="G7" s="15" t="s">
        <v>4</v>
      </c>
      <c r="H7" s="15" t="s">
        <v>53</v>
      </c>
      <c r="I7" s="15" t="s">
        <v>4</v>
      </c>
      <c r="J7" s="16" t="s">
        <v>53</v>
      </c>
      <c r="K7" s="163"/>
    </row>
    <row r="8" spans="1:11">
      <c r="A8" s="78" t="str">
        <f>'1. 소켓인수검사'!A9</f>
        <v>01</v>
      </c>
      <c r="B8" s="53" t="s">
        <v>17</v>
      </c>
      <c r="C8" s="49">
        <f>'1. 소켓인수검사'!C9</f>
        <v>200</v>
      </c>
      <c r="D8" s="49">
        <f>'1. 소켓인수검사'!D9</f>
        <v>250</v>
      </c>
      <c r="E8" s="50"/>
      <c r="F8" s="49">
        <v>1</v>
      </c>
      <c r="G8" s="79">
        <f t="shared" ref="G8:G11" si="0">C8+60</f>
        <v>260</v>
      </c>
      <c r="H8" s="49">
        <v>2</v>
      </c>
      <c r="I8" s="79">
        <f>D8</f>
        <v>250</v>
      </c>
      <c r="J8" s="49">
        <v>2</v>
      </c>
      <c r="K8" s="51"/>
    </row>
    <row r="9" spans="1:11">
      <c r="A9" s="80" t="str">
        <f>'1. 소켓인수검사'!A10</f>
        <v>02</v>
      </c>
      <c r="B9" s="53" t="s">
        <v>17</v>
      </c>
      <c r="C9" s="36">
        <f>'1. 소켓인수검사'!C10</f>
        <v>250</v>
      </c>
      <c r="D9" s="36">
        <f>'1. 소켓인수검사'!D10</f>
        <v>200</v>
      </c>
      <c r="E9" s="37"/>
      <c r="F9" s="36">
        <v>1</v>
      </c>
      <c r="G9" s="55">
        <f t="shared" si="0"/>
        <v>310</v>
      </c>
      <c r="H9" s="36">
        <v>2</v>
      </c>
      <c r="I9" s="55">
        <f t="shared" ref="I9:I42" si="1">D9</f>
        <v>200</v>
      </c>
      <c r="J9" s="36">
        <v>2</v>
      </c>
      <c r="K9" s="54"/>
    </row>
    <row r="10" spans="1:11">
      <c r="A10" s="80" t="str">
        <f>'1. 소켓인수검사'!A11</f>
        <v>03</v>
      </c>
      <c r="B10" s="53" t="s">
        <v>17</v>
      </c>
      <c r="C10" s="36">
        <f>'1. 소켓인수검사'!C11</f>
        <v>250</v>
      </c>
      <c r="D10" s="36">
        <f>'1. 소켓인수검사'!D11</f>
        <v>200</v>
      </c>
      <c r="E10" s="37"/>
      <c r="F10" s="36">
        <v>1</v>
      </c>
      <c r="G10" s="55">
        <f t="shared" si="0"/>
        <v>310</v>
      </c>
      <c r="H10" s="36">
        <v>2</v>
      </c>
      <c r="I10" s="55">
        <f t="shared" si="1"/>
        <v>200</v>
      </c>
      <c r="J10" s="36">
        <v>2</v>
      </c>
      <c r="K10" s="54"/>
    </row>
    <row r="11" spans="1:11">
      <c r="A11" s="80" t="str">
        <f>'1. 소켓인수검사'!A12</f>
        <v>04</v>
      </c>
      <c r="B11" s="53" t="s">
        <v>17</v>
      </c>
      <c r="C11" s="36">
        <f>'1. 소켓인수검사'!C12</f>
        <v>250</v>
      </c>
      <c r="D11" s="36">
        <f>'1. 소켓인수검사'!D12</f>
        <v>200</v>
      </c>
      <c r="E11" s="37"/>
      <c r="F11" s="36">
        <v>1</v>
      </c>
      <c r="G11" s="55">
        <f t="shared" si="0"/>
        <v>310</v>
      </c>
      <c r="H11" s="36">
        <v>2</v>
      </c>
      <c r="I11" s="55">
        <f t="shared" si="1"/>
        <v>200</v>
      </c>
      <c r="J11" s="36">
        <v>2</v>
      </c>
      <c r="K11" s="54"/>
    </row>
    <row r="12" spans="1:11">
      <c r="A12" s="80" t="str">
        <f>'1. 소켓인수검사'!A13</f>
        <v>05</v>
      </c>
      <c r="B12" s="53" t="s">
        <v>17</v>
      </c>
      <c r="C12" s="36">
        <f>'1. 소켓인수검사'!C13</f>
        <v>250</v>
      </c>
      <c r="D12" s="36">
        <f>'1. 소켓인수검사'!D13</f>
        <v>200</v>
      </c>
      <c r="E12" s="37"/>
      <c r="F12" s="36">
        <v>1</v>
      </c>
      <c r="G12" s="55">
        <f t="shared" ref="G12:G19" si="2">C12+60</f>
        <v>310</v>
      </c>
      <c r="H12" s="36">
        <v>2</v>
      </c>
      <c r="I12" s="55">
        <f t="shared" si="1"/>
        <v>200</v>
      </c>
      <c r="J12" s="36">
        <v>2</v>
      </c>
      <c r="K12" s="54"/>
    </row>
    <row r="13" spans="1:11">
      <c r="A13" s="80" t="str">
        <f>'1. 소켓인수검사'!A14</f>
        <v>06</v>
      </c>
      <c r="B13" s="53" t="s">
        <v>17</v>
      </c>
      <c r="C13" s="36">
        <f>'1. 소켓인수검사'!C14</f>
        <v>250</v>
      </c>
      <c r="D13" s="36">
        <f>'1. 소켓인수검사'!D14</f>
        <v>250</v>
      </c>
      <c r="E13" s="37"/>
      <c r="F13" s="36">
        <v>1</v>
      </c>
      <c r="G13" s="55">
        <f t="shared" si="2"/>
        <v>310</v>
      </c>
      <c r="H13" s="36">
        <v>2</v>
      </c>
      <c r="I13" s="55">
        <f t="shared" si="1"/>
        <v>250</v>
      </c>
      <c r="J13" s="36">
        <v>2</v>
      </c>
      <c r="K13" s="54"/>
    </row>
    <row r="14" spans="1:11">
      <c r="A14" s="80" t="str">
        <f>'1. 소켓인수검사'!A15</f>
        <v>07</v>
      </c>
      <c r="B14" s="53" t="s">
        <v>17</v>
      </c>
      <c r="C14" s="36">
        <f>'1. 소켓인수검사'!C15</f>
        <v>250</v>
      </c>
      <c r="D14" s="36">
        <f>'1. 소켓인수검사'!D15</f>
        <v>250</v>
      </c>
      <c r="E14" s="37"/>
      <c r="F14" s="36">
        <v>1</v>
      </c>
      <c r="G14" s="55">
        <f t="shared" si="2"/>
        <v>310</v>
      </c>
      <c r="H14" s="36">
        <v>2</v>
      </c>
      <c r="I14" s="55">
        <f t="shared" si="1"/>
        <v>250</v>
      </c>
      <c r="J14" s="36">
        <v>2</v>
      </c>
      <c r="K14" s="54"/>
    </row>
    <row r="15" spans="1:11">
      <c r="A15" s="80" t="str">
        <f>'1. 소켓인수검사'!A16</f>
        <v>08</v>
      </c>
      <c r="B15" s="53" t="s">
        <v>17</v>
      </c>
      <c r="C15" s="36">
        <f>'1. 소켓인수검사'!C16</f>
        <v>250</v>
      </c>
      <c r="D15" s="36">
        <f>'1. 소켓인수검사'!D16</f>
        <v>250</v>
      </c>
      <c r="E15" s="37"/>
      <c r="F15" s="36">
        <v>1</v>
      </c>
      <c r="G15" s="55">
        <f t="shared" si="2"/>
        <v>310</v>
      </c>
      <c r="H15" s="36">
        <v>2</v>
      </c>
      <c r="I15" s="55">
        <f t="shared" si="1"/>
        <v>250</v>
      </c>
      <c r="J15" s="36">
        <v>2</v>
      </c>
      <c r="K15" s="54"/>
    </row>
    <row r="16" spans="1:11">
      <c r="A16" s="80" t="str">
        <f>'1. 소켓인수검사'!A17</f>
        <v>09</v>
      </c>
      <c r="B16" s="53" t="s">
        <v>17</v>
      </c>
      <c r="C16" s="36">
        <f>'1. 소켓인수검사'!C17</f>
        <v>250</v>
      </c>
      <c r="D16" s="36">
        <f>'1. 소켓인수검사'!D17</f>
        <v>250</v>
      </c>
      <c r="E16" s="37"/>
      <c r="F16" s="36">
        <v>1</v>
      </c>
      <c r="G16" s="55">
        <f t="shared" si="2"/>
        <v>310</v>
      </c>
      <c r="H16" s="36">
        <v>2</v>
      </c>
      <c r="I16" s="55">
        <f t="shared" si="1"/>
        <v>250</v>
      </c>
      <c r="J16" s="36">
        <v>2</v>
      </c>
      <c r="K16" s="54"/>
    </row>
    <row r="17" spans="1:11">
      <c r="A17" s="80" t="str">
        <f>'1. 소켓인수검사'!A18</f>
        <v>10</v>
      </c>
      <c r="B17" s="53" t="s">
        <v>17</v>
      </c>
      <c r="C17" s="36">
        <f>'1. 소켓인수검사'!C18</f>
        <v>250</v>
      </c>
      <c r="D17" s="36">
        <f>'1. 소켓인수검사'!D18</f>
        <v>350</v>
      </c>
      <c r="E17" s="37"/>
      <c r="F17" s="36">
        <v>1</v>
      </c>
      <c r="G17" s="55">
        <f t="shared" si="2"/>
        <v>310</v>
      </c>
      <c r="H17" s="36">
        <v>2</v>
      </c>
      <c r="I17" s="55">
        <f t="shared" si="1"/>
        <v>350</v>
      </c>
      <c r="J17" s="36">
        <v>2</v>
      </c>
      <c r="K17" s="54"/>
    </row>
    <row r="18" spans="1:11">
      <c r="A18" s="80" t="str">
        <f>'1. 소켓인수검사'!A19</f>
        <v>11</v>
      </c>
      <c r="B18" s="53" t="s">
        <v>17</v>
      </c>
      <c r="C18" s="36">
        <f>'1. 소켓인수검사'!C19</f>
        <v>300</v>
      </c>
      <c r="D18" s="36">
        <f>'1. 소켓인수검사'!D19</f>
        <v>250</v>
      </c>
      <c r="E18" s="37"/>
      <c r="F18" s="36">
        <v>1</v>
      </c>
      <c r="G18" s="55">
        <f t="shared" si="2"/>
        <v>360</v>
      </c>
      <c r="H18" s="36">
        <v>2</v>
      </c>
      <c r="I18" s="55">
        <f t="shared" si="1"/>
        <v>250</v>
      </c>
      <c r="J18" s="36">
        <v>2</v>
      </c>
      <c r="K18" s="54"/>
    </row>
    <row r="19" spans="1:11">
      <c r="A19" s="80" t="str">
        <f>'1. 소켓인수검사'!A20</f>
        <v>12</v>
      </c>
      <c r="B19" s="53" t="s">
        <v>17</v>
      </c>
      <c r="C19" s="36">
        <f>'1. 소켓인수검사'!C20</f>
        <v>350</v>
      </c>
      <c r="D19" s="36">
        <f>'1. 소켓인수검사'!D20</f>
        <v>250</v>
      </c>
      <c r="E19" s="37"/>
      <c r="F19" s="36">
        <v>1</v>
      </c>
      <c r="G19" s="55">
        <f t="shared" si="2"/>
        <v>410</v>
      </c>
      <c r="H19" s="36">
        <v>2</v>
      </c>
      <c r="I19" s="55">
        <f t="shared" si="1"/>
        <v>250</v>
      </c>
      <c r="J19" s="36">
        <v>2</v>
      </c>
      <c r="K19" s="54"/>
    </row>
    <row r="20" spans="1:11">
      <c r="A20" s="80" t="str">
        <f>'1. 소켓인수검사'!A21</f>
        <v>13</v>
      </c>
      <c r="B20" s="53" t="s">
        <v>17</v>
      </c>
      <c r="C20" s="36">
        <f>'1. 소켓인수검사'!C21</f>
        <v>350</v>
      </c>
      <c r="D20" s="36">
        <f>'1. 소켓인수검사'!D21</f>
        <v>250</v>
      </c>
      <c r="E20" s="37"/>
      <c r="F20" s="36">
        <v>1</v>
      </c>
      <c r="G20" s="55">
        <f t="shared" ref="G20:G39" si="3">C20+60</f>
        <v>410</v>
      </c>
      <c r="H20" s="36">
        <v>2</v>
      </c>
      <c r="I20" s="55">
        <f t="shared" si="1"/>
        <v>250</v>
      </c>
      <c r="J20" s="36">
        <v>2</v>
      </c>
      <c r="K20" s="54"/>
    </row>
    <row r="21" spans="1:11">
      <c r="A21" s="80" t="str">
        <f>'1. 소켓인수검사'!A22</f>
        <v>14</v>
      </c>
      <c r="B21" s="53" t="s">
        <v>17</v>
      </c>
      <c r="C21" s="36">
        <f>'1. 소켓인수검사'!C22</f>
        <v>400</v>
      </c>
      <c r="D21" s="36">
        <f>'1. 소켓인수검사'!D22</f>
        <v>250</v>
      </c>
      <c r="E21" s="37"/>
      <c r="F21" s="36">
        <v>1</v>
      </c>
      <c r="G21" s="55">
        <f t="shared" si="3"/>
        <v>460</v>
      </c>
      <c r="H21" s="36">
        <v>2</v>
      </c>
      <c r="I21" s="55">
        <f t="shared" si="1"/>
        <v>250</v>
      </c>
      <c r="J21" s="36">
        <v>2</v>
      </c>
      <c r="K21" s="54"/>
    </row>
    <row r="22" spans="1:11">
      <c r="A22" s="80" t="str">
        <f>'1. 소켓인수검사'!A23</f>
        <v>15</v>
      </c>
      <c r="B22" s="53" t="s">
        <v>17</v>
      </c>
      <c r="C22" s="36">
        <f>'1. 소켓인수검사'!C23</f>
        <v>450</v>
      </c>
      <c r="D22" s="36">
        <f>'1. 소켓인수검사'!D23</f>
        <v>250</v>
      </c>
      <c r="E22" s="37"/>
      <c r="F22" s="36">
        <v>1</v>
      </c>
      <c r="G22" s="55">
        <f t="shared" si="3"/>
        <v>510</v>
      </c>
      <c r="H22" s="36">
        <v>2</v>
      </c>
      <c r="I22" s="55">
        <f t="shared" si="1"/>
        <v>250</v>
      </c>
      <c r="J22" s="36">
        <v>2</v>
      </c>
      <c r="K22" s="54"/>
    </row>
    <row r="23" spans="1:11">
      <c r="A23" s="80" t="str">
        <f>'1. 소켓인수검사'!A24</f>
        <v>16</v>
      </c>
      <c r="B23" s="53" t="s">
        <v>17</v>
      </c>
      <c r="C23" s="36">
        <f>'1. 소켓인수검사'!C24</f>
        <v>450</v>
      </c>
      <c r="D23" s="36">
        <f>'1. 소켓인수검사'!D24</f>
        <v>300</v>
      </c>
      <c r="E23" s="37"/>
      <c r="F23" s="36">
        <v>1</v>
      </c>
      <c r="G23" s="55">
        <f t="shared" si="3"/>
        <v>510</v>
      </c>
      <c r="H23" s="36">
        <v>2</v>
      </c>
      <c r="I23" s="55">
        <f t="shared" si="1"/>
        <v>300</v>
      </c>
      <c r="J23" s="36">
        <v>2</v>
      </c>
      <c r="K23" s="54"/>
    </row>
    <row r="24" spans="1:11">
      <c r="A24" s="80" t="str">
        <f>'1. 소켓인수검사'!A25</f>
        <v>17</v>
      </c>
      <c r="B24" s="53" t="s">
        <v>17</v>
      </c>
      <c r="C24" s="36">
        <f>'1. 소켓인수검사'!C25</f>
        <v>450</v>
      </c>
      <c r="D24" s="36">
        <f>'1. 소켓인수검사'!D25</f>
        <v>300</v>
      </c>
      <c r="E24" s="37"/>
      <c r="F24" s="36">
        <v>1</v>
      </c>
      <c r="G24" s="55">
        <f t="shared" si="3"/>
        <v>510</v>
      </c>
      <c r="H24" s="36">
        <v>2</v>
      </c>
      <c r="I24" s="55">
        <f t="shared" si="1"/>
        <v>300</v>
      </c>
      <c r="J24" s="36">
        <v>2</v>
      </c>
      <c r="K24" s="54"/>
    </row>
    <row r="25" spans="1:11">
      <c r="A25" s="80" t="str">
        <f>'1. 소켓인수검사'!A26</f>
        <v>18</v>
      </c>
      <c r="B25" s="53" t="s">
        <v>17</v>
      </c>
      <c r="C25" s="36">
        <f>'1. 소켓인수검사'!C26</f>
        <v>500</v>
      </c>
      <c r="D25" s="36">
        <f>'1. 소켓인수검사'!D26</f>
        <v>400</v>
      </c>
      <c r="E25" s="37"/>
      <c r="F25" s="36">
        <v>1</v>
      </c>
      <c r="G25" s="55">
        <f t="shared" si="3"/>
        <v>560</v>
      </c>
      <c r="H25" s="36">
        <v>2</v>
      </c>
      <c r="I25" s="55">
        <f t="shared" si="1"/>
        <v>400</v>
      </c>
      <c r="J25" s="36">
        <v>2</v>
      </c>
      <c r="K25" s="54"/>
    </row>
    <row r="26" spans="1:11">
      <c r="A26" s="80" t="str">
        <f>'1. 소켓인수검사'!A27</f>
        <v>19</v>
      </c>
      <c r="B26" s="53" t="s">
        <v>17</v>
      </c>
      <c r="C26" s="36">
        <f>'1. 소켓인수검사'!C27</f>
        <v>550</v>
      </c>
      <c r="D26" s="36">
        <f>'1. 소켓인수검사'!D27</f>
        <v>350</v>
      </c>
      <c r="E26" s="37"/>
      <c r="F26" s="36">
        <v>1</v>
      </c>
      <c r="G26" s="55">
        <f t="shared" si="3"/>
        <v>610</v>
      </c>
      <c r="H26" s="36">
        <v>2</v>
      </c>
      <c r="I26" s="55">
        <f t="shared" si="1"/>
        <v>350</v>
      </c>
      <c r="J26" s="36">
        <v>2</v>
      </c>
      <c r="K26" s="54"/>
    </row>
    <row r="27" spans="1:11">
      <c r="A27" s="80" t="str">
        <f>'1. 소켓인수검사'!A28</f>
        <v>20</v>
      </c>
      <c r="B27" s="53" t="s">
        <v>17</v>
      </c>
      <c r="C27" s="36">
        <f>'1. 소켓인수검사'!C28</f>
        <v>600</v>
      </c>
      <c r="D27" s="36">
        <f>'1. 소켓인수검사'!D28</f>
        <v>400</v>
      </c>
      <c r="E27" s="37"/>
      <c r="F27" s="36">
        <v>1</v>
      </c>
      <c r="G27" s="55">
        <f t="shared" si="3"/>
        <v>660</v>
      </c>
      <c r="H27" s="36">
        <v>2</v>
      </c>
      <c r="I27" s="55">
        <f t="shared" si="1"/>
        <v>400</v>
      </c>
      <c r="J27" s="36">
        <v>2</v>
      </c>
      <c r="K27" s="54"/>
    </row>
    <row r="28" spans="1:11">
      <c r="A28" s="80" t="str">
        <f>'1. 소켓인수검사'!A29</f>
        <v>21</v>
      </c>
      <c r="B28" s="53" t="s">
        <v>17</v>
      </c>
      <c r="C28" s="36">
        <f>'1. 소켓인수검사'!C29</f>
        <v>600</v>
      </c>
      <c r="D28" s="36">
        <f>'1. 소켓인수검사'!D29</f>
        <v>450</v>
      </c>
      <c r="E28" s="37"/>
      <c r="F28" s="36">
        <v>1</v>
      </c>
      <c r="G28" s="55">
        <f t="shared" si="3"/>
        <v>660</v>
      </c>
      <c r="H28" s="36">
        <v>2</v>
      </c>
      <c r="I28" s="55">
        <f t="shared" si="1"/>
        <v>450</v>
      </c>
      <c r="J28" s="36">
        <v>2</v>
      </c>
      <c r="K28" s="56"/>
    </row>
    <row r="29" spans="1:11">
      <c r="A29" s="80" t="str">
        <f>'1. 소켓인수검사'!A30</f>
        <v>22</v>
      </c>
      <c r="B29" s="53" t="s">
        <v>17</v>
      </c>
      <c r="C29" s="36">
        <f>'1. 소켓인수검사'!C30</f>
        <v>600</v>
      </c>
      <c r="D29" s="36">
        <f>'1. 소켓인수검사'!D30</f>
        <v>550</v>
      </c>
      <c r="E29" s="37"/>
      <c r="F29" s="36">
        <v>1</v>
      </c>
      <c r="G29" s="55">
        <f t="shared" si="3"/>
        <v>660</v>
      </c>
      <c r="H29" s="36">
        <v>2</v>
      </c>
      <c r="I29" s="55">
        <f t="shared" si="1"/>
        <v>550</v>
      </c>
      <c r="J29" s="36">
        <v>2</v>
      </c>
      <c r="K29" s="54"/>
    </row>
    <row r="30" spans="1:11">
      <c r="A30" s="80" t="str">
        <f>'1. 소켓인수검사'!A31</f>
        <v>23</v>
      </c>
      <c r="B30" s="53" t="s">
        <v>17</v>
      </c>
      <c r="C30" s="36">
        <f>'1. 소켓인수검사'!C31</f>
        <v>600</v>
      </c>
      <c r="D30" s="36">
        <f>'1. 소켓인수검사'!D31</f>
        <v>600</v>
      </c>
      <c r="E30" s="37"/>
      <c r="F30" s="36">
        <v>1</v>
      </c>
      <c r="G30" s="55">
        <f t="shared" si="3"/>
        <v>660</v>
      </c>
      <c r="H30" s="36">
        <v>2</v>
      </c>
      <c r="I30" s="55">
        <f t="shared" si="1"/>
        <v>600</v>
      </c>
      <c r="J30" s="36">
        <v>2</v>
      </c>
      <c r="K30" s="54"/>
    </row>
    <row r="31" spans="1:11">
      <c r="A31" s="80" t="str">
        <f>'1. 소켓인수검사'!A32</f>
        <v>24</v>
      </c>
      <c r="B31" s="53" t="s">
        <v>17</v>
      </c>
      <c r="C31" s="36">
        <f>'1. 소켓인수검사'!C32</f>
        <v>600</v>
      </c>
      <c r="D31" s="36">
        <f>'1. 소켓인수검사'!D32</f>
        <v>600</v>
      </c>
      <c r="E31" s="37"/>
      <c r="F31" s="36">
        <v>1</v>
      </c>
      <c r="G31" s="55">
        <f t="shared" si="3"/>
        <v>660</v>
      </c>
      <c r="H31" s="36">
        <v>2</v>
      </c>
      <c r="I31" s="55">
        <f t="shared" si="1"/>
        <v>600</v>
      </c>
      <c r="J31" s="36">
        <v>2</v>
      </c>
      <c r="K31" s="54"/>
    </row>
    <row r="32" spans="1:11">
      <c r="A32" s="80" t="str">
        <f>'1. 소켓인수검사'!A33</f>
        <v>25</v>
      </c>
      <c r="B32" s="53" t="s">
        <v>17</v>
      </c>
      <c r="C32" s="36">
        <f>'1. 소켓인수검사'!C33</f>
        <v>650</v>
      </c>
      <c r="D32" s="36">
        <f>'1. 소켓인수검사'!D33</f>
        <v>350</v>
      </c>
      <c r="E32" s="37"/>
      <c r="F32" s="36">
        <v>1</v>
      </c>
      <c r="G32" s="55">
        <f t="shared" si="3"/>
        <v>710</v>
      </c>
      <c r="H32" s="36">
        <v>2</v>
      </c>
      <c r="I32" s="55">
        <f t="shared" si="1"/>
        <v>350</v>
      </c>
      <c r="J32" s="36">
        <v>2</v>
      </c>
      <c r="K32" s="54"/>
    </row>
    <row r="33" spans="1:11">
      <c r="A33" s="80" t="str">
        <f>'1. 소켓인수검사'!A34</f>
        <v>26</v>
      </c>
      <c r="B33" s="53" t="s">
        <v>17</v>
      </c>
      <c r="C33" s="36">
        <f>'1. 소켓인수검사'!C34</f>
        <v>650</v>
      </c>
      <c r="D33" s="36">
        <f>'1. 소켓인수검사'!D34</f>
        <v>400</v>
      </c>
      <c r="E33" s="37"/>
      <c r="F33" s="36">
        <v>1</v>
      </c>
      <c r="G33" s="55">
        <f t="shared" si="3"/>
        <v>710</v>
      </c>
      <c r="H33" s="36">
        <v>2</v>
      </c>
      <c r="I33" s="55">
        <f t="shared" si="1"/>
        <v>400</v>
      </c>
      <c r="J33" s="36">
        <v>2</v>
      </c>
      <c r="K33" s="54"/>
    </row>
    <row r="34" spans="1:11">
      <c r="A34" s="80" t="str">
        <f>'1. 소켓인수검사'!A35</f>
        <v>27</v>
      </c>
      <c r="B34" s="53" t="s">
        <v>17</v>
      </c>
      <c r="C34" s="36">
        <f>'1. 소켓인수검사'!C35</f>
        <v>650</v>
      </c>
      <c r="D34" s="36">
        <f>'1. 소켓인수검사'!D35</f>
        <v>450</v>
      </c>
      <c r="E34" s="37"/>
      <c r="F34" s="36">
        <v>1</v>
      </c>
      <c r="G34" s="55">
        <f t="shared" si="3"/>
        <v>710</v>
      </c>
      <c r="H34" s="36">
        <v>2</v>
      </c>
      <c r="I34" s="55">
        <f t="shared" si="1"/>
        <v>450</v>
      </c>
      <c r="J34" s="36">
        <v>2</v>
      </c>
      <c r="K34" s="54"/>
    </row>
    <row r="35" spans="1:11">
      <c r="A35" s="80" t="str">
        <f>'1. 소켓인수검사'!A36</f>
        <v>28</v>
      </c>
      <c r="B35" s="53" t="s">
        <v>17</v>
      </c>
      <c r="C35" s="36">
        <f>'1. 소켓인수검사'!C36</f>
        <v>700</v>
      </c>
      <c r="D35" s="36">
        <f>'1. 소켓인수검사'!D36</f>
        <v>650</v>
      </c>
      <c r="E35" s="37"/>
      <c r="F35" s="36">
        <v>1</v>
      </c>
      <c r="G35" s="55">
        <f t="shared" si="3"/>
        <v>760</v>
      </c>
      <c r="H35" s="36">
        <v>2</v>
      </c>
      <c r="I35" s="55">
        <f t="shared" si="1"/>
        <v>650</v>
      </c>
      <c r="J35" s="36">
        <v>2</v>
      </c>
      <c r="K35" s="54"/>
    </row>
    <row r="36" spans="1:11">
      <c r="A36" s="80" t="str">
        <f>'1. 소켓인수검사'!A37</f>
        <v>29</v>
      </c>
      <c r="B36" s="53" t="s">
        <v>17</v>
      </c>
      <c r="C36" s="36">
        <f>'1. 소켓인수검사'!C37</f>
        <v>750</v>
      </c>
      <c r="D36" s="36">
        <f>'1. 소켓인수검사'!D37</f>
        <v>550</v>
      </c>
      <c r="E36" s="37"/>
      <c r="F36" s="36">
        <v>1</v>
      </c>
      <c r="G36" s="55">
        <f t="shared" si="3"/>
        <v>810</v>
      </c>
      <c r="H36" s="36">
        <v>2</v>
      </c>
      <c r="I36" s="55">
        <f t="shared" si="1"/>
        <v>550</v>
      </c>
      <c r="J36" s="36">
        <v>2</v>
      </c>
      <c r="K36" s="54"/>
    </row>
    <row r="37" spans="1:11">
      <c r="A37" s="80" t="str">
        <f>'1. 소켓인수검사'!A38</f>
        <v>30</v>
      </c>
      <c r="B37" s="53" t="s">
        <v>17</v>
      </c>
      <c r="C37" s="36">
        <f>'1. 소켓인수검사'!C38</f>
        <v>750</v>
      </c>
      <c r="D37" s="36">
        <f>'1. 소켓인수검사'!D38</f>
        <v>550</v>
      </c>
      <c r="E37" s="37"/>
      <c r="F37" s="36">
        <v>1</v>
      </c>
      <c r="G37" s="55">
        <f t="shared" si="3"/>
        <v>810</v>
      </c>
      <c r="H37" s="36">
        <v>2</v>
      </c>
      <c r="I37" s="55">
        <f t="shared" si="1"/>
        <v>550</v>
      </c>
      <c r="J37" s="36">
        <v>2</v>
      </c>
      <c r="K37" s="54"/>
    </row>
    <row r="38" spans="1:11">
      <c r="A38" s="80" t="str">
        <f>'1. 소켓인수검사'!A39</f>
        <v>31</v>
      </c>
      <c r="B38" s="53" t="s">
        <v>17</v>
      </c>
      <c r="C38" s="36">
        <f>'1. 소켓인수검사'!C39</f>
        <v>800</v>
      </c>
      <c r="D38" s="36">
        <f>'1. 소켓인수검사'!D39</f>
        <v>350</v>
      </c>
      <c r="E38" s="37"/>
      <c r="F38" s="36">
        <v>1</v>
      </c>
      <c r="G38" s="55">
        <f t="shared" si="3"/>
        <v>860</v>
      </c>
      <c r="H38" s="36">
        <v>2</v>
      </c>
      <c r="I38" s="55">
        <f t="shared" si="1"/>
        <v>350</v>
      </c>
      <c r="J38" s="36">
        <v>2</v>
      </c>
      <c r="K38" s="54"/>
    </row>
    <row r="39" spans="1:11">
      <c r="A39" s="80" t="str">
        <f>'1. 소켓인수검사'!A40</f>
        <v>32</v>
      </c>
      <c r="B39" s="53" t="s">
        <v>17</v>
      </c>
      <c r="C39" s="36">
        <f>'1. 소켓인수검사'!C40</f>
        <v>800</v>
      </c>
      <c r="D39" s="36">
        <f>'1. 소켓인수검사'!D40</f>
        <v>550</v>
      </c>
      <c r="E39" s="37"/>
      <c r="F39" s="36">
        <v>1</v>
      </c>
      <c r="G39" s="55">
        <f t="shared" si="3"/>
        <v>860</v>
      </c>
      <c r="H39" s="36">
        <v>2</v>
      </c>
      <c r="I39" s="55">
        <f t="shared" si="1"/>
        <v>550</v>
      </c>
      <c r="J39" s="36">
        <v>2</v>
      </c>
      <c r="K39" s="54"/>
    </row>
    <row r="40" spans="1:11">
      <c r="A40" s="80" t="str">
        <f>'1. 소켓인수검사'!A41</f>
        <v>33</v>
      </c>
      <c r="B40" s="53" t="s">
        <v>17</v>
      </c>
      <c r="C40" s="36">
        <f>'1. 소켓인수검사'!C41</f>
        <v>800</v>
      </c>
      <c r="D40" s="36">
        <f>'1. 소켓인수검사'!D41</f>
        <v>600</v>
      </c>
      <c r="E40" s="37"/>
      <c r="F40" s="36">
        <v>1</v>
      </c>
      <c r="G40" s="55">
        <f t="shared" ref="G40:G42" si="4">C40+60</f>
        <v>860</v>
      </c>
      <c r="H40" s="36">
        <v>2</v>
      </c>
      <c r="I40" s="55">
        <f t="shared" si="1"/>
        <v>600</v>
      </c>
      <c r="J40" s="36">
        <v>2</v>
      </c>
      <c r="K40" s="54"/>
    </row>
    <row r="41" spans="1:11">
      <c r="A41" s="80" t="str">
        <f>'1. 소켓인수검사'!A42</f>
        <v>34</v>
      </c>
      <c r="B41" s="53" t="s">
        <v>17</v>
      </c>
      <c r="C41" s="36">
        <f>'1. 소켓인수검사'!C42</f>
        <v>800</v>
      </c>
      <c r="D41" s="36">
        <f>'1. 소켓인수검사'!D42</f>
        <v>600</v>
      </c>
      <c r="E41" s="37"/>
      <c r="F41" s="36">
        <v>1</v>
      </c>
      <c r="G41" s="55">
        <f t="shared" si="4"/>
        <v>860</v>
      </c>
      <c r="H41" s="36">
        <v>2</v>
      </c>
      <c r="I41" s="55">
        <f t="shared" si="1"/>
        <v>600</v>
      </c>
      <c r="J41" s="36">
        <v>2</v>
      </c>
      <c r="K41" s="54"/>
    </row>
    <row r="42" spans="1:11">
      <c r="A42" s="80" t="str">
        <f>'1. 소켓인수검사'!A43</f>
        <v>35</v>
      </c>
      <c r="B42" s="53" t="s">
        <v>17</v>
      </c>
      <c r="C42" s="36">
        <f>'1. 소켓인수검사'!C43</f>
        <v>800</v>
      </c>
      <c r="D42" s="36">
        <f>'1. 소켓인수검사'!D43</f>
        <v>600</v>
      </c>
      <c r="E42" s="37"/>
      <c r="F42" s="36">
        <v>1</v>
      </c>
      <c r="G42" s="55">
        <f t="shared" si="4"/>
        <v>860</v>
      </c>
      <c r="H42" s="36">
        <v>2</v>
      </c>
      <c r="I42" s="55">
        <f t="shared" si="1"/>
        <v>600</v>
      </c>
      <c r="J42" s="36">
        <v>2</v>
      </c>
      <c r="K42" s="54"/>
    </row>
    <row r="43" spans="1:11">
      <c r="A43" s="80" t="str">
        <f>'1. 소켓인수검사'!A44</f>
        <v>36</v>
      </c>
      <c r="B43" s="57" t="s">
        <v>6</v>
      </c>
      <c r="C43" s="36">
        <f>'1. 소켓인수검사'!C44</f>
        <v>600</v>
      </c>
      <c r="D43" s="36">
        <f>'1. 소켓인수검사'!D44</f>
        <v>900</v>
      </c>
      <c r="E43" s="37"/>
      <c r="F43" s="36">
        <v>1</v>
      </c>
      <c r="G43" s="55">
        <f t="shared" ref="G43:G46" si="5">C43+60</f>
        <v>660</v>
      </c>
      <c r="H43" s="36">
        <v>2</v>
      </c>
      <c r="I43" s="55">
        <f t="shared" ref="I43:I46" si="6">D43</f>
        <v>900</v>
      </c>
      <c r="J43" s="36">
        <v>2</v>
      </c>
      <c r="K43" s="56"/>
    </row>
    <row r="44" spans="1:11">
      <c r="A44" s="80" t="str">
        <f>'1. 소켓인수검사'!A45</f>
        <v>37</v>
      </c>
      <c r="B44" s="57" t="s">
        <v>6</v>
      </c>
      <c r="C44" s="36">
        <f>'1. 소켓인수검사'!C45</f>
        <v>600</v>
      </c>
      <c r="D44" s="36">
        <f>'1. 소켓인수검사'!D45</f>
        <v>1000</v>
      </c>
      <c r="E44" s="37"/>
      <c r="F44" s="36">
        <v>1</v>
      </c>
      <c r="G44" s="55">
        <f t="shared" si="5"/>
        <v>660</v>
      </c>
      <c r="H44" s="36">
        <v>2</v>
      </c>
      <c r="I44" s="55">
        <f t="shared" si="6"/>
        <v>1000</v>
      </c>
      <c r="J44" s="36">
        <v>2</v>
      </c>
      <c r="K44" s="54"/>
    </row>
    <row r="45" spans="1:11">
      <c r="A45" s="80" t="str">
        <f>'1. 소켓인수검사'!A46</f>
        <v>38</v>
      </c>
      <c r="B45" s="57" t="s">
        <v>6</v>
      </c>
      <c r="C45" s="36">
        <f>'1. 소켓인수검사'!C46</f>
        <v>600</v>
      </c>
      <c r="D45" s="36">
        <f>'1. 소켓인수검사'!D46</f>
        <v>1000</v>
      </c>
      <c r="E45" s="37"/>
      <c r="F45" s="36">
        <v>1</v>
      </c>
      <c r="G45" s="55">
        <f t="shared" si="5"/>
        <v>660</v>
      </c>
      <c r="H45" s="36">
        <v>2</v>
      </c>
      <c r="I45" s="55">
        <f t="shared" si="6"/>
        <v>1000</v>
      </c>
      <c r="J45" s="36">
        <v>2</v>
      </c>
      <c r="K45" s="54"/>
    </row>
    <row r="46" spans="1:11">
      <c r="A46" s="80" t="str">
        <f>'1. 소켓인수검사'!A47</f>
        <v>39</v>
      </c>
      <c r="B46" s="57" t="s">
        <v>6</v>
      </c>
      <c r="C46" s="36">
        <f>'1. 소켓인수검사'!C47</f>
        <v>1000</v>
      </c>
      <c r="D46" s="36">
        <f>'1. 소켓인수검사'!D47</f>
        <v>550</v>
      </c>
      <c r="E46" s="37"/>
      <c r="F46" s="36">
        <v>1</v>
      </c>
      <c r="G46" s="55">
        <f t="shared" si="5"/>
        <v>1060</v>
      </c>
      <c r="H46" s="36">
        <v>2</v>
      </c>
      <c r="I46" s="55">
        <f t="shared" si="6"/>
        <v>550</v>
      </c>
      <c r="J46" s="36">
        <v>2</v>
      </c>
      <c r="K46" s="54"/>
    </row>
    <row r="47" spans="1:11">
      <c r="A47" s="1" t="s">
        <v>47</v>
      </c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</sheetData>
  <mergeCells count="17">
    <mergeCell ref="G6:H6"/>
    <mergeCell ref="I6:J6"/>
    <mergeCell ref="E1:F3"/>
    <mergeCell ref="G1:K3"/>
    <mergeCell ref="A47:C49"/>
    <mergeCell ref="D47:K49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  <mergeCell ref="D6:D7"/>
  </mergeCells>
  <phoneticPr fontId="26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54"/>
  <sheetViews>
    <sheetView zoomScaleNormal="100" zoomScaleSheetLayoutView="100" workbookViewId="0">
      <selection activeCell="E62" sqref="E62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"/>
      <c r="B1" s="1"/>
      <c r="C1" s="1"/>
      <c r="D1" s="1"/>
      <c r="E1" s="164" t="s">
        <v>68</v>
      </c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6"/>
    </row>
    <row r="2" spans="1:16" ht="16.5" customHeight="1">
      <c r="A2" s="1"/>
      <c r="B2" s="1"/>
      <c r="C2" s="1"/>
      <c r="D2" s="1"/>
      <c r="E2" s="167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9"/>
    </row>
    <row r="3" spans="1:16" ht="16.5" customHeight="1">
      <c r="A3" s="1"/>
      <c r="B3" s="1"/>
      <c r="C3" s="1"/>
      <c r="D3" s="1"/>
      <c r="E3" s="167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9"/>
    </row>
    <row r="4" spans="1:16" ht="16.5" customHeight="1">
      <c r="A4" s="1" t="s">
        <v>18</v>
      </c>
      <c r="B4" s="1"/>
      <c r="C4" s="173"/>
      <c r="D4" s="174"/>
      <c r="E4" s="170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2"/>
    </row>
    <row r="5" spans="1:16">
      <c r="A5" s="1" t="s">
        <v>27</v>
      </c>
      <c r="B5" s="1"/>
      <c r="C5" s="1"/>
      <c r="D5" s="1"/>
      <c r="E5" s="6" t="s">
        <v>33</v>
      </c>
      <c r="F5" s="1"/>
      <c r="G5" s="1"/>
      <c r="H5" s="1" t="s">
        <v>58</v>
      </c>
      <c r="I5" s="1"/>
      <c r="J5" s="1"/>
      <c r="K5" s="1" t="s">
        <v>54</v>
      </c>
      <c r="L5" s="1"/>
      <c r="M5" s="1"/>
      <c r="N5" s="175" t="str">
        <f>'1. 소켓인수검사'!R2</f>
        <v>26.06.11 웰스홈_신승에프엔티_에이치제이종합건설_조선대학교 감염병 전문병원</v>
      </c>
      <c r="O5" s="175"/>
      <c r="P5" s="175"/>
    </row>
    <row r="6" spans="1:16">
      <c r="A6" s="1"/>
      <c r="B6" s="1"/>
      <c r="C6" s="1"/>
      <c r="D6" s="1"/>
      <c r="E6" s="6" t="s">
        <v>30</v>
      </c>
      <c r="F6" s="1"/>
      <c r="G6" s="1"/>
      <c r="H6" s="1"/>
      <c r="I6" s="1"/>
      <c r="J6" s="1"/>
      <c r="K6" s="1"/>
      <c r="L6" s="1"/>
      <c r="M6" s="1"/>
      <c r="N6" s="175"/>
      <c r="O6" s="175"/>
      <c r="P6" s="175"/>
    </row>
    <row r="7" spans="1:16" ht="8.1" customHeight="1">
      <c r="A7" s="135"/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</row>
    <row r="8" spans="1:16">
      <c r="A8" s="176" t="s">
        <v>55</v>
      </c>
      <c r="B8" s="178" t="s">
        <v>4</v>
      </c>
      <c r="C8" s="178"/>
      <c r="D8" s="178" t="s">
        <v>29</v>
      </c>
      <c r="E8" s="178" t="s">
        <v>25</v>
      </c>
      <c r="F8" s="178" t="s">
        <v>59</v>
      </c>
      <c r="G8" s="178" t="s">
        <v>28</v>
      </c>
      <c r="H8" s="178"/>
      <c r="I8" s="178"/>
      <c r="J8" s="178"/>
      <c r="K8" s="178"/>
      <c r="L8" s="178"/>
      <c r="M8" s="178"/>
      <c r="N8" s="178"/>
      <c r="O8" s="178"/>
      <c r="P8" s="180" t="s">
        <v>2</v>
      </c>
    </row>
    <row r="9" spans="1:16" ht="16.5" customHeight="1">
      <c r="A9" s="177"/>
      <c r="B9" s="179" t="s">
        <v>62</v>
      </c>
      <c r="C9" s="179" t="s">
        <v>60</v>
      </c>
      <c r="D9" s="179"/>
      <c r="E9" s="179"/>
      <c r="F9" s="179"/>
      <c r="G9" s="179" t="s">
        <v>56</v>
      </c>
      <c r="H9" s="179" t="s">
        <v>62</v>
      </c>
      <c r="I9" s="179"/>
      <c r="J9" s="179" t="s">
        <v>12</v>
      </c>
      <c r="K9" s="179" t="s">
        <v>60</v>
      </c>
      <c r="L9" s="179"/>
      <c r="M9" s="179"/>
      <c r="N9" s="179"/>
      <c r="O9" s="179" t="s">
        <v>12</v>
      </c>
      <c r="P9" s="181"/>
    </row>
    <row r="10" spans="1:16">
      <c r="A10" s="177"/>
      <c r="B10" s="179"/>
      <c r="C10" s="179"/>
      <c r="D10" s="179"/>
      <c r="E10" s="179"/>
      <c r="F10" s="179"/>
      <c r="G10" s="179"/>
      <c r="H10" s="25" t="s">
        <v>4</v>
      </c>
      <c r="I10" s="25" t="s">
        <v>32</v>
      </c>
      <c r="J10" s="179"/>
      <c r="K10" s="179" t="s">
        <v>4</v>
      </c>
      <c r="L10" s="179"/>
      <c r="M10" s="179"/>
      <c r="N10" s="25" t="s">
        <v>32</v>
      </c>
      <c r="O10" s="179"/>
      <c r="P10" s="181"/>
    </row>
    <row r="11" spans="1:16">
      <c r="A11" s="24" t="str">
        <f>'1. 소켓인수검사'!A9</f>
        <v>01</v>
      </c>
      <c r="B11" s="26">
        <f>'1. 소켓인수검사'!C9</f>
        <v>200</v>
      </c>
      <c r="C11" s="26">
        <f>'1. 소켓인수검사'!D9</f>
        <v>250</v>
      </c>
      <c r="D11" s="27">
        <v>1</v>
      </c>
      <c r="E11" s="28"/>
      <c r="F11" s="27">
        <v>1.6</v>
      </c>
      <c r="G11" s="27"/>
      <c r="H11" s="27">
        <f>B11-1</f>
        <v>199</v>
      </c>
      <c r="I11" s="27">
        <f t="shared" ref="I11:I12" si="0">D11*4</f>
        <v>4</v>
      </c>
      <c r="J11" s="27"/>
      <c r="K11" s="182">
        <f t="shared" ref="K11:K12" si="1">C11-30</f>
        <v>220</v>
      </c>
      <c r="L11" s="182"/>
      <c r="M11" s="182"/>
      <c r="N11" s="27">
        <f t="shared" ref="N11:N12" si="2">D11*4</f>
        <v>4</v>
      </c>
      <c r="O11" s="27"/>
      <c r="P11" s="29"/>
    </row>
    <row r="12" spans="1:16">
      <c r="A12" s="24" t="str">
        <f>'1. 소켓인수검사'!A10</f>
        <v>02</v>
      </c>
      <c r="B12" s="26">
        <f>'1. 소켓인수검사'!C10</f>
        <v>250</v>
      </c>
      <c r="C12" s="26">
        <f>'1. 소켓인수검사'!D10</f>
        <v>200</v>
      </c>
      <c r="D12" s="27">
        <v>1</v>
      </c>
      <c r="E12" s="28"/>
      <c r="F12" s="27">
        <v>1.6</v>
      </c>
      <c r="G12" s="27"/>
      <c r="H12" s="27">
        <f t="shared" ref="H12" si="3">B12-1</f>
        <v>249</v>
      </c>
      <c r="I12" s="27">
        <f t="shared" si="0"/>
        <v>4</v>
      </c>
      <c r="J12" s="27"/>
      <c r="K12" s="182">
        <f t="shared" si="1"/>
        <v>170</v>
      </c>
      <c r="L12" s="182"/>
      <c r="M12" s="182"/>
      <c r="N12" s="27">
        <f t="shared" si="2"/>
        <v>4</v>
      </c>
      <c r="O12" s="27"/>
      <c r="P12" s="30"/>
    </row>
    <row r="13" spans="1:16">
      <c r="A13" s="24" t="str">
        <f>'1. 소켓인수검사'!A11</f>
        <v>03</v>
      </c>
      <c r="B13" s="26">
        <f>'1. 소켓인수검사'!C11</f>
        <v>250</v>
      </c>
      <c r="C13" s="26">
        <f>'1. 소켓인수검사'!D11</f>
        <v>200</v>
      </c>
      <c r="D13" s="27">
        <v>1</v>
      </c>
      <c r="E13" s="28"/>
      <c r="F13" s="27">
        <v>1.6</v>
      </c>
      <c r="G13" s="27"/>
      <c r="H13" s="27">
        <f t="shared" ref="H13:H49" si="4">B13-1</f>
        <v>249</v>
      </c>
      <c r="I13" s="27">
        <f t="shared" ref="I13:I49" si="5">D13*4</f>
        <v>4</v>
      </c>
      <c r="J13" s="27"/>
      <c r="K13" s="182">
        <f t="shared" ref="K13:K49" si="6">C13-30</f>
        <v>170</v>
      </c>
      <c r="L13" s="182"/>
      <c r="M13" s="182"/>
      <c r="N13" s="27">
        <f t="shared" ref="N13:N49" si="7">D13*4</f>
        <v>4</v>
      </c>
      <c r="O13" s="27"/>
      <c r="P13" s="30"/>
    </row>
    <row r="14" spans="1:16">
      <c r="A14" s="24" t="str">
        <f>'1. 소켓인수검사'!A12</f>
        <v>04</v>
      </c>
      <c r="B14" s="26">
        <f>'1. 소켓인수검사'!C12</f>
        <v>250</v>
      </c>
      <c r="C14" s="26">
        <f>'1. 소켓인수검사'!D12</f>
        <v>200</v>
      </c>
      <c r="D14" s="27">
        <v>1</v>
      </c>
      <c r="E14" s="28"/>
      <c r="F14" s="27">
        <v>1.6</v>
      </c>
      <c r="G14" s="27"/>
      <c r="H14" s="27">
        <f t="shared" si="4"/>
        <v>249</v>
      </c>
      <c r="I14" s="27">
        <f t="shared" si="5"/>
        <v>4</v>
      </c>
      <c r="J14" s="27"/>
      <c r="K14" s="182">
        <f t="shared" si="6"/>
        <v>170</v>
      </c>
      <c r="L14" s="182"/>
      <c r="M14" s="182"/>
      <c r="N14" s="27">
        <f t="shared" si="7"/>
        <v>4</v>
      </c>
      <c r="O14" s="27"/>
      <c r="P14" s="31"/>
    </row>
    <row r="15" spans="1:16">
      <c r="A15" s="24" t="str">
        <f>'1. 소켓인수검사'!A13</f>
        <v>05</v>
      </c>
      <c r="B15" s="26">
        <f>'1. 소켓인수검사'!C13</f>
        <v>250</v>
      </c>
      <c r="C15" s="26">
        <f>'1. 소켓인수검사'!D13</f>
        <v>200</v>
      </c>
      <c r="D15" s="27">
        <v>1</v>
      </c>
      <c r="E15" s="28"/>
      <c r="F15" s="27">
        <v>1.6</v>
      </c>
      <c r="G15" s="27"/>
      <c r="H15" s="27">
        <f t="shared" si="4"/>
        <v>249</v>
      </c>
      <c r="I15" s="27">
        <f t="shared" si="5"/>
        <v>4</v>
      </c>
      <c r="J15" s="27"/>
      <c r="K15" s="182">
        <f t="shared" si="6"/>
        <v>170</v>
      </c>
      <c r="L15" s="182"/>
      <c r="M15" s="182"/>
      <c r="N15" s="27">
        <f t="shared" si="7"/>
        <v>4</v>
      </c>
      <c r="O15" s="27"/>
      <c r="P15" s="31"/>
    </row>
    <row r="16" spans="1:16">
      <c r="A16" s="24" t="str">
        <f>'1. 소켓인수검사'!A14</f>
        <v>06</v>
      </c>
      <c r="B16" s="26">
        <f>'1. 소켓인수검사'!C14</f>
        <v>250</v>
      </c>
      <c r="C16" s="26">
        <f>'1. 소켓인수검사'!D14</f>
        <v>250</v>
      </c>
      <c r="D16" s="27">
        <v>1</v>
      </c>
      <c r="E16" s="28"/>
      <c r="F16" s="27">
        <v>1.6</v>
      </c>
      <c r="G16" s="27"/>
      <c r="H16" s="27">
        <f t="shared" si="4"/>
        <v>249</v>
      </c>
      <c r="I16" s="27">
        <f t="shared" si="5"/>
        <v>4</v>
      </c>
      <c r="J16" s="27"/>
      <c r="K16" s="182">
        <f t="shared" si="6"/>
        <v>220</v>
      </c>
      <c r="L16" s="182"/>
      <c r="M16" s="182"/>
      <c r="N16" s="27">
        <f t="shared" si="7"/>
        <v>4</v>
      </c>
      <c r="O16" s="27"/>
      <c r="P16" s="31"/>
    </row>
    <row r="17" spans="1:16">
      <c r="A17" s="24" t="str">
        <f>'1. 소켓인수검사'!A15</f>
        <v>07</v>
      </c>
      <c r="B17" s="26">
        <f>'1. 소켓인수검사'!C15</f>
        <v>250</v>
      </c>
      <c r="C17" s="26">
        <f>'1. 소켓인수검사'!D15</f>
        <v>250</v>
      </c>
      <c r="D17" s="27">
        <v>1</v>
      </c>
      <c r="E17" s="28"/>
      <c r="F17" s="27">
        <v>1.6</v>
      </c>
      <c r="G17" s="27"/>
      <c r="H17" s="27">
        <f t="shared" si="4"/>
        <v>249</v>
      </c>
      <c r="I17" s="27">
        <f t="shared" si="5"/>
        <v>4</v>
      </c>
      <c r="J17" s="27"/>
      <c r="K17" s="182">
        <f t="shared" si="6"/>
        <v>220</v>
      </c>
      <c r="L17" s="182"/>
      <c r="M17" s="182"/>
      <c r="N17" s="27">
        <f t="shared" si="7"/>
        <v>4</v>
      </c>
      <c r="O17" s="27"/>
      <c r="P17" s="31"/>
    </row>
    <row r="18" spans="1:16">
      <c r="A18" s="24" t="str">
        <f>'1. 소켓인수검사'!A16</f>
        <v>08</v>
      </c>
      <c r="B18" s="26">
        <f>'1. 소켓인수검사'!C16</f>
        <v>250</v>
      </c>
      <c r="C18" s="26">
        <f>'1. 소켓인수검사'!D16</f>
        <v>250</v>
      </c>
      <c r="D18" s="27">
        <v>1</v>
      </c>
      <c r="E18" s="28"/>
      <c r="F18" s="27">
        <v>1.6</v>
      </c>
      <c r="G18" s="27"/>
      <c r="H18" s="27">
        <f t="shared" si="4"/>
        <v>249</v>
      </c>
      <c r="I18" s="27">
        <f t="shared" si="5"/>
        <v>4</v>
      </c>
      <c r="J18" s="27"/>
      <c r="K18" s="182">
        <f t="shared" si="6"/>
        <v>220</v>
      </c>
      <c r="L18" s="182"/>
      <c r="M18" s="182"/>
      <c r="N18" s="27">
        <f t="shared" si="7"/>
        <v>4</v>
      </c>
      <c r="O18" s="27"/>
      <c r="P18" s="31"/>
    </row>
    <row r="19" spans="1:16">
      <c r="A19" s="24" t="str">
        <f>'1. 소켓인수검사'!A17</f>
        <v>09</v>
      </c>
      <c r="B19" s="26">
        <f>'1. 소켓인수검사'!C17</f>
        <v>250</v>
      </c>
      <c r="C19" s="26">
        <f>'1. 소켓인수검사'!D17</f>
        <v>250</v>
      </c>
      <c r="D19" s="27">
        <v>1</v>
      </c>
      <c r="E19" s="28"/>
      <c r="F19" s="27">
        <v>1.6</v>
      </c>
      <c r="G19" s="27"/>
      <c r="H19" s="27">
        <f t="shared" si="4"/>
        <v>249</v>
      </c>
      <c r="I19" s="27">
        <f t="shared" si="5"/>
        <v>4</v>
      </c>
      <c r="J19" s="27"/>
      <c r="K19" s="182">
        <f t="shared" si="6"/>
        <v>220</v>
      </c>
      <c r="L19" s="182"/>
      <c r="M19" s="182"/>
      <c r="N19" s="27">
        <f t="shared" si="7"/>
        <v>4</v>
      </c>
      <c r="O19" s="27"/>
      <c r="P19" s="31"/>
    </row>
    <row r="20" spans="1:16">
      <c r="A20" s="24" t="str">
        <f>'1. 소켓인수검사'!A18</f>
        <v>10</v>
      </c>
      <c r="B20" s="26">
        <f>'1. 소켓인수검사'!C18</f>
        <v>250</v>
      </c>
      <c r="C20" s="26">
        <f>'1. 소켓인수검사'!D18</f>
        <v>350</v>
      </c>
      <c r="D20" s="27">
        <v>1</v>
      </c>
      <c r="E20" s="28"/>
      <c r="F20" s="27">
        <v>1.6</v>
      </c>
      <c r="G20" s="27"/>
      <c r="H20" s="27">
        <f t="shared" si="4"/>
        <v>249</v>
      </c>
      <c r="I20" s="27">
        <f t="shared" si="5"/>
        <v>4</v>
      </c>
      <c r="J20" s="27"/>
      <c r="K20" s="182">
        <f t="shared" si="6"/>
        <v>320</v>
      </c>
      <c r="L20" s="182"/>
      <c r="M20" s="182"/>
      <c r="N20" s="27">
        <f t="shared" si="7"/>
        <v>4</v>
      </c>
      <c r="O20" s="27"/>
      <c r="P20" s="32"/>
    </row>
    <row r="21" spans="1:16">
      <c r="A21" s="24" t="str">
        <f>'1. 소켓인수검사'!A19</f>
        <v>11</v>
      </c>
      <c r="B21" s="26">
        <f>'1. 소켓인수검사'!C19</f>
        <v>300</v>
      </c>
      <c r="C21" s="26">
        <f>'1. 소켓인수검사'!D19</f>
        <v>250</v>
      </c>
      <c r="D21" s="27">
        <v>1</v>
      </c>
      <c r="E21" s="28"/>
      <c r="F21" s="27">
        <v>1.6</v>
      </c>
      <c r="G21" s="27"/>
      <c r="H21" s="27">
        <f t="shared" si="4"/>
        <v>299</v>
      </c>
      <c r="I21" s="27">
        <f t="shared" si="5"/>
        <v>4</v>
      </c>
      <c r="J21" s="27"/>
      <c r="K21" s="182">
        <f t="shared" si="6"/>
        <v>220</v>
      </c>
      <c r="L21" s="182"/>
      <c r="M21" s="182"/>
      <c r="N21" s="27">
        <f t="shared" si="7"/>
        <v>4</v>
      </c>
      <c r="O21" s="27"/>
      <c r="P21" s="32"/>
    </row>
    <row r="22" spans="1:16">
      <c r="A22" s="24" t="str">
        <f>'1. 소켓인수검사'!A20</f>
        <v>12</v>
      </c>
      <c r="B22" s="26">
        <f>'1. 소켓인수검사'!C20</f>
        <v>350</v>
      </c>
      <c r="C22" s="26">
        <f>'1. 소켓인수검사'!D20</f>
        <v>250</v>
      </c>
      <c r="D22" s="27">
        <v>1</v>
      </c>
      <c r="E22" s="28"/>
      <c r="F22" s="27">
        <v>1.6</v>
      </c>
      <c r="G22" s="27"/>
      <c r="H22" s="27">
        <f t="shared" si="4"/>
        <v>349</v>
      </c>
      <c r="I22" s="27">
        <f t="shared" si="5"/>
        <v>4</v>
      </c>
      <c r="J22" s="27"/>
      <c r="K22" s="182">
        <f t="shared" si="6"/>
        <v>220</v>
      </c>
      <c r="L22" s="182"/>
      <c r="M22" s="182"/>
      <c r="N22" s="27">
        <f t="shared" si="7"/>
        <v>4</v>
      </c>
      <c r="O22" s="27"/>
      <c r="P22" s="32"/>
    </row>
    <row r="23" spans="1:16">
      <c r="A23" s="24" t="str">
        <f>'1. 소켓인수검사'!A21</f>
        <v>13</v>
      </c>
      <c r="B23" s="26">
        <f>'1. 소켓인수검사'!C21</f>
        <v>350</v>
      </c>
      <c r="C23" s="26">
        <f>'1. 소켓인수검사'!D21</f>
        <v>250</v>
      </c>
      <c r="D23" s="27">
        <v>1</v>
      </c>
      <c r="E23" s="28"/>
      <c r="F23" s="27">
        <v>1.6</v>
      </c>
      <c r="G23" s="27"/>
      <c r="H23" s="27">
        <f t="shared" si="4"/>
        <v>349</v>
      </c>
      <c r="I23" s="27">
        <f t="shared" si="5"/>
        <v>4</v>
      </c>
      <c r="J23" s="27"/>
      <c r="K23" s="182">
        <f t="shared" si="6"/>
        <v>220</v>
      </c>
      <c r="L23" s="182"/>
      <c r="M23" s="182"/>
      <c r="N23" s="27">
        <f t="shared" si="7"/>
        <v>4</v>
      </c>
      <c r="O23" s="27"/>
      <c r="P23" s="32"/>
    </row>
    <row r="24" spans="1:16">
      <c r="A24" s="24" t="str">
        <f>'1. 소켓인수검사'!A22</f>
        <v>14</v>
      </c>
      <c r="B24" s="26">
        <f>'1. 소켓인수검사'!C22</f>
        <v>400</v>
      </c>
      <c r="C24" s="26">
        <f>'1. 소켓인수검사'!D22</f>
        <v>250</v>
      </c>
      <c r="D24" s="27">
        <v>1</v>
      </c>
      <c r="E24" s="28"/>
      <c r="F24" s="27">
        <v>1.6</v>
      </c>
      <c r="G24" s="27"/>
      <c r="H24" s="27">
        <f t="shared" si="4"/>
        <v>399</v>
      </c>
      <c r="I24" s="27">
        <f t="shared" si="5"/>
        <v>4</v>
      </c>
      <c r="J24" s="27"/>
      <c r="K24" s="182">
        <f t="shared" si="6"/>
        <v>220</v>
      </c>
      <c r="L24" s="182"/>
      <c r="M24" s="182"/>
      <c r="N24" s="27">
        <f t="shared" si="7"/>
        <v>4</v>
      </c>
      <c r="O24" s="27"/>
      <c r="P24" s="32"/>
    </row>
    <row r="25" spans="1:16">
      <c r="A25" s="24" t="str">
        <f>'1. 소켓인수검사'!A23</f>
        <v>15</v>
      </c>
      <c r="B25" s="26">
        <f>'1. 소켓인수검사'!C23</f>
        <v>450</v>
      </c>
      <c r="C25" s="26">
        <f>'1. 소켓인수검사'!D23</f>
        <v>250</v>
      </c>
      <c r="D25" s="27">
        <v>1</v>
      </c>
      <c r="E25" s="28"/>
      <c r="F25" s="27">
        <v>1.6</v>
      </c>
      <c r="G25" s="27"/>
      <c r="H25" s="27">
        <f t="shared" si="4"/>
        <v>449</v>
      </c>
      <c r="I25" s="27">
        <f t="shared" si="5"/>
        <v>4</v>
      </c>
      <c r="J25" s="27"/>
      <c r="K25" s="182">
        <f t="shared" si="6"/>
        <v>220</v>
      </c>
      <c r="L25" s="182"/>
      <c r="M25" s="182"/>
      <c r="N25" s="27">
        <f t="shared" si="7"/>
        <v>4</v>
      </c>
      <c r="O25" s="27"/>
      <c r="P25" s="32"/>
    </row>
    <row r="26" spans="1:16">
      <c r="A26" s="24" t="str">
        <f>'1. 소켓인수검사'!A24</f>
        <v>16</v>
      </c>
      <c r="B26" s="26">
        <f>'1. 소켓인수검사'!C24</f>
        <v>450</v>
      </c>
      <c r="C26" s="26">
        <f>'1. 소켓인수검사'!D24</f>
        <v>300</v>
      </c>
      <c r="D26" s="27">
        <v>1</v>
      </c>
      <c r="E26" s="28"/>
      <c r="F26" s="27">
        <v>1.6</v>
      </c>
      <c r="G26" s="27"/>
      <c r="H26" s="27">
        <f t="shared" si="4"/>
        <v>449</v>
      </c>
      <c r="I26" s="27">
        <f t="shared" si="5"/>
        <v>4</v>
      </c>
      <c r="J26" s="27"/>
      <c r="K26" s="182">
        <f t="shared" si="6"/>
        <v>270</v>
      </c>
      <c r="L26" s="182"/>
      <c r="M26" s="182"/>
      <c r="N26" s="27">
        <f t="shared" si="7"/>
        <v>4</v>
      </c>
      <c r="O26" s="27"/>
      <c r="P26" s="32"/>
    </row>
    <row r="27" spans="1:16">
      <c r="A27" s="24" t="str">
        <f>'1. 소켓인수검사'!A25</f>
        <v>17</v>
      </c>
      <c r="B27" s="26">
        <f>'1. 소켓인수검사'!C25</f>
        <v>450</v>
      </c>
      <c r="C27" s="26">
        <f>'1. 소켓인수검사'!D25</f>
        <v>300</v>
      </c>
      <c r="D27" s="27">
        <v>1</v>
      </c>
      <c r="E27" s="28"/>
      <c r="F27" s="27">
        <v>1.6</v>
      </c>
      <c r="G27" s="27"/>
      <c r="H27" s="27">
        <f t="shared" si="4"/>
        <v>449</v>
      </c>
      <c r="I27" s="27">
        <f t="shared" si="5"/>
        <v>4</v>
      </c>
      <c r="J27" s="27"/>
      <c r="K27" s="182">
        <f t="shared" si="6"/>
        <v>270</v>
      </c>
      <c r="L27" s="182"/>
      <c r="M27" s="182"/>
      <c r="N27" s="27">
        <f t="shared" si="7"/>
        <v>4</v>
      </c>
      <c r="O27" s="27"/>
      <c r="P27" s="31"/>
    </row>
    <row r="28" spans="1:16">
      <c r="A28" s="24" t="str">
        <f>'1. 소켓인수검사'!A26</f>
        <v>18</v>
      </c>
      <c r="B28" s="26">
        <f>'1. 소켓인수검사'!C26</f>
        <v>500</v>
      </c>
      <c r="C28" s="26">
        <f>'1. 소켓인수검사'!D26</f>
        <v>400</v>
      </c>
      <c r="D28" s="27">
        <v>1</v>
      </c>
      <c r="E28" s="28"/>
      <c r="F28" s="27">
        <v>1.6</v>
      </c>
      <c r="G28" s="27"/>
      <c r="H28" s="27">
        <f t="shared" si="4"/>
        <v>499</v>
      </c>
      <c r="I28" s="27">
        <f t="shared" si="5"/>
        <v>4</v>
      </c>
      <c r="J28" s="27"/>
      <c r="K28" s="182">
        <f t="shared" si="6"/>
        <v>370</v>
      </c>
      <c r="L28" s="182"/>
      <c r="M28" s="182"/>
      <c r="N28" s="27">
        <f t="shared" si="7"/>
        <v>4</v>
      </c>
      <c r="O28" s="27"/>
      <c r="P28" s="31"/>
    </row>
    <row r="29" spans="1:16">
      <c r="A29" s="24" t="str">
        <f>'1. 소켓인수검사'!A27</f>
        <v>19</v>
      </c>
      <c r="B29" s="26">
        <f>'1. 소켓인수검사'!C27</f>
        <v>550</v>
      </c>
      <c r="C29" s="26">
        <f>'1. 소켓인수검사'!D27</f>
        <v>350</v>
      </c>
      <c r="D29" s="27">
        <v>1</v>
      </c>
      <c r="E29" s="28"/>
      <c r="F29" s="27">
        <v>1.6</v>
      </c>
      <c r="G29" s="27"/>
      <c r="H29" s="27">
        <f t="shared" si="4"/>
        <v>549</v>
      </c>
      <c r="I29" s="27">
        <f t="shared" si="5"/>
        <v>4</v>
      </c>
      <c r="J29" s="27"/>
      <c r="K29" s="182">
        <f t="shared" si="6"/>
        <v>320</v>
      </c>
      <c r="L29" s="182"/>
      <c r="M29" s="182"/>
      <c r="N29" s="27">
        <f t="shared" si="7"/>
        <v>4</v>
      </c>
      <c r="O29" s="27"/>
      <c r="P29" s="31"/>
    </row>
    <row r="30" spans="1:16">
      <c r="A30" s="24" t="str">
        <f>'1. 소켓인수검사'!A28</f>
        <v>20</v>
      </c>
      <c r="B30" s="26">
        <f>'1. 소켓인수검사'!C28</f>
        <v>600</v>
      </c>
      <c r="C30" s="26">
        <f>'1. 소켓인수검사'!D28</f>
        <v>400</v>
      </c>
      <c r="D30" s="27">
        <v>1</v>
      </c>
      <c r="E30" s="28"/>
      <c r="F30" s="27">
        <v>1.6</v>
      </c>
      <c r="G30" s="27"/>
      <c r="H30" s="27">
        <f t="shared" si="4"/>
        <v>599</v>
      </c>
      <c r="I30" s="27">
        <f t="shared" si="5"/>
        <v>4</v>
      </c>
      <c r="J30" s="27"/>
      <c r="K30" s="182">
        <f t="shared" si="6"/>
        <v>370</v>
      </c>
      <c r="L30" s="182"/>
      <c r="M30" s="182"/>
      <c r="N30" s="27">
        <f t="shared" si="7"/>
        <v>4</v>
      </c>
      <c r="O30" s="27"/>
      <c r="P30" s="31"/>
    </row>
    <row r="31" spans="1:16">
      <c r="A31" s="24" t="str">
        <f>'1. 소켓인수검사'!A29</f>
        <v>21</v>
      </c>
      <c r="B31" s="26">
        <f>'1. 소켓인수검사'!C29</f>
        <v>600</v>
      </c>
      <c r="C31" s="26">
        <f>'1. 소켓인수검사'!D29</f>
        <v>450</v>
      </c>
      <c r="D31" s="27">
        <v>1</v>
      </c>
      <c r="E31" s="28"/>
      <c r="F31" s="27">
        <v>1.6</v>
      </c>
      <c r="G31" s="27"/>
      <c r="H31" s="27">
        <f t="shared" si="4"/>
        <v>599</v>
      </c>
      <c r="I31" s="27">
        <f t="shared" si="5"/>
        <v>4</v>
      </c>
      <c r="J31" s="27"/>
      <c r="K31" s="182">
        <f t="shared" si="6"/>
        <v>420</v>
      </c>
      <c r="L31" s="182"/>
      <c r="M31" s="182"/>
      <c r="N31" s="27">
        <f t="shared" si="7"/>
        <v>4</v>
      </c>
      <c r="O31" s="27"/>
      <c r="P31" s="33"/>
    </row>
    <row r="32" spans="1:16">
      <c r="A32" s="24" t="str">
        <f>'1. 소켓인수검사'!A30</f>
        <v>22</v>
      </c>
      <c r="B32" s="26">
        <f>'1. 소켓인수검사'!C30</f>
        <v>600</v>
      </c>
      <c r="C32" s="26">
        <f>'1. 소켓인수검사'!D30</f>
        <v>550</v>
      </c>
      <c r="D32" s="27">
        <v>1</v>
      </c>
      <c r="E32" s="28"/>
      <c r="F32" s="27">
        <v>1.6</v>
      </c>
      <c r="G32" s="27"/>
      <c r="H32" s="27">
        <f t="shared" si="4"/>
        <v>599</v>
      </c>
      <c r="I32" s="27">
        <f t="shared" si="5"/>
        <v>4</v>
      </c>
      <c r="J32" s="27"/>
      <c r="K32" s="182">
        <f t="shared" si="6"/>
        <v>520</v>
      </c>
      <c r="L32" s="182"/>
      <c r="M32" s="182"/>
      <c r="N32" s="27">
        <f t="shared" si="7"/>
        <v>4</v>
      </c>
      <c r="O32" s="27"/>
      <c r="P32" s="33"/>
    </row>
    <row r="33" spans="1:16">
      <c r="A33" s="24" t="str">
        <f>'1. 소켓인수검사'!A31</f>
        <v>23</v>
      </c>
      <c r="B33" s="26">
        <f>'1. 소켓인수검사'!C31</f>
        <v>600</v>
      </c>
      <c r="C33" s="26">
        <f>'1. 소켓인수검사'!D31</f>
        <v>600</v>
      </c>
      <c r="D33" s="27">
        <v>1</v>
      </c>
      <c r="E33" s="28"/>
      <c r="F33" s="27">
        <v>1.6</v>
      </c>
      <c r="G33" s="27"/>
      <c r="H33" s="27">
        <f t="shared" si="4"/>
        <v>599</v>
      </c>
      <c r="I33" s="27">
        <f t="shared" si="5"/>
        <v>4</v>
      </c>
      <c r="J33" s="27"/>
      <c r="K33" s="182">
        <f t="shared" si="6"/>
        <v>570</v>
      </c>
      <c r="L33" s="182"/>
      <c r="M33" s="182"/>
      <c r="N33" s="27">
        <f t="shared" si="7"/>
        <v>4</v>
      </c>
      <c r="O33" s="27"/>
      <c r="P33" s="33"/>
    </row>
    <row r="34" spans="1:16">
      <c r="A34" s="24" t="str">
        <f>'1. 소켓인수검사'!A32</f>
        <v>24</v>
      </c>
      <c r="B34" s="26">
        <f>'1. 소켓인수검사'!C32</f>
        <v>600</v>
      </c>
      <c r="C34" s="26">
        <f>'1. 소켓인수검사'!D32</f>
        <v>600</v>
      </c>
      <c r="D34" s="27">
        <v>1</v>
      </c>
      <c r="E34" s="28"/>
      <c r="F34" s="27">
        <v>1.6</v>
      </c>
      <c r="G34" s="27"/>
      <c r="H34" s="27">
        <f t="shared" si="4"/>
        <v>599</v>
      </c>
      <c r="I34" s="27">
        <f t="shared" si="5"/>
        <v>4</v>
      </c>
      <c r="J34" s="27"/>
      <c r="K34" s="182">
        <f t="shared" si="6"/>
        <v>570</v>
      </c>
      <c r="L34" s="182"/>
      <c r="M34" s="182"/>
      <c r="N34" s="27">
        <f t="shared" si="7"/>
        <v>4</v>
      </c>
      <c r="O34" s="27"/>
      <c r="P34" s="33"/>
    </row>
    <row r="35" spans="1:16">
      <c r="A35" s="24" t="str">
        <f>'1. 소켓인수검사'!A33</f>
        <v>25</v>
      </c>
      <c r="B35" s="26">
        <f>'1. 소켓인수검사'!C33</f>
        <v>650</v>
      </c>
      <c r="C35" s="26">
        <f>'1. 소켓인수검사'!D33</f>
        <v>350</v>
      </c>
      <c r="D35" s="27">
        <v>1</v>
      </c>
      <c r="E35" s="28"/>
      <c r="F35" s="27">
        <v>1.6</v>
      </c>
      <c r="G35" s="27"/>
      <c r="H35" s="27">
        <f t="shared" si="4"/>
        <v>649</v>
      </c>
      <c r="I35" s="27">
        <f t="shared" si="5"/>
        <v>4</v>
      </c>
      <c r="J35" s="27"/>
      <c r="K35" s="182">
        <f t="shared" si="6"/>
        <v>320</v>
      </c>
      <c r="L35" s="182"/>
      <c r="M35" s="182"/>
      <c r="N35" s="27">
        <f t="shared" si="7"/>
        <v>4</v>
      </c>
      <c r="O35" s="27"/>
      <c r="P35" s="33"/>
    </row>
    <row r="36" spans="1:16" ht="16.5" customHeight="1">
      <c r="A36" s="24" t="str">
        <f>'1. 소켓인수검사'!A34</f>
        <v>26</v>
      </c>
      <c r="B36" s="26">
        <f>'1. 소켓인수검사'!C34</f>
        <v>650</v>
      </c>
      <c r="C36" s="26">
        <f>'1. 소켓인수검사'!D34</f>
        <v>400</v>
      </c>
      <c r="D36" s="27">
        <v>1</v>
      </c>
      <c r="E36" s="28"/>
      <c r="F36" s="27">
        <v>1.6</v>
      </c>
      <c r="G36" s="27"/>
      <c r="H36" s="27">
        <f t="shared" si="4"/>
        <v>649</v>
      </c>
      <c r="I36" s="27">
        <f t="shared" si="5"/>
        <v>4</v>
      </c>
      <c r="J36" s="27"/>
      <c r="K36" s="182">
        <f t="shared" si="6"/>
        <v>370</v>
      </c>
      <c r="L36" s="182"/>
      <c r="M36" s="182"/>
      <c r="N36" s="27">
        <f t="shared" si="7"/>
        <v>4</v>
      </c>
      <c r="O36" s="27"/>
      <c r="P36" s="33"/>
    </row>
    <row r="37" spans="1:16">
      <c r="A37" s="24" t="str">
        <f>'1. 소켓인수검사'!A35</f>
        <v>27</v>
      </c>
      <c r="B37" s="26">
        <f>'1. 소켓인수검사'!C35</f>
        <v>650</v>
      </c>
      <c r="C37" s="26">
        <f>'1. 소켓인수검사'!D35</f>
        <v>450</v>
      </c>
      <c r="D37" s="27">
        <v>1</v>
      </c>
      <c r="E37" s="28"/>
      <c r="F37" s="27">
        <v>1.6</v>
      </c>
      <c r="G37" s="27"/>
      <c r="H37" s="27">
        <f t="shared" si="4"/>
        <v>649</v>
      </c>
      <c r="I37" s="27">
        <f t="shared" si="5"/>
        <v>4</v>
      </c>
      <c r="J37" s="27"/>
      <c r="K37" s="182">
        <f t="shared" si="6"/>
        <v>420</v>
      </c>
      <c r="L37" s="182"/>
      <c r="M37" s="182"/>
      <c r="N37" s="27">
        <f t="shared" si="7"/>
        <v>4</v>
      </c>
      <c r="O37" s="27"/>
      <c r="P37" s="33"/>
    </row>
    <row r="38" spans="1:16">
      <c r="A38" s="24" t="str">
        <f>'1. 소켓인수검사'!A36</f>
        <v>28</v>
      </c>
      <c r="B38" s="26">
        <f>'1. 소켓인수검사'!C36</f>
        <v>700</v>
      </c>
      <c r="C38" s="26">
        <f>'1. 소켓인수검사'!D36</f>
        <v>650</v>
      </c>
      <c r="D38" s="27">
        <v>1</v>
      </c>
      <c r="E38" s="28"/>
      <c r="F38" s="27">
        <v>1.6</v>
      </c>
      <c r="G38" s="27"/>
      <c r="H38" s="27">
        <f t="shared" si="4"/>
        <v>699</v>
      </c>
      <c r="I38" s="27">
        <f t="shared" si="5"/>
        <v>4</v>
      </c>
      <c r="J38" s="27"/>
      <c r="K38" s="182">
        <f t="shared" si="6"/>
        <v>620</v>
      </c>
      <c r="L38" s="182"/>
      <c r="M38" s="182"/>
      <c r="N38" s="27">
        <f t="shared" si="7"/>
        <v>4</v>
      </c>
      <c r="O38" s="27"/>
      <c r="P38" s="33"/>
    </row>
    <row r="39" spans="1:16">
      <c r="A39" s="24" t="str">
        <f>'1. 소켓인수검사'!A37</f>
        <v>29</v>
      </c>
      <c r="B39" s="26">
        <f>'1. 소켓인수검사'!C37</f>
        <v>750</v>
      </c>
      <c r="C39" s="26">
        <f>'1. 소켓인수검사'!D37</f>
        <v>550</v>
      </c>
      <c r="D39" s="27">
        <v>1</v>
      </c>
      <c r="E39" s="28"/>
      <c r="F39" s="27">
        <v>1.6</v>
      </c>
      <c r="G39" s="27"/>
      <c r="H39" s="27">
        <f t="shared" si="4"/>
        <v>749</v>
      </c>
      <c r="I39" s="27">
        <f t="shared" si="5"/>
        <v>4</v>
      </c>
      <c r="J39" s="27"/>
      <c r="K39" s="182">
        <f t="shared" si="6"/>
        <v>520</v>
      </c>
      <c r="L39" s="182"/>
      <c r="M39" s="182"/>
      <c r="N39" s="27">
        <f t="shared" si="7"/>
        <v>4</v>
      </c>
      <c r="O39" s="27"/>
      <c r="P39" s="33"/>
    </row>
    <row r="40" spans="1:16">
      <c r="A40" s="24" t="str">
        <f>'1. 소켓인수검사'!A38</f>
        <v>30</v>
      </c>
      <c r="B40" s="26">
        <f>'1. 소켓인수검사'!C38</f>
        <v>750</v>
      </c>
      <c r="C40" s="26">
        <f>'1. 소켓인수검사'!D38</f>
        <v>550</v>
      </c>
      <c r="D40" s="27">
        <v>1</v>
      </c>
      <c r="E40" s="28"/>
      <c r="F40" s="27">
        <v>1.6</v>
      </c>
      <c r="G40" s="27"/>
      <c r="H40" s="27">
        <f t="shared" si="4"/>
        <v>749</v>
      </c>
      <c r="I40" s="27">
        <f t="shared" si="5"/>
        <v>4</v>
      </c>
      <c r="J40" s="27"/>
      <c r="K40" s="182">
        <f t="shared" si="6"/>
        <v>520</v>
      </c>
      <c r="L40" s="182"/>
      <c r="M40" s="182"/>
      <c r="N40" s="27">
        <f t="shared" si="7"/>
        <v>4</v>
      </c>
      <c r="O40" s="27"/>
      <c r="P40" s="33"/>
    </row>
    <row r="41" spans="1:16">
      <c r="A41" s="24" t="str">
        <f>'1. 소켓인수검사'!A39</f>
        <v>31</v>
      </c>
      <c r="B41" s="26">
        <f>'1. 소켓인수검사'!C39</f>
        <v>800</v>
      </c>
      <c r="C41" s="26">
        <f>'1. 소켓인수검사'!D39</f>
        <v>350</v>
      </c>
      <c r="D41" s="27">
        <v>1</v>
      </c>
      <c r="E41" s="28"/>
      <c r="F41" s="27">
        <v>1.6</v>
      </c>
      <c r="G41" s="27"/>
      <c r="H41" s="27">
        <f t="shared" si="4"/>
        <v>799</v>
      </c>
      <c r="I41" s="27">
        <f t="shared" si="5"/>
        <v>4</v>
      </c>
      <c r="J41" s="27"/>
      <c r="K41" s="182">
        <f t="shared" si="6"/>
        <v>320</v>
      </c>
      <c r="L41" s="182"/>
      <c r="M41" s="182"/>
      <c r="N41" s="27">
        <f t="shared" si="7"/>
        <v>4</v>
      </c>
      <c r="O41" s="27"/>
      <c r="P41" s="33"/>
    </row>
    <row r="42" spans="1:16">
      <c r="A42" s="24" t="str">
        <f>'1. 소켓인수검사'!A40</f>
        <v>32</v>
      </c>
      <c r="B42" s="26">
        <f>'1. 소켓인수검사'!C40</f>
        <v>800</v>
      </c>
      <c r="C42" s="26">
        <f>'1. 소켓인수검사'!D40</f>
        <v>550</v>
      </c>
      <c r="D42" s="27">
        <v>1</v>
      </c>
      <c r="E42" s="28"/>
      <c r="F42" s="27">
        <v>1.6</v>
      </c>
      <c r="G42" s="27"/>
      <c r="H42" s="27">
        <f t="shared" si="4"/>
        <v>799</v>
      </c>
      <c r="I42" s="27">
        <f t="shared" si="5"/>
        <v>4</v>
      </c>
      <c r="J42" s="27"/>
      <c r="K42" s="182">
        <f t="shared" si="6"/>
        <v>520</v>
      </c>
      <c r="L42" s="182"/>
      <c r="M42" s="182"/>
      <c r="N42" s="27">
        <f t="shared" si="7"/>
        <v>4</v>
      </c>
      <c r="O42" s="27"/>
      <c r="P42" s="33"/>
    </row>
    <row r="43" spans="1:16">
      <c r="A43" s="24" t="str">
        <f>'1. 소켓인수검사'!A41</f>
        <v>33</v>
      </c>
      <c r="B43" s="26">
        <f>'1. 소켓인수검사'!C41</f>
        <v>800</v>
      </c>
      <c r="C43" s="26">
        <f>'1. 소켓인수검사'!D41</f>
        <v>600</v>
      </c>
      <c r="D43" s="27">
        <v>1</v>
      </c>
      <c r="E43" s="28"/>
      <c r="F43" s="27">
        <v>1.6</v>
      </c>
      <c r="G43" s="27"/>
      <c r="H43" s="27">
        <f t="shared" si="4"/>
        <v>799</v>
      </c>
      <c r="I43" s="27">
        <f t="shared" si="5"/>
        <v>4</v>
      </c>
      <c r="J43" s="27"/>
      <c r="K43" s="182">
        <f t="shared" si="6"/>
        <v>570</v>
      </c>
      <c r="L43" s="182"/>
      <c r="M43" s="182"/>
      <c r="N43" s="27">
        <f t="shared" si="7"/>
        <v>4</v>
      </c>
      <c r="O43" s="27"/>
      <c r="P43" s="33"/>
    </row>
    <row r="44" spans="1:16">
      <c r="A44" s="24" t="str">
        <f>'1. 소켓인수검사'!A42</f>
        <v>34</v>
      </c>
      <c r="B44" s="26">
        <f>'1. 소켓인수검사'!C42</f>
        <v>800</v>
      </c>
      <c r="C44" s="26">
        <f>'1. 소켓인수검사'!D42</f>
        <v>600</v>
      </c>
      <c r="D44" s="27">
        <v>1</v>
      </c>
      <c r="E44" s="28"/>
      <c r="F44" s="27">
        <v>1.6</v>
      </c>
      <c r="G44" s="27"/>
      <c r="H44" s="27">
        <f t="shared" si="4"/>
        <v>799</v>
      </c>
      <c r="I44" s="27">
        <f t="shared" si="5"/>
        <v>4</v>
      </c>
      <c r="J44" s="27"/>
      <c r="K44" s="182">
        <f t="shared" si="6"/>
        <v>570</v>
      </c>
      <c r="L44" s="182"/>
      <c r="M44" s="182"/>
      <c r="N44" s="27">
        <f t="shared" si="7"/>
        <v>4</v>
      </c>
      <c r="O44" s="27"/>
      <c r="P44" s="33"/>
    </row>
    <row r="45" spans="1:16">
      <c r="A45" s="24" t="str">
        <f>'1. 소켓인수검사'!A43</f>
        <v>35</v>
      </c>
      <c r="B45" s="26">
        <f>'1. 소켓인수검사'!C43</f>
        <v>800</v>
      </c>
      <c r="C45" s="26">
        <f>'1. 소켓인수검사'!D43</f>
        <v>600</v>
      </c>
      <c r="D45" s="27">
        <v>1</v>
      </c>
      <c r="E45" s="28"/>
      <c r="F45" s="27">
        <v>1.6</v>
      </c>
      <c r="G45" s="27"/>
      <c r="H45" s="27">
        <f t="shared" si="4"/>
        <v>799</v>
      </c>
      <c r="I45" s="27">
        <f t="shared" si="5"/>
        <v>4</v>
      </c>
      <c r="J45" s="27"/>
      <c r="K45" s="182">
        <f t="shared" si="6"/>
        <v>570</v>
      </c>
      <c r="L45" s="182"/>
      <c r="M45" s="182"/>
      <c r="N45" s="27">
        <f t="shared" si="7"/>
        <v>4</v>
      </c>
      <c r="O45" s="27"/>
      <c r="P45" s="33"/>
    </row>
    <row r="46" spans="1:16">
      <c r="A46" s="24" t="str">
        <f>'1. 소켓인수검사'!A44</f>
        <v>36</v>
      </c>
      <c r="B46" s="26">
        <f>'1. 소켓인수검사'!C44</f>
        <v>600</v>
      </c>
      <c r="C46" s="26">
        <f>'1. 소켓인수검사'!D44</f>
        <v>900</v>
      </c>
      <c r="D46" s="27">
        <v>1</v>
      </c>
      <c r="E46" s="28"/>
      <c r="F46" s="27">
        <v>1.6</v>
      </c>
      <c r="G46" s="27"/>
      <c r="H46" s="27">
        <f t="shared" si="4"/>
        <v>599</v>
      </c>
      <c r="I46" s="27">
        <f t="shared" si="5"/>
        <v>4</v>
      </c>
      <c r="J46" s="27"/>
      <c r="K46" s="182">
        <f t="shared" si="6"/>
        <v>870</v>
      </c>
      <c r="L46" s="182"/>
      <c r="M46" s="182"/>
      <c r="N46" s="27">
        <f t="shared" si="7"/>
        <v>4</v>
      </c>
      <c r="O46" s="27"/>
      <c r="P46" s="33"/>
    </row>
    <row r="47" spans="1:16">
      <c r="A47" s="24" t="str">
        <f>'1. 소켓인수검사'!A45</f>
        <v>37</v>
      </c>
      <c r="B47" s="26">
        <f>'1. 소켓인수검사'!C45</f>
        <v>600</v>
      </c>
      <c r="C47" s="26">
        <f>'1. 소켓인수검사'!D45</f>
        <v>1000</v>
      </c>
      <c r="D47" s="27">
        <v>1</v>
      </c>
      <c r="E47" s="28"/>
      <c r="F47" s="27">
        <v>1.6</v>
      </c>
      <c r="G47" s="27"/>
      <c r="H47" s="27">
        <f t="shared" si="4"/>
        <v>599</v>
      </c>
      <c r="I47" s="27">
        <f t="shared" si="5"/>
        <v>4</v>
      </c>
      <c r="J47" s="27"/>
      <c r="K47" s="182">
        <f t="shared" si="6"/>
        <v>970</v>
      </c>
      <c r="L47" s="182"/>
      <c r="M47" s="182"/>
      <c r="N47" s="27">
        <f t="shared" si="7"/>
        <v>4</v>
      </c>
      <c r="O47" s="27"/>
      <c r="P47" s="33"/>
    </row>
    <row r="48" spans="1:16">
      <c r="A48" s="24" t="str">
        <f>'1. 소켓인수검사'!A46</f>
        <v>38</v>
      </c>
      <c r="B48" s="26">
        <f>'1. 소켓인수검사'!C46</f>
        <v>600</v>
      </c>
      <c r="C48" s="26">
        <f>'1. 소켓인수검사'!D46</f>
        <v>1000</v>
      </c>
      <c r="D48" s="27">
        <v>1</v>
      </c>
      <c r="E48" s="28"/>
      <c r="F48" s="27">
        <v>1.6</v>
      </c>
      <c r="G48" s="27"/>
      <c r="H48" s="27">
        <f t="shared" si="4"/>
        <v>599</v>
      </c>
      <c r="I48" s="27">
        <f t="shared" si="5"/>
        <v>4</v>
      </c>
      <c r="J48" s="27"/>
      <c r="K48" s="182">
        <f t="shared" si="6"/>
        <v>970</v>
      </c>
      <c r="L48" s="182"/>
      <c r="M48" s="182"/>
      <c r="N48" s="27">
        <f t="shared" si="7"/>
        <v>4</v>
      </c>
      <c r="O48" s="27"/>
      <c r="P48" s="33"/>
    </row>
    <row r="49" spans="1:16">
      <c r="A49" s="24" t="str">
        <f>'1. 소켓인수검사'!A47</f>
        <v>39</v>
      </c>
      <c r="B49" s="26">
        <f>'1. 소켓인수검사'!C47</f>
        <v>1000</v>
      </c>
      <c r="C49" s="26">
        <f>'1. 소켓인수검사'!D47</f>
        <v>550</v>
      </c>
      <c r="D49" s="27">
        <v>1</v>
      </c>
      <c r="E49" s="28"/>
      <c r="F49" s="27">
        <v>1.6</v>
      </c>
      <c r="G49" s="27"/>
      <c r="H49" s="27">
        <f t="shared" si="4"/>
        <v>999</v>
      </c>
      <c r="I49" s="27">
        <f t="shared" si="5"/>
        <v>4</v>
      </c>
      <c r="J49" s="27"/>
      <c r="K49" s="182">
        <f t="shared" si="6"/>
        <v>520</v>
      </c>
      <c r="L49" s="182"/>
      <c r="M49" s="182"/>
      <c r="N49" s="27">
        <f t="shared" si="7"/>
        <v>4</v>
      </c>
      <c r="O49" s="27"/>
      <c r="P49" s="33"/>
    </row>
    <row r="50" spans="1:16" ht="8.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83" t="s">
        <v>48</v>
      </c>
      <c r="B51" s="183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</row>
    <row r="52" spans="1:16">
      <c r="A52" s="183"/>
      <c r="B52" s="183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</row>
    <row r="53" spans="1:16">
      <c r="A53" s="183"/>
      <c r="B53" s="183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</row>
    <row r="54" spans="1:16">
      <c r="A54" s="183"/>
      <c r="B54" s="183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</row>
  </sheetData>
  <mergeCells count="70">
    <mergeCell ref="A51:B54"/>
    <mergeCell ref="C51:P54"/>
    <mergeCell ref="K46:M46"/>
    <mergeCell ref="K47:M47"/>
    <mergeCell ref="K48:M48"/>
    <mergeCell ref="K49:M49"/>
    <mergeCell ref="A50:P50"/>
    <mergeCell ref="K41:M41"/>
    <mergeCell ref="K42:M42"/>
    <mergeCell ref="K43:M43"/>
    <mergeCell ref="K44:M44"/>
    <mergeCell ref="K45:M45"/>
    <mergeCell ref="K36:M36"/>
    <mergeCell ref="K37:M37"/>
    <mergeCell ref="K38:M38"/>
    <mergeCell ref="K39:M39"/>
    <mergeCell ref="K40:M40"/>
    <mergeCell ref="K31:M31"/>
    <mergeCell ref="K32:M32"/>
    <mergeCell ref="K33:M33"/>
    <mergeCell ref="K34:M34"/>
    <mergeCell ref="K35:M35"/>
    <mergeCell ref="K26:M26"/>
    <mergeCell ref="K27:M27"/>
    <mergeCell ref="K28:M28"/>
    <mergeCell ref="K29:M29"/>
    <mergeCell ref="K30:M30"/>
    <mergeCell ref="K21:M21"/>
    <mergeCell ref="K22:M22"/>
    <mergeCell ref="K23:M23"/>
    <mergeCell ref="K24:M24"/>
    <mergeCell ref="K25:M25"/>
    <mergeCell ref="K16:M16"/>
    <mergeCell ref="K17:M17"/>
    <mergeCell ref="K18:M18"/>
    <mergeCell ref="K19:M19"/>
    <mergeCell ref="K20:M20"/>
    <mergeCell ref="K11:M11"/>
    <mergeCell ref="K12:M12"/>
    <mergeCell ref="K13:M13"/>
    <mergeCell ref="K14:M14"/>
    <mergeCell ref="K15:M15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</mergeCells>
  <phoneticPr fontId="26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57"/>
  <sheetViews>
    <sheetView zoomScaleNormal="100" zoomScaleSheetLayoutView="100" workbookViewId="0">
      <pane ySplit="9" topLeftCell="A37" activePane="bottomLeft" state="frozen"/>
      <selection pane="bottomLeft" activeCell="G60" sqref="G60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1"/>
      <c r="B1" s="1"/>
      <c r="C1" s="1"/>
      <c r="D1" s="185" t="s">
        <v>46</v>
      </c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6"/>
      <c r="R1" s="187"/>
      <c r="S1" s="14"/>
    </row>
    <row r="2" spans="1:19">
      <c r="A2" s="1"/>
      <c r="B2" s="1"/>
      <c r="C2" s="1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8"/>
      <c r="S2" s="189"/>
    </row>
    <row r="3" spans="1:19" ht="24" customHeight="1">
      <c r="A3" s="1"/>
      <c r="B3" s="1"/>
      <c r="C3" s="1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6"/>
      <c r="R3" s="188"/>
      <c r="S3" s="189"/>
    </row>
    <row r="4" spans="1:19">
      <c r="A4" s="1" t="s">
        <v>18</v>
      </c>
      <c r="B4" s="1"/>
      <c r="C4" s="1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6"/>
      <c r="R4" s="188"/>
      <c r="S4" s="189"/>
    </row>
    <row r="5" spans="1:19">
      <c r="A5" s="1" t="s">
        <v>27</v>
      </c>
      <c r="B5" s="1"/>
      <c r="C5" s="1"/>
      <c r="D5" s="2" t="s">
        <v>33</v>
      </c>
      <c r="E5" s="190"/>
      <c r="F5" s="191"/>
      <c r="G5" s="192" t="s">
        <v>58</v>
      </c>
      <c r="H5" s="194"/>
      <c r="I5" s="195"/>
      <c r="J5" s="195"/>
      <c r="K5" s="196"/>
      <c r="L5" s="192" t="s">
        <v>22</v>
      </c>
      <c r="M5" s="64"/>
      <c r="N5" s="64"/>
      <c r="O5" s="192" t="s">
        <v>22</v>
      </c>
      <c r="P5" s="199" t="str">
        <f>'1. 소켓인수검사'!R2</f>
        <v>26.06.11 웰스홈_신승에프엔티_에이치제이종합건설_조선대학교 감염병 전문병원</v>
      </c>
      <c r="Q5" s="200"/>
      <c r="R5" s="200"/>
      <c r="S5" s="201"/>
    </row>
    <row r="6" spans="1:19">
      <c r="A6" s="1"/>
      <c r="B6" s="1"/>
      <c r="C6" s="1"/>
      <c r="D6" s="2" t="s">
        <v>30</v>
      </c>
      <c r="E6" s="190"/>
      <c r="F6" s="191"/>
      <c r="G6" s="193"/>
      <c r="H6" s="197"/>
      <c r="I6" s="155"/>
      <c r="J6" s="155"/>
      <c r="K6" s="198"/>
      <c r="L6" s="193"/>
      <c r="M6" s="65"/>
      <c r="N6" s="65"/>
      <c r="O6" s="193"/>
      <c r="P6" s="202"/>
      <c r="Q6" s="203"/>
      <c r="R6" s="203"/>
      <c r="S6" s="204"/>
    </row>
    <row r="7" spans="1:19" ht="8.1" customHeight="1">
      <c r="A7" s="197"/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98"/>
    </row>
    <row r="8" spans="1:19" ht="16.5" customHeight="1">
      <c r="A8" s="113" t="s">
        <v>55</v>
      </c>
      <c r="B8" s="206" t="s">
        <v>62</v>
      </c>
      <c r="C8" s="206" t="s">
        <v>60</v>
      </c>
      <c r="D8" s="206" t="s">
        <v>65</v>
      </c>
      <c r="E8" s="206" t="s">
        <v>50</v>
      </c>
      <c r="F8" s="206" t="s">
        <v>57</v>
      </c>
      <c r="G8" s="206" t="s">
        <v>24</v>
      </c>
      <c r="H8" s="206"/>
      <c r="I8" s="206"/>
      <c r="J8" s="206" t="s">
        <v>0</v>
      </c>
      <c r="K8" s="206"/>
      <c r="L8" s="206"/>
      <c r="M8" s="206" t="s">
        <v>0</v>
      </c>
      <c r="N8" s="206"/>
      <c r="O8" s="206"/>
      <c r="P8" s="206" t="s">
        <v>0</v>
      </c>
      <c r="Q8" s="206"/>
      <c r="R8" s="206"/>
      <c r="S8" s="208"/>
    </row>
    <row r="9" spans="1:19" ht="33" customHeight="1">
      <c r="A9" s="205"/>
      <c r="B9" s="207"/>
      <c r="C9" s="207"/>
      <c r="D9" s="207"/>
      <c r="E9" s="207"/>
      <c r="F9" s="207"/>
      <c r="G9" s="67" t="s">
        <v>34</v>
      </c>
      <c r="H9" s="67" t="s">
        <v>53</v>
      </c>
      <c r="I9" s="67" t="s">
        <v>52</v>
      </c>
      <c r="J9" s="67" t="s">
        <v>20</v>
      </c>
      <c r="K9" s="67" t="s">
        <v>53</v>
      </c>
      <c r="L9" s="67" t="s">
        <v>52</v>
      </c>
      <c r="M9" s="67" t="s">
        <v>26</v>
      </c>
      <c r="N9" s="67" t="s">
        <v>53</v>
      </c>
      <c r="O9" s="67" t="s">
        <v>52</v>
      </c>
      <c r="P9" s="67" t="s">
        <v>23</v>
      </c>
      <c r="Q9" s="67" t="s">
        <v>53</v>
      </c>
      <c r="R9" s="207" t="s">
        <v>52</v>
      </c>
      <c r="S9" s="209"/>
    </row>
    <row r="10" spans="1:19">
      <c r="A10" s="52" t="str">
        <f>'1. 소켓인수검사'!A9</f>
        <v>01</v>
      </c>
      <c r="B10" s="36">
        <f>'1. 소켓인수검사'!C9</f>
        <v>200</v>
      </c>
      <c r="C10" s="36">
        <f>'1. 소켓인수검사'!D9</f>
        <v>250</v>
      </c>
      <c r="D10" s="53" t="s">
        <v>17</v>
      </c>
      <c r="E10" s="61">
        <f>B10*C10/1000000</f>
        <v>0.05</v>
      </c>
      <c r="F10" s="61">
        <f>(B10+C10)*2/1000</f>
        <v>0.9</v>
      </c>
      <c r="G10" s="26">
        <f>(F10+0.4)</f>
        <v>1.3</v>
      </c>
      <c r="H10" s="26">
        <v>4</v>
      </c>
      <c r="I10" s="62">
        <f>G10*H10</f>
        <v>5.2</v>
      </c>
      <c r="J10" s="26"/>
      <c r="K10" s="26"/>
      <c r="L10" s="26"/>
      <c r="M10" s="26"/>
      <c r="N10" s="26"/>
      <c r="O10" s="26"/>
      <c r="P10" s="26"/>
      <c r="Q10" s="26"/>
      <c r="R10" s="210"/>
      <c r="S10" s="211"/>
    </row>
    <row r="11" spans="1:19">
      <c r="A11" s="52" t="str">
        <f>'1. 소켓인수검사'!A10</f>
        <v>02</v>
      </c>
      <c r="B11" s="36">
        <f>'1. 소켓인수검사'!C10</f>
        <v>250</v>
      </c>
      <c r="C11" s="36">
        <f>'1. 소켓인수검사'!D10</f>
        <v>200</v>
      </c>
      <c r="D11" s="53" t="s">
        <v>17</v>
      </c>
      <c r="E11" s="61">
        <f t="shared" ref="E11:E39" si="0">B11*C11/1000000</f>
        <v>0.05</v>
      </c>
      <c r="F11" s="61">
        <f t="shared" ref="F11:F39" si="1">(B11+C11)*2/1000</f>
        <v>0.9</v>
      </c>
      <c r="G11" s="26">
        <f>(F11+0.4)</f>
        <v>1.3</v>
      </c>
      <c r="H11" s="26">
        <v>4</v>
      </c>
      <c r="I11" s="62">
        <f>G11*H11</f>
        <v>5.2</v>
      </c>
      <c r="J11" s="26"/>
      <c r="K11" s="26"/>
      <c r="L11" s="26"/>
      <c r="M11" s="26"/>
      <c r="N11" s="26"/>
      <c r="O11" s="26"/>
      <c r="P11" s="26"/>
      <c r="Q11" s="26"/>
      <c r="R11" s="210"/>
      <c r="S11" s="211"/>
    </row>
    <row r="12" spans="1:19">
      <c r="A12" s="52" t="str">
        <f>'1. 소켓인수검사'!A11</f>
        <v>03</v>
      </c>
      <c r="B12" s="36">
        <f>'1. 소켓인수검사'!C11</f>
        <v>250</v>
      </c>
      <c r="C12" s="36">
        <f>'1. 소켓인수검사'!D11</f>
        <v>200</v>
      </c>
      <c r="D12" s="53" t="s">
        <v>17</v>
      </c>
      <c r="E12" s="61">
        <f t="shared" si="0"/>
        <v>0.05</v>
      </c>
      <c r="F12" s="61">
        <f t="shared" si="1"/>
        <v>0.9</v>
      </c>
      <c r="G12" s="26">
        <f t="shared" ref="G12:G42" si="2">(F12+0.4)</f>
        <v>1.3</v>
      </c>
      <c r="H12" s="26">
        <v>4</v>
      </c>
      <c r="I12" s="62">
        <f t="shared" ref="I12:I22" si="3">G12*H12</f>
        <v>5.2</v>
      </c>
      <c r="J12" s="26"/>
      <c r="K12" s="26"/>
      <c r="L12" s="26"/>
      <c r="M12" s="26"/>
      <c r="N12" s="26"/>
      <c r="O12" s="26"/>
      <c r="P12" s="26"/>
      <c r="Q12" s="26"/>
      <c r="R12" s="210"/>
      <c r="S12" s="211"/>
    </row>
    <row r="13" spans="1:19">
      <c r="A13" s="52" t="str">
        <f>'1. 소켓인수검사'!A12</f>
        <v>04</v>
      </c>
      <c r="B13" s="36">
        <f>'1. 소켓인수검사'!C12</f>
        <v>250</v>
      </c>
      <c r="C13" s="36">
        <f>'1. 소켓인수검사'!D12</f>
        <v>200</v>
      </c>
      <c r="D13" s="53" t="s">
        <v>17</v>
      </c>
      <c r="E13" s="61">
        <f t="shared" si="0"/>
        <v>0.05</v>
      </c>
      <c r="F13" s="61">
        <f t="shared" si="1"/>
        <v>0.9</v>
      </c>
      <c r="G13" s="26">
        <f t="shared" si="2"/>
        <v>1.3</v>
      </c>
      <c r="H13" s="26">
        <v>4</v>
      </c>
      <c r="I13" s="62">
        <f t="shared" si="3"/>
        <v>5.2</v>
      </c>
      <c r="J13" s="26"/>
      <c r="K13" s="26"/>
      <c r="L13" s="26"/>
      <c r="M13" s="26"/>
      <c r="N13" s="26"/>
      <c r="O13" s="26"/>
      <c r="P13" s="26"/>
      <c r="Q13" s="26"/>
      <c r="R13" s="210"/>
      <c r="S13" s="211"/>
    </row>
    <row r="14" spans="1:19">
      <c r="A14" s="52" t="str">
        <f>'1. 소켓인수검사'!A13</f>
        <v>05</v>
      </c>
      <c r="B14" s="36">
        <f>'1. 소켓인수검사'!C13</f>
        <v>250</v>
      </c>
      <c r="C14" s="36">
        <f>'1. 소켓인수검사'!D13</f>
        <v>200</v>
      </c>
      <c r="D14" s="53" t="s">
        <v>17</v>
      </c>
      <c r="E14" s="61">
        <f t="shared" si="0"/>
        <v>0.05</v>
      </c>
      <c r="F14" s="61">
        <f t="shared" si="1"/>
        <v>0.9</v>
      </c>
      <c r="G14" s="26">
        <f t="shared" si="2"/>
        <v>1.3</v>
      </c>
      <c r="H14" s="26">
        <v>4</v>
      </c>
      <c r="I14" s="62">
        <f t="shared" si="3"/>
        <v>5.2</v>
      </c>
      <c r="J14" s="26"/>
      <c r="K14" s="26"/>
      <c r="L14" s="26"/>
      <c r="M14" s="26"/>
      <c r="N14" s="26"/>
      <c r="O14" s="26"/>
      <c r="P14" s="26"/>
      <c r="Q14" s="26"/>
      <c r="R14" s="210"/>
      <c r="S14" s="211"/>
    </row>
    <row r="15" spans="1:19">
      <c r="A15" s="52" t="str">
        <f>'1. 소켓인수검사'!A14</f>
        <v>06</v>
      </c>
      <c r="B15" s="36">
        <f>'1. 소켓인수검사'!C14</f>
        <v>250</v>
      </c>
      <c r="C15" s="36">
        <f>'1. 소켓인수검사'!D14</f>
        <v>250</v>
      </c>
      <c r="D15" s="53" t="s">
        <v>17</v>
      </c>
      <c r="E15" s="61">
        <f t="shared" si="0"/>
        <v>6.25E-2</v>
      </c>
      <c r="F15" s="61">
        <f t="shared" si="1"/>
        <v>1</v>
      </c>
      <c r="G15" s="26">
        <f t="shared" si="2"/>
        <v>1.4</v>
      </c>
      <c r="H15" s="26">
        <v>4</v>
      </c>
      <c r="I15" s="62">
        <f t="shared" si="3"/>
        <v>5.6</v>
      </c>
      <c r="J15" s="26"/>
      <c r="K15" s="26"/>
      <c r="L15" s="26"/>
      <c r="M15" s="26"/>
      <c r="N15" s="26"/>
      <c r="O15" s="26"/>
      <c r="P15" s="26"/>
      <c r="Q15" s="26"/>
      <c r="R15" s="210"/>
      <c r="S15" s="211"/>
    </row>
    <row r="16" spans="1:19">
      <c r="A16" s="52" t="str">
        <f>'1. 소켓인수검사'!A15</f>
        <v>07</v>
      </c>
      <c r="B16" s="36">
        <f>'1. 소켓인수검사'!C15</f>
        <v>250</v>
      </c>
      <c r="C16" s="36">
        <f>'1. 소켓인수검사'!D15</f>
        <v>250</v>
      </c>
      <c r="D16" s="53" t="s">
        <v>17</v>
      </c>
      <c r="E16" s="61">
        <f t="shared" si="0"/>
        <v>6.25E-2</v>
      </c>
      <c r="F16" s="61">
        <f t="shared" si="1"/>
        <v>1</v>
      </c>
      <c r="G16" s="26">
        <f t="shared" si="2"/>
        <v>1.4</v>
      </c>
      <c r="H16" s="26">
        <v>4</v>
      </c>
      <c r="I16" s="62">
        <f t="shared" si="3"/>
        <v>5.6</v>
      </c>
      <c r="J16" s="26"/>
      <c r="K16" s="26"/>
      <c r="L16" s="26"/>
      <c r="M16" s="26"/>
      <c r="N16" s="26"/>
      <c r="O16" s="26"/>
      <c r="P16" s="26"/>
      <c r="Q16" s="26"/>
      <c r="R16" s="210"/>
      <c r="S16" s="211"/>
    </row>
    <row r="17" spans="1:19">
      <c r="A17" s="52" t="str">
        <f>'1. 소켓인수검사'!A16</f>
        <v>08</v>
      </c>
      <c r="B17" s="36">
        <f>'1. 소켓인수검사'!C16</f>
        <v>250</v>
      </c>
      <c r="C17" s="36">
        <f>'1. 소켓인수검사'!D16</f>
        <v>250</v>
      </c>
      <c r="D17" s="53" t="s">
        <v>17</v>
      </c>
      <c r="E17" s="61">
        <f t="shared" si="0"/>
        <v>6.25E-2</v>
      </c>
      <c r="F17" s="61">
        <f t="shared" si="1"/>
        <v>1</v>
      </c>
      <c r="G17" s="26">
        <f t="shared" si="2"/>
        <v>1.4</v>
      </c>
      <c r="H17" s="26">
        <v>4</v>
      </c>
      <c r="I17" s="62">
        <f t="shared" si="3"/>
        <v>5.6</v>
      </c>
      <c r="J17" s="26"/>
      <c r="K17" s="26"/>
      <c r="L17" s="26"/>
      <c r="M17" s="26"/>
      <c r="N17" s="26"/>
      <c r="O17" s="26"/>
      <c r="P17" s="26"/>
      <c r="Q17" s="26"/>
      <c r="R17" s="210"/>
      <c r="S17" s="211"/>
    </row>
    <row r="18" spans="1:19">
      <c r="A18" s="52" t="str">
        <f>'1. 소켓인수검사'!A17</f>
        <v>09</v>
      </c>
      <c r="B18" s="36">
        <f>'1. 소켓인수검사'!C17</f>
        <v>250</v>
      </c>
      <c r="C18" s="36">
        <f>'1. 소켓인수검사'!D17</f>
        <v>250</v>
      </c>
      <c r="D18" s="53" t="s">
        <v>17</v>
      </c>
      <c r="E18" s="61">
        <f t="shared" si="0"/>
        <v>6.25E-2</v>
      </c>
      <c r="F18" s="61">
        <f t="shared" si="1"/>
        <v>1</v>
      </c>
      <c r="G18" s="26">
        <f t="shared" si="2"/>
        <v>1.4</v>
      </c>
      <c r="H18" s="26">
        <v>4</v>
      </c>
      <c r="I18" s="62">
        <f t="shared" si="3"/>
        <v>5.6</v>
      </c>
      <c r="J18" s="26"/>
      <c r="K18" s="26"/>
      <c r="L18" s="26"/>
      <c r="M18" s="26"/>
      <c r="N18" s="26"/>
      <c r="O18" s="26"/>
      <c r="P18" s="26"/>
      <c r="Q18" s="26"/>
      <c r="R18" s="210"/>
      <c r="S18" s="211"/>
    </row>
    <row r="19" spans="1:19">
      <c r="A19" s="52" t="str">
        <f>'1. 소켓인수검사'!A18</f>
        <v>10</v>
      </c>
      <c r="B19" s="36">
        <f>'1. 소켓인수검사'!C18</f>
        <v>250</v>
      </c>
      <c r="C19" s="36">
        <f>'1. 소켓인수검사'!D18</f>
        <v>350</v>
      </c>
      <c r="D19" s="53" t="s">
        <v>17</v>
      </c>
      <c r="E19" s="61">
        <f t="shared" si="0"/>
        <v>8.7499999999999994E-2</v>
      </c>
      <c r="F19" s="61">
        <f t="shared" si="1"/>
        <v>1.2</v>
      </c>
      <c r="G19" s="26">
        <f t="shared" si="2"/>
        <v>1.6</v>
      </c>
      <c r="H19" s="26">
        <v>4</v>
      </c>
      <c r="I19" s="62">
        <f t="shared" si="3"/>
        <v>6.4</v>
      </c>
      <c r="J19" s="26"/>
      <c r="K19" s="26"/>
      <c r="L19" s="26"/>
      <c r="M19" s="26"/>
      <c r="N19" s="26"/>
      <c r="O19" s="26"/>
      <c r="P19" s="26"/>
      <c r="Q19" s="26"/>
      <c r="R19" s="210"/>
      <c r="S19" s="211"/>
    </row>
    <row r="20" spans="1:19">
      <c r="A20" s="52" t="str">
        <f>'1. 소켓인수검사'!A19</f>
        <v>11</v>
      </c>
      <c r="B20" s="36">
        <f>'1. 소켓인수검사'!C19</f>
        <v>300</v>
      </c>
      <c r="C20" s="36">
        <f>'1. 소켓인수검사'!D19</f>
        <v>250</v>
      </c>
      <c r="D20" s="53" t="s">
        <v>17</v>
      </c>
      <c r="E20" s="61">
        <f t="shared" si="0"/>
        <v>7.4999999999999997E-2</v>
      </c>
      <c r="F20" s="61">
        <f t="shared" si="1"/>
        <v>1.1000000000000001</v>
      </c>
      <c r="G20" s="26">
        <f t="shared" si="2"/>
        <v>1.5</v>
      </c>
      <c r="H20" s="26">
        <v>4</v>
      </c>
      <c r="I20" s="62">
        <f t="shared" si="3"/>
        <v>6</v>
      </c>
      <c r="J20" s="26"/>
      <c r="K20" s="26"/>
      <c r="L20" s="26"/>
      <c r="M20" s="26"/>
      <c r="N20" s="26"/>
      <c r="O20" s="26"/>
      <c r="P20" s="26"/>
      <c r="Q20" s="26"/>
      <c r="R20" s="210"/>
      <c r="S20" s="211"/>
    </row>
    <row r="21" spans="1:19">
      <c r="A21" s="52" t="str">
        <f>'1. 소켓인수검사'!A20</f>
        <v>12</v>
      </c>
      <c r="B21" s="36">
        <f>'1. 소켓인수검사'!C20</f>
        <v>350</v>
      </c>
      <c r="C21" s="36">
        <f>'1. 소켓인수검사'!D20</f>
        <v>250</v>
      </c>
      <c r="D21" s="53" t="s">
        <v>17</v>
      </c>
      <c r="E21" s="61">
        <f t="shared" si="0"/>
        <v>8.7499999999999994E-2</v>
      </c>
      <c r="F21" s="61">
        <f t="shared" si="1"/>
        <v>1.2</v>
      </c>
      <c r="G21" s="26">
        <f t="shared" si="2"/>
        <v>1.6</v>
      </c>
      <c r="H21" s="26">
        <v>4</v>
      </c>
      <c r="I21" s="62">
        <f t="shared" si="3"/>
        <v>6.4</v>
      </c>
      <c r="J21" s="26"/>
      <c r="K21" s="26"/>
      <c r="L21" s="26"/>
      <c r="M21" s="26"/>
      <c r="N21" s="26"/>
      <c r="O21" s="26"/>
      <c r="P21" s="26"/>
      <c r="Q21" s="26"/>
      <c r="R21" s="210"/>
      <c r="S21" s="211"/>
    </row>
    <row r="22" spans="1:19">
      <c r="A22" s="52" t="str">
        <f>'1. 소켓인수검사'!A21</f>
        <v>13</v>
      </c>
      <c r="B22" s="36">
        <f>'1. 소켓인수검사'!C21</f>
        <v>350</v>
      </c>
      <c r="C22" s="36">
        <f>'1. 소켓인수검사'!D21</f>
        <v>250</v>
      </c>
      <c r="D22" s="53" t="s">
        <v>17</v>
      </c>
      <c r="E22" s="61">
        <f t="shared" si="0"/>
        <v>8.7499999999999994E-2</v>
      </c>
      <c r="F22" s="61">
        <f t="shared" si="1"/>
        <v>1.2</v>
      </c>
      <c r="G22" s="26">
        <f t="shared" si="2"/>
        <v>1.6</v>
      </c>
      <c r="H22" s="26">
        <v>4</v>
      </c>
      <c r="I22" s="62">
        <f t="shared" si="3"/>
        <v>6.4</v>
      </c>
      <c r="J22" s="26"/>
      <c r="K22" s="26"/>
      <c r="L22" s="26"/>
      <c r="M22" s="26"/>
      <c r="N22" s="26"/>
      <c r="O22" s="26"/>
      <c r="P22" s="26"/>
      <c r="Q22" s="26"/>
      <c r="R22" s="210"/>
      <c r="S22" s="211"/>
    </row>
    <row r="23" spans="1:19">
      <c r="A23" s="52" t="str">
        <f>'1. 소켓인수검사'!A22</f>
        <v>14</v>
      </c>
      <c r="B23" s="36">
        <f>'1. 소켓인수검사'!C22</f>
        <v>400</v>
      </c>
      <c r="C23" s="36">
        <f>'1. 소켓인수검사'!D22</f>
        <v>250</v>
      </c>
      <c r="D23" s="53" t="s">
        <v>17</v>
      </c>
      <c r="E23" s="61">
        <f t="shared" si="0"/>
        <v>0.1</v>
      </c>
      <c r="F23" s="61">
        <f t="shared" si="1"/>
        <v>1.3</v>
      </c>
      <c r="G23" s="26">
        <f t="shared" si="2"/>
        <v>1.7000000000000002</v>
      </c>
      <c r="H23" s="26">
        <f>2*2</f>
        <v>4</v>
      </c>
      <c r="I23" s="62">
        <f>G23*H23</f>
        <v>6.8000000000000007</v>
      </c>
      <c r="J23" s="26"/>
      <c r="K23" s="26"/>
      <c r="L23" s="26"/>
      <c r="M23" s="26"/>
      <c r="N23" s="26"/>
      <c r="O23" s="26"/>
      <c r="P23" s="26"/>
      <c r="Q23" s="26"/>
      <c r="R23" s="210"/>
      <c r="S23" s="211"/>
    </row>
    <row r="24" spans="1:19">
      <c r="A24" s="52" t="str">
        <f>'1. 소켓인수검사'!A23</f>
        <v>15</v>
      </c>
      <c r="B24" s="36">
        <f>'1. 소켓인수검사'!C23</f>
        <v>450</v>
      </c>
      <c r="C24" s="36">
        <f>'1. 소켓인수검사'!D23</f>
        <v>250</v>
      </c>
      <c r="D24" s="53" t="s">
        <v>17</v>
      </c>
      <c r="E24" s="61">
        <f t="shared" si="0"/>
        <v>0.1125</v>
      </c>
      <c r="F24" s="61">
        <f t="shared" si="1"/>
        <v>1.4</v>
      </c>
      <c r="G24" s="26">
        <f t="shared" si="2"/>
        <v>1.7999999999999998</v>
      </c>
      <c r="H24" s="26">
        <f t="shared" ref="H24:H42" si="4">2*2</f>
        <v>4</v>
      </c>
      <c r="I24" s="62">
        <f t="shared" ref="I24:I42" si="5">G24*H24</f>
        <v>7.1999999999999993</v>
      </c>
      <c r="J24" s="26"/>
      <c r="K24" s="26"/>
      <c r="L24" s="26"/>
      <c r="M24" s="26"/>
      <c r="N24" s="26"/>
      <c r="O24" s="26"/>
      <c r="P24" s="26"/>
      <c r="Q24" s="26"/>
      <c r="R24" s="210"/>
      <c r="S24" s="211"/>
    </row>
    <row r="25" spans="1:19">
      <c r="A25" s="52" t="str">
        <f>'1. 소켓인수검사'!A24</f>
        <v>16</v>
      </c>
      <c r="B25" s="36">
        <f>'1. 소켓인수검사'!C24</f>
        <v>450</v>
      </c>
      <c r="C25" s="36">
        <f>'1. 소켓인수검사'!D24</f>
        <v>300</v>
      </c>
      <c r="D25" s="53" t="s">
        <v>17</v>
      </c>
      <c r="E25" s="61">
        <f t="shared" si="0"/>
        <v>0.13500000000000001</v>
      </c>
      <c r="F25" s="61">
        <f t="shared" si="1"/>
        <v>1.5</v>
      </c>
      <c r="G25" s="26">
        <f t="shared" si="2"/>
        <v>1.9</v>
      </c>
      <c r="H25" s="26">
        <f t="shared" si="4"/>
        <v>4</v>
      </c>
      <c r="I25" s="62">
        <f t="shared" si="5"/>
        <v>7.6</v>
      </c>
      <c r="J25" s="26"/>
      <c r="K25" s="26"/>
      <c r="L25" s="26"/>
      <c r="M25" s="26"/>
      <c r="N25" s="26"/>
      <c r="O25" s="26"/>
      <c r="P25" s="26"/>
      <c r="Q25" s="26"/>
      <c r="R25" s="210"/>
      <c r="S25" s="211"/>
    </row>
    <row r="26" spans="1:19">
      <c r="A26" s="52" t="str">
        <f>'1. 소켓인수검사'!A25</f>
        <v>17</v>
      </c>
      <c r="B26" s="36">
        <f>'1. 소켓인수검사'!C25</f>
        <v>450</v>
      </c>
      <c r="C26" s="36">
        <f>'1. 소켓인수검사'!D25</f>
        <v>300</v>
      </c>
      <c r="D26" s="53" t="s">
        <v>17</v>
      </c>
      <c r="E26" s="61">
        <f t="shared" si="0"/>
        <v>0.13500000000000001</v>
      </c>
      <c r="F26" s="61">
        <f t="shared" si="1"/>
        <v>1.5</v>
      </c>
      <c r="G26" s="26">
        <f t="shared" si="2"/>
        <v>1.9</v>
      </c>
      <c r="H26" s="26">
        <f t="shared" si="4"/>
        <v>4</v>
      </c>
      <c r="I26" s="62">
        <f t="shared" si="5"/>
        <v>7.6</v>
      </c>
      <c r="J26" s="26"/>
      <c r="K26" s="26"/>
      <c r="L26" s="26"/>
      <c r="M26" s="26"/>
      <c r="N26" s="26"/>
      <c r="O26" s="26"/>
      <c r="P26" s="26"/>
      <c r="Q26" s="26"/>
      <c r="R26" s="210"/>
      <c r="S26" s="211"/>
    </row>
    <row r="27" spans="1:19">
      <c r="A27" s="52" t="str">
        <f>'1. 소켓인수검사'!A26</f>
        <v>18</v>
      </c>
      <c r="B27" s="36">
        <f>'1. 소켓인수검사'!C26</f>
        <v>500</v>
      </c>
      <c r="C27" s="36">
        <f>'1. 소켓인수검사'!D26</f>
        <v>400</v>
      </c>
      <c r="D27" s="53" t="s">
        <v>17</v>
      </c>
      <c r="E27" s="61">
        <f t="shared" si="0"/>
        <v>0.2</v>
      </c>
      <c r="F27" s="61">
        <f t="shared" si="1"/>
        <v>1.8</v>
      </c>
      <c r="G27" s="26">
        <f t="shared" si="2"/>
        <v>2.2000000000000002</v>
      </c>
      <c r="H27" s="26">
        <f t="shared" si="4"/>
        <v>4</v>
      </c>
      <c r="I27" s="62">
        <f t="shared" si="5"/>
        <v>8.8000000000000007</v>
      </c>
      <c r="J27" s="26"/>
      <c r="K27" s="26"/>
      <c r="L27" s="26"/>
      <c r="M27" s="26"/>
      <c r="N27" s="26"/>
      <c r="O27" s="26"/>
      <c r="P27" s="26"/>
      <c r="Q27" s="26"/>
      <c r="R27" s="210"/>
      <c r="S27" s="211"/>
    </row>
    <row r="28" spans="1:19">
      <c r="A28" s="52" t="str">
        <f>'1. 소켓인수검사'!A27</f>
        <v>19</v>
      </c>
      <c r="B28" s="36">
        <f>'1. 소켓인수검사'!C27</f>
        <v>550</v>
      </c>
      <c r="C28" s="36">
        <f>'1. 소켓인수검사'!D27</f>
        <v>350</v>
      </c>
      <c r="D28" s="53" t="s">
        <v>17</v>
      </c>
      <c r="E28" s="61">
        <f t="shared" si="0"/>
        <v>0.1925</v>
      </c>
      <c r="F28" s="61">
        <f t="shared" si="1"/>
        <v>1.8</v>
      </c>
      <c r="G28" s="26">
        <f t="shared" si="2"/>
        <v>2.2000000000000002</v>
      </c>
      <c r="H28" s="26">
        <f t="shared" si="4"/>
        <v>4</v>
      </c>
      <c r="I28" s="62">
        <f t="shared" si="5"/>
        <v>8.8000000000000007</v>
      </c>
      <c r="J28" s="26"/>
      <c r="K28" s="26"/>
      <c r="L28" s="26"/>
      <c r="M28" s="26"/>
      <c r="N28" s="26"/>
      <c r="O28" s="26"/>
      <c r="P28" s="26"/>
      <c r="Q28" s="26"/>
      <c r="R28" s="210"/>
      <c r="S28" s="211"/>
    </row>
    <row r="29" spans="1:19">
      <c r="A29" s="52" t="str">
        <f>'1. 소켓인수검사'!A28</f>
        <v>20</v>
      </c>
      <c r="B29" s="36">
        <f>'1. 소켓인수검사'!C28</f>
        <v>600</v>
      </c>
      <c r="C29" s="36">
        <f>'1. 소켓인수검사'!D28</f>
        <v>400</v>
      </c>
      <c r="D29" s="53" t="s">
        <v>17</v>
      </c>
      <c r="E29" s="61">
        <f t="shared" si="0"/>
        <v>0.24</v>
      </c>
      <c r="F29" s="61">
        <f t="shared" si="1"/>
        <v>2</v>
      </c>
      <c r="G29" s="26">
        <f t="shared" si="2"/>
        <v>2.4</v>
      </c>
      <c r="H29" s="26">
        <f t="shared" si="4"/>
        <v>4</v>
      </c>
      <c r="I29" s="62">
        <f t="shared" si="5"/>
        <v>9.6</v>
      </c>
      <c r="J29" s="26"/>
      <c r="K29" s="26"/>
      <c r="L29" s="26"/>
      <c r="M29" s="26"/>
      <c r="N29" s="26"/>
      <c r="O29" s="26"/>
      <c r="P29" s="26"/>
      <c r="Q29" s="26"/>
      <c r="R29" s="210"/>
      <c r="S29" s="211"/>
    </row>
    <row r="30" spans="1:19">
      <c r="A30" s="52" t="str">
        <f>'1. 소켓인수검사'!A29</f>
        <v>21</v>
      </c>
      <c r="B30" s="36">
        <f>'1. 소켓인수검사'!C29</f>
        <v>600</v>
      </c>
      <c r="C30" s="36">
        <f>'1. 소켓인수검사'!D29</f>
        <v>450</v>
      </c>
      <c r="D30" s="53" t="s">
        <v>17</v>
      </c>
      <c r="E30" s="61">
        <f t="shared" si="0"/>
        <v>0.27</v>
      </c>
      <c r="F30" s="61">
        <f t="shared" si="1"/>
        <v>2.1</v>
      </c>
      <c r="G30" s="26">
        <f t="shared" si="2"/>
        <v>2.5</v>
      </c>
      <c r="H30" s="26">
        <f t="shared" si="4"/>
        <v>4</v>
      </c>
      <c r="I30" s="62">
        <f t="shared" si="5"/>
        <v>10</v>
      </c>
      <c r="J30" s="26"/>
      <c r="K30" s="26"/>
      <c r="L30" s="26"/>
      <c r="M30" s="26"/>
      <c r="N30" s="26"/>
      <c r="O30" s="26"/>
      <c r="P30" s="26"/>
      <c r="Q30" s="26"/>
      <c r="R30" s="210"/>
      <c r="S30" s="211"/>
    </row>
    <row r="31" spans="1:19">
      <c r="A31" s="52" t="str">
        <f>'1. 소켓인수검사'!A30</f>
        <v>22</v>
      </c>
      <c r="B31" s="36">
        <f>'1. 소켓인수검사'!C30</f>
        <v>600</v>
      </c>
      <c r="C31" s="36">
        <f>'1. 소켓인수검사'!D30</f>
        <v>550</v>
      </c>
      <c r="D31" s="53" t="s">
        <v>17</v>
      </c>
      <c r="E31" s="61">
        <f t="shared" si="0"/>
        <v>0.33</v>
      </c>
      <c r="F31" s="61">
        <f t="shared" si="1"/>
        <v>2.2999999999999998</v>
      </c>
      <c r="G31" s="26">
        <f t="shared" si="2"/>
        <v>2.6999999999999997</v>
      </c>
      <c r="H31" s="26">
        <f t="shared" si="4"/>
        <v>4</v>
      </c>
      <c r="I31" s="62">
        <f t="shared" si="5"/>
        <v>10.799999999999999</v>
      </c>
      <c r="J31" s="26"/>
      <c r="K31" s="26"/>
      <c r="L31" s="26"/>
      <c r="M31" s="26"/>
      <c r="N31" s="26"/>
      <c r="O31" s="26"/>
      <c r="P31" s="26"/>
      <c r="Q31" s="26"/>
      <c r="R31" s="210"/>
      <c r="S31" s="211"/>
    </row>
    <row r="32" spans="1:19">
      <c r="A32" s="52" t="str">
        <f>'1. 소켓인수검사'!A31</f>
        <v>23</v>
      </c>
      <c r="B32" s="36">
        <f>'1. 소켓인수검사'!C31</f>
        <v>600</v>
      </c>
      <c r="C32" s="36">
        <f>'1. 소켓인수검사'!D31</f>
        <v>600</v>
      </c>
      <c r="D32" s="53" t="s">
        <v>17</v>
      </c>
      <c r="E32" s="61">
        <f t="shared" si="0"/>
        <v>0.36</v>
      </c>
      <c r="F32" s="61">
        <f t="shared" si="1"/>
        <v>2.4</v>
      </c>
      <c r="G32" s="26">
        <f t="shared" si="2"/>
        <v>2.8</v>
      </c>
      <c r="H32" s="26">
        <f t="shared" si="4"/>
        <v>4</v>
      </c>
      <c r="I32" s="62">
        <f t="shared" si="5"/>
        <v>11.2</v>
      </c>
      <c r="J32" s="26"/>
      <c r="K32" s="26"/>
      <c r="L32" s="26"/>
      <c r="M32" s="26"/>
      <c r="N32" s="26"/>
      <c r="O32" s="26"/>
      <c r="P32" s="26"/>
      <c r="Q32" s="26"/>
      <c r="R32" s="210"/>
      <c r="S32" s="211"/>
    </row>
    <row r="33" spans="1:19">
      <c r="A33" s="52" t="str">
        <f>'1. 소켓인수검사'!A32</f>
        <v>24</v>
      </c>
      <c r="B33" s="36">
        <f>'1. 소켓인수검사'!C32</f>
        <v>600</v>
      </c>
      <c r="C33" s="36">
        <f>'1. 소켓인수검사'!D32</f>
        <v>600</v>
      </c>
      <c r="D33" s="53" t="s">
        <v>17</v>
      </c>
      <c r="E33" s="61">
        <f t="shared" si="0"/>
        <v>0.36</v>
      </c>
      <c r="F33" s="61">
        <f t="shared" si="1"/>
        <v>2.4</v>
      </c>
      <c r="G33" s="26">
        <f t="shared" si="2"/>
        <v>2.8</v>
      </c>
      <c r="H33" s="26">
        <f t="shared" si="4"/>
        <v>4</v>
      </c>
      <c r="I33" s="62">
        <f t="shared" si="5"/>
        <v>11.2</v>
      </c>
      <c r="J33" s="63"/>
      <c r="K33" s="26"/>
      <c r="L33" s="26"/>
      <c r="M33" s="63"/>
      <c r="N33" s="26"/>
      <c r="O33" s="26"/>
      <c r="P33" s="63"/>
      <c r="Q33" s="26"/>
      <c r="R33" s="210"/>
      <c r="S33" s="211"/>
    </row>
    <row r="34" spans="1:19">
      <c r="A34" s="52" t="str">
        <f>'1. 소켓인수검사'!A33</f>
        <v>25</v>
      </c>
      <c r="B34" s="36">
        <f>'1. 소켓인수검사'!C33</f>
        <v>650</v>
      </c>
      <c r="C34" s="36">
        <f>'1. 소켓인수검사'!D33</f>
        <v>350</v>
      </c>
      <c r="D34" s="53" t="s">
        <v>17</v>
      </c>
      <c r="E34" s="61">
        <f t="shared" si="0"/>
        <v>0.22750000000000001</v>
      </c>
      <c r="F34" s="61">
        <f t="shared" si="1"/>
        <v>2</v>
      </c>
      <c r="G34" s="26">
        <f t="shared" si="2"/>
        <v>2.4</v>
      </c>
      <c r="H34" s="26">
        <f t="shared" si="4"/>
        <v>4</v>
      </c>
      <c r="I34" s="62">
        <f t="shared" si="5"/>
        <v>9.6</v>
      </c>
      <c r="J34" s="63"/>
      <c r="K34" s="26"/>
      <c r="L34" s="26"/>
      <c r="M34" s="63"/>
      <c r="N34" s="26"/>
      <c r="O34" s="26"/>
      <c r="P34" s="63"/>
      <c r="Q34" s="26"/>
      <c r="R34" s="210"/>
      <c r="S34" s="211"/>
    </row>
    <row r="35" spans="1:19">
      <c r="A35" s="52" t="str">
        <f>'1. 소켓인수검사'!A34</f>
        <v>26</v>
      </c>
      <c r="B35" s="36">
        <f>'1. 소켓인수검사'!C34</f>
        <v>650</v>
      </c>
      <c r="C35" s="36">
        <f>'1. 소켓인수검사'!D34</f>
        <v>400</v>
      </c>
      <c r="D35" s="53" t="s">
        <v>17</v>
      </c>
      <c r="E35" s="61">
        <f t="shared" si="0"/>
        <v>0.26</v>
      </c>
      <c r="F35" s="61">
        <f t="shared" si="1"/>
        <v>2.1</v>
      </c>
      <c r="G35" s="26">
        <f t="shared" si="2"/>
        <v>2.5</v>
      </c>
      <c r="H35" s="26">
        <f t="shared" si="4"/>
        <v>4</v>
      </c>
      <c r="I35" s="62">
        <f t="shared" si="5"/>
        <v>10</v>
      </c>
      <c r="J35" s="63"/>
      <c r="K35" s="26"/>
      <c r="L35" s="26"/>
      <c r="M35" s="63"/>
      <c r="N35" s="26"/>
      <c r="O35" s="26"/>
      <c r="P35" s="63"/>
      <c r="Q35" s="26"/>
      <c r="R35" s="210"/>
      <c r="S35" s="211"/>
    </row>
    <row r="36" spans="1:19">
      <c r="A36" s="52" t="str">
        <f>'1. 소켓인수검사'!A35</f>
        <v>27</v>
      </c>
      <c r="B36" s="36">
        <f>'1. 소켓인수검사'!C35</f>
        <v>650</v>
      </c>
      <c r="C36" s="36">
        <f>'1. 소켓인수검사'!D35</f>
        <v>450</v>
      </c>
      <c r="D36" s="53" t="s">
        <v>17</v>
      </c>
      <c r="E36" s="61">
        <f t="shared" si="0"/>
        <v>0.29249999999999998</v>
      </c>
      <c r="F36" s="61">
        <f t="shared" si="1"/>
        <v>2.2000000000000002</v>
      </c>
      <c r="G36" s="26">
        <f t="shared" si="2"/>
        <v>2.6</v>
      </c>
      <c r="H36" s="26">
        <f t="shared" si="4"/>
        <v>4</v>
      </c>
      <c r="I36" s="62">
        <f t="shared" si="5"/>
        <v>10.4</v>
      </c>
      <c r="J36" s="63"/>
      <c r="K36" s="26"/>
      <c r="L36" s="26"/>
      <c r="M36" s="63"/>
      <c r="N36" s="26"/>
      <c r="O36" s="26"/>
      <c r="P36" s="63"/>
      <c r="Q36" s="26"/>
      <c r="R36" s="210"/>
      <c r="S36" s="211"/>
    </row>
    <row r="37" spans="1:19">
      <c r="A37" s="52" t="str">
        <f>'1. 소켓인수검사'!A36</f>
        <v>28</v>
      </c>
      <c r="B37" s="36">
        <f>'1. 소켓인수검사'!C36</f>
        <v>700</v>
      </c>
      <c r="C37" s="36">
        <f>'1. 소켓인수검사'!D36</f>
        <v>650</v>
      </c>
      <c r="D37" s="53" t="s">
        <v>17</v>
      </c>
      <c r="E37" s="61">
        <f t="shared" si="0"/>
        <v>0.45500000000000002</v>
      </c>
      <c r="F37" s="61">
        <f t="shared" si="1"/>
        <v>2.7</v>
      </c>
      <c r="G37" s="26">
        <f t="shared" si="2"/>
        <v>3.1</v>
      </c>
      <c r="H37" s="26">
        <f t="shared" si="4"/>
        <v>4</v>
      </c>
      <c r="I37" s="62">
        <f t="shared" si="5"/>
        <v>12.4</v>
      </c>
      <c r="J37" s="26"/>
      <c r="K37" s="26"/>
      <c r="L37" s="26"/>
      <c r="M37" s="26"/>
      <c r="N37" s="26"/>
      <c r="O37" s="26"/>
      <c r="P37" s="26"/>
      <c r="Q37" s="26"/>
      <c r="R37" s="210"/>
      <c r="S37" s="211"/>
    </row>
    <row r="38" spans="1:19">
      <c r="A38" s="52" t="str">
        <f>'1. 소켓인수검사'!A37</f>
        <v>29</v>
      </c>
      <c r="B38" s="36">
        <f>'1. 소켓인수검사'!C37</f>
        <v>750</v>
      </c>
      <c r="C38" s="36">
        <f>'1. 소켓인수검사'!D37</f>
        <v>550</v>
      </c>
      <c r="D38" s="53" t="s">
        <v>17</v>
      </c>
      <c r="E38" s="61">
        <f t="shared" si="0"/>
        <v>0.41249999999999998</v>
      </c>
      <c r="F38" s="61">
        <f t="shared" si="1"/>
        <v>2.6</v>
      </c>
      <c r="G38" s="26">
        <f t="shared" si="2"/>
        <v>3</v>
      </c>
      <c r="H38" s="26">
        <f t="shared" si="4"/>
        <v>4</v>
      </c>
      <c r="I38" s="62">
        <f t="shared" si="5"/>
        <v>12</v>
      </c>
      <c r="J38" s="26"/>
      <c r="K38" s="26"/>
      <c r="L38" s="26"/>
      <c r="M38" s="26"/>
      <c r="N38" s="26"/>
      <c r="O38" s="26"/>
      <c r="P38" s="26"/>
      <c r="Q38" s="26"/>
      <c r="R38" s="210"/>
      <c r="S38" s="211"/>
    </row>
    <row r="39" spans="1:19">
      <c r="A39" s="52" t="str">
        <f>'1. 소켓인수검사'!A38</f>
        <v>30</v>
      </c>
      <c r="B39" s="36">
        <f>'1. 소켓인수검사'!C38</f>
        <v>750</v>
      </c>
      <c r="C39" s="36">
        <f>'1. 소켓인수검사'!D38</f>
        <v>550</v>
      </c>
      <c r="D39" s="53" t="s">
        <v>17</v>
      </c>
      <c r="E39" s="61">
        <f t="shared" si="0"/>
        <v>0.41249999999999998</v>
      </c>
      <c r="F39" s="61">
        <f t="shared" si="1"/>
        <v>2.6</v>
      </c>
      <c r="G39" s="26">
        <f t="shared" si="2"/>
        <v>3</v>
      </c>
      <c r="H39" s="26">
        <f t="shared" si="4"/>
        <v>4</v>
      </c>
      <c r="I39" s="62">
        <f t="shared" si="5"/>
        <v>12</v>
      </c>
      <c r="J39" s="26"/>
      <c r="K39" s="26"/>
      <c r="L39" s="26"/>
      <c r="M39" s="26"/>
      <c r="N39" s="26"/>
      <c r="O39" s="26"/>
      <c r="P39" s="26"/>
      <c r="Q39" s="26"/>
      <c r="R39" s="210"/>
      <c r="S39" s="211"/>
    </row>
    <row r="40" spans="1:19">
      <c r="A40" s="52" t="str">
        <f>'1. 소켓인수검사'!A39</f>
        <v>31</v>
      </c>
      <c r="B40" s="36">
        <f>'1. 소켓인수검사'!C39</f>
        <v>800</v>
      </c>
      <c r="C40" s="36">
        <f>'1. 소켓인수검사'!D39</f>
        <v>350</v>
      </c>
      <c r="D40" s="53" t="s">
        <v>17</v>
      </c>
      <c r="E40" s="61">
        <f t="shared" ref="E40:E42" si="6">B40*C40/1000000</f>
        <v>0.28000000000000003</v>
      </c>
      <c r="F40" s="61">
        <f t="shared" ref="F40:F42" si="7">(B40+C40)*2/1000</f>
        <v>2.2999999999999998</v>
      </c>
      <c r="G40" s="26">
        <f t="shared" si="2"/>
        <v>2.6999999999999997</v>
      </c>
      <c r="H40" s="26">
        <f t="shared" si="4"/>
        <v>4</v>
      </c>
      <c r="I40" s="62">
        <f t="shared" si="5"/>
        <v>10.799999999999999</v>
      </c>
      <c r="J40" s="26"/>
      <c r="K40" s="26"/>
      <c r="L40" s="26"/>
      <c r="M40" s="26"/>
      <c r="N40" s="26"/>
      <c r="O40" s="26"/>
      <c r="P40" s="26"/>
      <c r="Q40" s="26"/>
      <c r="R40" s="210"/>
      <c r="S40" s="211"/>
    </row>
    <row r="41" spans="1:19">
      <c r="A41" s="52" t="str">
        <f>'1. 소켓인수검사'!A40</f>
        <v>32</v>
      </c>
      <c r="B41" s="36">
        <f>'1. 소켓인수검사'!C40</f>
        <v>800</v>
      </c>
      <c r="C41" s="36">
        <f>'1. 소켓인수검사'!D40</f>
        <v>550</v>
      </c>
      <c r="D41" s="53" t="s">
        <v>17</v>
      </c>
      <c r="E41" s="61">
        <f t="shared" si="6"/>
        <v>0.44</v>
      </c>
      <c r="F41" s="61">
        <f t="shared" si="7"/>
        <v>2.7</v>
      </c>
      <c r="G41" s="26">
        <f t="shared" si="2"/>
        <v>3.1</v>
      </c>
      <c r="H41" s="26">
        <f t="shared" si="4"/>
        <v>4</v>
      </c>
      <c r="I41" s="62">
        <f t="shared" si="5"/>
        <v>12.4</v>
      </c>
      <c r="J41" s="26"/>
      <c r="K41" s="26"/>
      <c r="L41" s="26"/>
      <c r="M41" s="26"/>
      <c r="N41" s="26"/>
      <c r="O41" s="26"/>
      <c r="P41" s="26"/>
      <c r="Q41" s="26"/>
      <c r="R41" s="210"/>
      <c r="S41" s="211"/>
    </row>
    <row r="42" spans="1:19">
      <c r="A42" s="52" t="str">
        <f>'1. 소켓인수검사'!A41</f>
        <v>33</v>
      </c>
      <c r="B42" s="36">
        <f>'1. 소켓인수검사'!C41</f>
        <v>800</v>
      </c>
      <c r="C42" s="36">
        <f>'1. 소켓인수검사'!D41</f>
        <v>600</v>
      </c>
      <c r="D42" s="53" t="s">
        <v>17</v>
      </c>
      <c r="E42" s="61">
        <f t="shared" si="6"/>
        <v>0.48</v>
      </c>
      <c r="F42" s="61">
        <f t="shared" si="7"/>
        <v>2.8</v>
      </c>
      <c r="G42" s="26">
        <f t="shared" si="2"/>
        <v>3.1999999999999997</v>
      </c>
      <c r="H42" s="26">
        <f t="shared" si="4"/>
        <v>4</v>
      </c>
      <c r="I42" s="62">
        <f t="shared" si="5"/>
        <v>12.799999999999999</v>
      </c>
      <c r="J42" s="26"/>
      <c r="K42" s="26"/>
      <c r="L42" s="26"/>
      <c r="M42" s="26"/>
      <c r="N42" s="26"/>
      <c r="O42" s="26"/>
      <c r="P42" s="26"/>
      <c r="Q42" s="26"/>
      <c r="R42" s="210"/>
      <c r="S42" s="211"/>
    </row>
    <row r="43" spans="1:19">
      <c r="A43" s="52" t="str">
        <f>'1. 소켓인수검사'!A42</f>
        <v>34</v>
      </c>
      <c r="B43" s="36">
        <f>'1. 소켓인수검사'!C42</f>
        <v>800</v>
      </c>
      <c r="C43" s="36">
        <f>'1. 소켓인수검사'!D42</f>
        <v>600</v>
      </c>
      <c r="D43" s="53" t="s">
        <v>17</v>
      </c>
      <c r="E43" s="61">
        <f>B43*C43/1000000</f>
        <v>0.48</v>
      </c>
      <c r="F43" s="61">
        <f>(B43+C43)*2/1000</f>
        <v>2.8</v>
      </c>
      <c r="G43" s="26">
        <f>(F43+0.4)</f>
        <v>3.1999999999999997</v>
      </c>
      <c r="H43" s="26">
        <v>4</v>
      </c>
      <c r="I43" s="62">
        <f>G43*H43</f>
        <v>12.799999999999999</v>
      </c>
      <c r="J43" s="26"/>
      <c r="K43" s="26"/>
      <c r="L43" s="26"/>
      <c r="M43" s="26"/>
      <c r="N43" s="26"/>
      <c r="O43" s="26"/>
      <c r="P43" s="26"/>
      <c r="Q43" s="26"/>
      <c r="R43" s="210"/>
      <c r="S43" s="211"/>
    </row>
    <row r="44" spans="1:19">
      <c r="A44" s="52" t="str">
        <f>'1. 소켓인수검사'!A43</f>
        <v>35</v>
      </c>
      <c r="B44" s="36">
        <f>'1. 소켓인수검사'!C43</f>
        <v>800</v>
      </c>
      <c r="C44" s="36">
        <f>'1. 소켓인수검사'!D43</f>
        <v>600</v>
      </c>
      <c r="D44" s="53" t="s">
        <v>17</v>
      </c>
      <c r="E44" s="61">
        <f t="shared" ref="E44" si="8">B44*C44/1000000</f>
        <v>0.48</v>
      </c>
      <c r="F44" s="61">
        <f t="shared" ref="F44" si="9">(B44+C44)*2/1000</f>
        <v>2.8</v>
      </c>
      <c r="G44" s="26">
        <f>(F44+0.4)</f>
        <v>3.1999999999999997</v>
      </c>
      <c r="H44" s="26">
        <v>4</v>
      </c>
      <c r="I44" s="62">
        <f>G44*H44</f>
        <v>12.799999999999999</v>
      </c>
      <c r="J44" s="26"/>
      <c r="K44" s="26"/>
      <c r="L44" s="26"/>
      <c r="M44" s="26"/>
      <c r="N44" s="26"/>
      <c r="O44" s="26"/>
      <c r="P44" s="26"/>
      <c r="Q44" s="26"/>
      <c r="R44" s="210"/>
      <c r="S44" s="211"/>
    </row>
    <row r="45" spans="1:19">
      <c r="A45" s="52" t="str">
        <f>'1. 소켓인수검사'!A44</f>
        <v>36</v>
      </c>
      <c r="B45" s="36">
        <f>'1. 소켓인수검사'!C44</f>
        <v>600</v>
      </c>
      <c r="C45" s="36">
        <f>'1. 소켓인수검사'!D44</f>
        <v>900</v>
      </c>
      <c r="D45" s="57" t="s">
        <v>6</v>
      </c>
      <c r="E45" s="61">
        <f t="shared" ref="E45:E48" si="10">B45*C45/1000000</f>
        <v>0.54</v>
      </c>
      <c r="F45" s="61">
        <f t="shared" ref="F45:F48" si="11">(B45+C45)*2/1000</f>
        <v>3</v>
      </c>
      <c r="G45" s="26">
        <f t="shared" ref="G45:G48" si="12">(F45+0.4)</f>
        <v>3.4</v>
      </c>
      <c r="H45" s="36">
        <v>2</v>
      </c>
      <c r="I45" s="62">
        <f t="shared" ref="I45:I48" si="13">G45*H45</f>
        <v>6.8</v>
      </c>
      <c r="J45" s="26">
        <f t="shared" ref="J45:J48" si="14">(F45+0.5)</f>
        <v>3.5</v>
      </c>
      <c r="K45" s="36">
        <v>2</v>
      </c>
      <c r="L45" s="26">
        <f>K45*J45</f>
        <v>7</v>
      </c>
      <c r="M45" s="26"/>
      <c r="N45" s="36"/>
      <c r="O45" s="26"/>
      <c r="P45" s="26"/>
      <c r="Q45" s="26"/>
      <c r="R45" s="210"/>
      <c r="S45" s="211"/>
    </row>
    <row r="46" spans="1:19">
      <c r="A46" s="52" t="str">
        <f>'1. 소켓인수검사'!A45</f>
        <v>37</v>
      </c>
      <c r="B46" s="36">
        <f>'1. 소켓인수검사'!C45</f>
        <v>600</v>
      </c>
      <c r="C46" s="36">
        <f>'1. 소켓인수검사'!D45</f>
        <v>1000</v>
      </c>
      <c r="D46" s="57" t="s">
        <v>6</v>
      </c>
      <c r="E46" s="61">
        <f t="shared" si="10"/>
        <v>0.6</v>
      </c>
      <c r="F46" s="61">
        <f t="shared" si="11"/>
        <v>3.2</v>
      </c>
      <c r="G46" s="26">
        <f t="shared" si="12"/>
        <v>3.6</v>
      </c>
      <c r="H46" s="36">
        <v>2</v>
      </c>
      <c r="I46" s="62">
        <f t="shared" si="13"/>
        <v>7.2</v>
      </c>
      <c r="J46" s="26">
        <f t="shared" si="14"/>
        <v>3.7</v>
      </c>
      <c r="K46" s="36">
        <v>2</v>
      </c>
      <c r="L46" s="26">
        <f t="shared" ref="L46:L48" si="15">K46*J46</f>
        <v>7.4</v>
      </c>
      <c r="M46" s="26"/>
      <c r="N46" s="36"/>
      <c r="O46" s="26"/>
      <c r="P46" s="26"/>
      <c r="Q46" s="26"/>
      <c r="R46" s="210"/>
      <c r="S46" s="211"/>
    </row>
    <row r="47" spans="1:19">
      <c r="A47" s="52" t="str">
        <f>'1. 소켓인수검사'!A46</f>
        <v>38</v>
      </c>
      <c r="B47" s="36">
        <f>'1. 소켓인수검사'!C46</f>
        <v>600</v>
      </c>
      <c r="C47" s="36">
        <f>'1. 소켓인수검사'!D46</f>
        <v>1000</v>
      </c>
      <c r="D47" s="57" t="s">
        <v>6</v>
      </c>
      <c r="E47" s="61">
        <f t="shared" si="10"/>
        <v>0.6</v>
      </c>
      <c r="F47" s="61">
        <f t="shared" si="11"/>
        <v>3.2</v>
      </c>
      <c r="G47" s="26">
        <f t="shared" si="12"/>
        <v>3.6</v>
      </c>
      <c r="H47" s="36">
        <v>2</v>
      </c>
      <c r="I47" s="62">
        <f t="shared" si="13"/>
        <v>7.2</v>
      </c>
      <c r="J47" s="26">
        <f t="shared" si="14"/>
        <v>3.7</v>
      </c>
      <c r="K47" s="36">
        <v>2</v>
      </c>
      <c r="L47" s="26">
        <f t="shared" si="15"/>
        <v>7.4</v>
      </c>
      <c r="M47" s="26"/>
      <c r="N47" s="36"/>
      <c r="O47" s="26"/>
      <c r="P47" s="26"/>
      <c r="Q47" s="26"/>
      <c r="R47" s="210"/>
      <c r="S47" s="211"/>
    </row>
    <row r="48" spans="1:19">
      <c r="A48" s="52" t="str">
        <f>'1. 소켓인수검사'!A47</f>
        <v>39</v>
      </c>
      <c r="B48" s="36">
        <f>'1. 소켓인수검사'!C47</f>
        <v>1000</v>
      </c>
      <c r="C48" s="36">
        <f>'1. 소켓인수검사'!D47</f>
        <v>550</v>
      </c>
      <c r="D48" s="57" t="s">
        <v>6</v>
      </c>
      <c r="E48" s="61">
        <f t="shared" si="10"/>
        <v>0.55000000000000004</v>
      </c>
      <c r="F48" s="61">
        <f t="shared" si="11"/>
        <v>3.1</v>
      </c>
      <c r="G48" s="26">
        <f t="shared" si="12"/>
        <v>3.5</v>
      </c>
      <c r="H48" s="36">
        <v>2</v>
      </c>
      <c r="I48" s="62">
        <f t="shared" si="13"/>
        <v>7</v>
      </c>
      <c r="J48" s="26">
        <f t="shared" si="14"/>
        <v>3.6</v>
      </c>
      <c r="K48" s="36">
        <v>2</v>
      </c>
      <c r="L48" s="26">
        <f t="shared" si="15"/>
        <v>7.2</v>
      </c>
      <c r="M48" s="26"/>
      <c r="N48" s="36"/>
      <c r="O48" s="26"/>
      <c r="P48" s="26"/>
      <c r="Q48" s="26"/>
      <c r="R48" s="210"/>
      <c r="S48" s="211"/>
    </row>
    <row r="49" spans="1:19">
      <c r="A49" s="212" t="s">
        <v>3</v>
      </c>
      <c r="B49" s="213"/>
      <c r="C49" s="213"/>
      <c r="D49" s="213"/>
      <c r="E49" s="213"/>
      <c r="F49" s="214"/>
      <c r="G49" s="34"/>
      <c r="H49" s="46"/>
      <c r="I49" s="71">
        <f>SUM(I10:I48)</f>
        <v>329.40000000000003</v>
      </c>
      <c r="J49" s="34"/>
      <c r="K49" s="34"/>
      <c r="L49" s="71">
        <f>SUM(L10:L48)</f>
        <v>29</v>
      </c>
      <c r="M49" s="34"/>
      <c r="N49" s="34"/>
      <c r="O49" s="71">
        <f>SUM(O10:O48)</f>
        <v>0</v>
      </c>
      <c r="P49" s="34"/>
      <c r="Q49" s="34"/>
      <c r="R49" s="215">
        <f>SUM(R10:S48)</f>
        <v>0</v>
      </c>
      <c r="S49" s="216"/>
    </row>
    <row r="50" spans="1:19" ht="17.25" customHeight="1">
      <c r="A50" s="219" t="s">
        <v>15</v>
      </c>
      <c r="B50" s="220"/>
      <c r="C50" s="220"/>
      <c r="D50" s="220"/>
      <c r="E50" s="220"/>
      <c r="F50" s="221"/>
      <c r="G50" s="222">
        <f>I49/20</f>
        <v>16.470000000000002</v>
      </c>
      <c r="H50" s="223"/>
      <c r="I50" s="223"/>
      <c r="J50" s="223"/>
      <c r="K50" s="223"/>
      <c r="L50" s="223"/>
      <c r="M50" s="223"/>
      <c r="N50" s="223"/>
      <c r="O50" s="223"/>
      <c r="P50" s="223"/>
      <c r="Q50" s="223"/>
      <c r="R50" s="223"/>
      <c r="S50" s="224"/>
    </row>
    <row r="51" spans="1:19">
      <c r="A51" s="219" t="s">
        <v>14</v>
      </c>
      <c r="B51" s="220"/>
      <c r="C51" s="220"/>
      <c r="D51" s="220"/>
      <c r="E51" s="220"/>
      <c r="F51" s="221"/>
      <c r="G51" s="222">
        <f>L49/3.6</f>
        <v>8.0555555555555554</v>
      </c>
      <c r="H51" s="223"/>
      <c r="I51" s="223"/>
      <c r="J51" s="223"/>
      <c r="K51" s="223"/>
      <c r="L51" s="223"/>
      <c r="M51" s="223"/>
      <c r="N51" s="223"/>
      <c r="O51" s="223"/>
      <c r="P51" s="223"/>
      <c r="Q51" s="223"/>
      <c r="R51" s="223"/>
      <c r="S51" s="224"/>
    </row>
    <row r="52" spans="1:19">
      <c r="A52" s="225" t="s">
        <v>72</v>
      </c>
      <c r="B52" s="220"/>
      <c r="C52" s="220"/>
      <c r="D52" s="220"/>
      <c r="E52" s="220"/>
      <c r="F52" s="221"/>
      <c r="G52" s="222">
        <f>O49/7.4</f>
        <v>0</v>
      </c>
      <c r="H52" s="223"/>
      <c r="I52" s="223"/>
      <c r="J52" s="223"/>
      <c r="K52" s="223"/>
      <c r="L52" s="223"/>
      <c r="M52" s="223"/>
      <c r="N52" s="223"/>
      <c r="O52" s="223"/>
      <c r="P52" s="223"/>
      <c r="Q52" s="223"/>
      <c r="R52" s="223"/>
      <c r="S52" s="224"/>
    </row>
    <row r="53" spans="1:19">
      <c r="A53" s="219" t="s">
        <v>16</v>
      </c>
      <c r="B53" s="220"/>
      <c r="C53" s="220"/>
      <c r="D53" s="220"/>
      <c r="E53" s="220"/>
      <c r="F53" s="221"/>
      <c r="G53" s="222">
        <f>R49/3.6</f>
        <v>0</v>
      </c>
      <c r="H53" s="223"/>
      <c r="I53" s="223"/>
      <c r="J53" s="223"/>
      <c r="K53" s="223"/>
      <c r="L53" s="223"/>
      <c r="M53" s="223"/>
      <c r="N53" s="223"/>
      <c r="O53" s="223"/>
      <c r="P53" s="223"/>
      <c r="Q53" s="223"/>
      <c r="R53" s="223"/>
      <c r="S53" s="224"/>
    </row>
    <row r="54" spans="1:19" ht="8.1" customHeight="1">
      <c r="A54" s="195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</row>
    <row r="55" spans="1:19">
      <c r="A55" s="241" t="s">
        <v>48</v>
      </c>
      <c r="B55" s="241"/>
      <c r="C55" s="217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</row>
    <row r="56" spans="1:19">
      <c r="A56" s="241"/>
      <c r="B56" s="241"/>
      <c r="C56" s="218"/>
      <c r="D56" s="218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</row>
    <row r="57" spans="1:19">
      <c r="A57" s="241"/>
      <c r="B57" s="241"/>
      <c r="C57" s="218"/>
      <c r="D57" s="218"/>
      <c r="E57" s="218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</row>
  </sheetData>
  <mergeCells count="78">
    <mergeCell ref="A55:B57"/>
    <mergeCell ref="C55:S57"/>
    <mergeCell ref="A50:F50"/>
    <mergeCell ref="G50:S50"/>
    <mergeCell ref="A51:F51"/>
    <mergeCell ref="G51:S51"/>
    <mergeCell ref="A52:F52"/>
    <mergeCell ref="G52:S52"/>
    <mergeCell ref="A53:F53"/>
    <mergeCell ref="G53:S53"/>
    <mergeCell ref="A54:S54"/>
    <mergeCell ref="R45:S45"/>
    <mergeCell ref="R46:S46"/>
    <mergeCell ref="R47:S47"/>
    <mergeCell ref="R48:S48"/>
    <mergeCell ref="A49:F49"/>
    <mergeCell ref="R49:S49"/>
    <mergeCell ref="R40:S40"/>
    <mergeCell ref="R41:S41"/>
    <mergeCell ref="R42:S42"/>
    <mergeCell ref="R43:S43"/>
    <mergeCell ref="R44:S44"/>
    <mergeCell ref="R35:S35"/>
    <mergeCell ref="R36:S36"/>
    <mergeCell ref="R37:S37"/>
    <mergeCell ref="R38:S38"/>
    <mergeCell ref="R39:S39"/>
    <mergeCell ref="R30:S30"/>
    <mergeCell ref="R31:S31"/>
    <mergeCell ref="R32:S32"/>
    <mergeCell ref="R33:S33"/>
    <mergeCell ref="R34:S34"/>
    <mergeCell ref="R25:S25"/>
    <mergeCell ref="R26:S26"/>
    <mergeCell ref="R27:S27"/>
    <mergeCell ref="R28:S28"/>
    <mergeCell ref="R29:S29"/>
    <mergeCell ref="R20:S20"/>
    <mergeCell ref="R21:S21"/>
    <mergeCell ref="R22:S22"/>
    <mergeCell ref="R23:S23"/>
    <mergeCell ref="R24:S24"/>
    <mergeCell ref="R15:S15"/>
    <mergeCell ref="R16:S16"/>
    <mergeCell ref="R17:S17"/>
    <mergeCell ref="R18:S18"/>
    <mergeCell ref="R19:S19"/>
    <mergeCell ref="R10:S10"/>
    <mergeCell ref="R11:S11"/>
    <mergeCell ref="R12:S12"/>
    <mergeCell ref="R13:S13"/>
    <mergeCell ref="R14:S14"/>
    <mergeCell ref="F8:F9"/>
    <mergeCell ref="G8:I8"/>
    <mergeCell ref="J8:L8"/>
    <mergeCell ref="M8:O8"/>
    <mergeCell ref="P8:S8"/>
    <mergeCell ref="R9:S9"/>
    <mergeCell ref="A8:A9"/>
    <mergeCell ref="B8:B9"/>
    <mergeCell ref="C8:C9"/>
    <mergeCell ref="D8:D9"/>
    <mergeCell ref="E8:E9"/>
    <mergeCell ref="L5:L6"/>
    <mergeCell ref="O5:O6"/>
    <mergeCell ref="P5:S6"/>
    <mergeCell ref="E6:F6"/>
    <mergeCell ref="A7:S7"/>
    <mergeCell ref="A5:B6"/>
    <mergeCell ref="C5:C6"/>
    <mergeCell ref="E5:F5"/>
    <mergeCell ref="G5:G6"/>
    <mergeCell ref="H5:K6"/>
    <mergeCell ref="A1:C3"/>
    <mergeCell ref="D1:Q4"/>
    <mergeCell ref="R1:R4"/>
    <mergeCell ref="S2:S4"/>
    <mergeCell ref="A4:B4"/>
  </mergeCells>
  <phoneticPr fontId="26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53"/>
  <sheetViews>
    <sheetView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Y36" sqref="Y36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1"/>
      <c r="B1" s="1"/>
      <c r="C1" s="1"/>
      <c r="D1" s="1"/>
      <c r="E1" s="82" t="s">
        <v>8</v>
      </c>
      <c r="F1" s="230" t="s">
        <v>69</v>
      </c>
      <c r="G1" s="230"/>
      <c r="H1" s="230"/>
      <c r="I1" s="230"/>
      <c r="J1" s="230"/>
      <c r="K1" s="149" t="str">
        <f>'1. 소켓인수검사'!R2</f>
        <v>26.06.11 웰스홈_신승에프엔티_에이치제이종합건설_조선대학교 감염병 전문병원</v>
      </c>
      <c r="L1" s="149"/>
      <c r="M1" s="149"/>
      <c r="N1" s="149"/>
      <c r="O1" s="149"/>
      <c r="P1" s="149"/>
      <c r="Q1" s="149"/>
      <c r="R1" s="149"/>
      <c r="S1" s="149"/>
      <c r="T1" s="149"/>
      <c r="U1" s="150"/>
    </row>
    <row r="2" spans="1:21" ht="16.5" customHeight="1">
      <c r="A2" s="1"/>
      <c r="B2" s="1"/>
      <c r="C2" s="1"/>
      <c r="D2" s="1"/>
      <c r="E2" s="81"/>
      <c r="F2" s="231"/>
      <c r="G2" s="231"/>
      <c r="H2" s="231"/>
      <c r="I2" s="231"/>
      <c r="J2" s="23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2"/>
    </row>
    <row r="3" spans="1:21" ht="24" customHeight="1">
      <c r="A3" s="1"/>
      <c r="B3" s="1"/>
      <c r="C3" s="1"/>
      <c r="D3" s="1"/>
      <c r="E3" s="83"/>
      <c r="F3" s="232"/>
      <c r="G3" s="232"/>
      <c r="H3" s="232"/>
      <c r="I3" s="232"/>
      <c r="J3" s="232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4"/>
    </row>
    <row r="4" spans="1:21" ht="8.1" customHeight="1">
      <c r="A4" s="197"/>
      <c r="B4" s="155"/>
      <c r="C4" s="155"/>
      <c r="D4" s="155"/>
      <c r="E4" s="155"/>
      <c r="F4" s="155"/>
      <c r="G4" s="155"/>
      <c r="H4" s="197"/>
      <c r="I4" s="155"/>
      <c r="J4" s="155"/>
      <c r="K4" s="155"/>
      <c r="L4" s="155"/>
      <c r="M4" s="155"/>
      <c r="N4" s="155"/>
      <c r="O4" s="155"/>
      <c r="P4" s="155"/>
      <c r="Q4" s="3"/>
      <c r="S4" s="3"/>
      <c r="T4" s="3"/>
      <c r="U4" s="3"/>
    </row>
    <row r="5" spans="1:21" ht="16.5" customHeight="1">
      <c r="A5" s="113" t="s">
        <v>55</v>
      </c>
      <c r="B5" s="236" t="s">
        <v>37</v>
      </c>
      <c r="C5" s="206" t="s">
        <v>62</v>
      </c>
      <c r="D5" s="206" t="s">
        <v>60</v>
      </c>
      <c r="E5" s="206" t="s">
        <v>25</v>
      </c>
      <c r="F5" s="206" t="s">
        <v>50</v>
      </c>
      <c r="G5" s="206" t="s">
        <v>57</v>
      </c>
      <c r="H5" s="206" t="s">
        <v>41</v>
      </c>
      <c r="I5" s="206" t="s">
        <v>24</v>
      </c>
      <c r="J5" s="206"/>
      <c r="K5" s="206" t="s">
        <v>0</v>
      </c>
      <c r="L5" s="206"/>
      <c r="M5" s="206" t="s">
        <v>0</v>
      </c>
      <c r="N5" s="206"/>
      <c r="O5" s="206" t="s">
        <v>0</v>
      </c>
      <c r="P5" s="206"/>
      <c r="Q5" s="238" t="s">
        <v>49</v>
      </c>
      <c r="R5" s="238"/>
      <c r="S5" s="239" t="s">
        <v>31</v>
      </c>
      <c r="T5" s="239" t="s">
        <v>54</v>
      </c>
      <c r="U5" s="226" t="s">
        <v>19</v>
      </c>
    </row>
    <row r="6" spans="1:21" ht="26.45" customHeight="1">
      <c r="A6" s="205"/>
      <c r="B6" s="237"/>
      <c r="C6" s="207"/>
      <c r="D6" s="207"/>
      <c r="E6" s="207"/>
      <c r="F6" s="207"/>
      <c r="G6" s="207"/>
      <c r="H6" s="207"/>
      <c r="I6" s="67" t="s">
        <v>9</v>
      </c>
      <c r="J6" s="35" t="s">
        <v>53</v>
      </c>
      <c r="K6" s="67" t="s">
        <v>70</v>
      </c>
      <c r="L6" s="35" t="s">
        <v>53</v>
      </c>
      <c r="M6" s="67" t="s">
        <v>36</v>
      </c>
      <c r="N6" s="35" t="s">
        <v>53</v>
      </c>
      <c r="O6" s="67" t="s">
        <v>38</v>
      </c>
      <c r="P6" s="35" t="s">
        <v>53</v>
      </c>
      <c r="Q6" s="67" t="s">
        <v>51</v>
      </c>
      <c r="R6" s="35" t="s">
        <v>63</v>
      </c>
      <c r="S6" s="240"/>
      <c r="T6" s="240"/>
      <c r="U6" s="227"/>
    </row>
    <row r="7" spans="1:21">
      <c r="A7" s="52" t="str">
        <f>'1. 소켓인수검사'!A9</f>
        <v>01</v>
      </c>
      <c r="B7" s="68" t="s">
        <v>43</v>
      </c>
      <c r="C7" s="36">
        <f>'1. 소켓인수검사'!C9</f>
        <v>200</v>
      </c>
      <c r="D7" s="36">
        <f>'1. 소켓인수검사'!D9</f>
        <v>250</v>
      </c>
      <c r="E7" s="37"/>
      <c r="F7" s="38">
        <f>C7*D7/1000000</f>
        <v>0.05</v>
      </c>
      <c r="G7" s="38">
        <f>(C7+D7)*2/1000</f>
        <v>0.9</v>
      </c>
      <c r="H7" s="45">
        <v>2</v>
      </c>
      <c r="I7" s="67">
        <f>(G7+0.4)</f>
        <v>1.3</v>
      </c>
      <c r="J7" s="35">
        <v>8</v>
      </c>
      <c r="K7" s="26"/>
      <c r="L7" s="35"/>
      <c r="M7" s="26"/>
      <c r="N7" s="35"/>
      <c r="O7" s="26"/>
      <c r="P7" s="35"/>
      <c r="Q7" s="39">
        <f>(((C7+60)+250+(D7+60))*2/1000)*2</f>
        <v>3.28</v>
      </c>
      <c r="R7" s="101">
        <f>Q7*2</f>
        <v>6.56</v>
      </c>
      <c r="S7" s="40" t="s">
        <v>10</v>
      </c>
      <c r="T7" s="41" t="s">
        <v>13</v>
      </c>
      <c r="U7" s="42" t="str">
        <f>'1. 소켓인수검사'!G9</f>
        <v>지상7층</v>
      </c>
    </row>
    <row r="8" spans="1:21">
      <c r="A8" s="52" t="str">
        <f>'1. 소켓인수검사'!A10</f>
        <v>02</v>
      </c>
      <c r="B8" s="68" t="s">
        <v>42</v>
      </c>
      <c r="C8" s="36">
        <f>'1. 소켓인수검사'!C10</f>
        <v>250</v>
      </c>
      <c r="D8" s="36">
        <f>'1. 소켓인수검사'!D10</f>
        <v>200</v>
      </c>
      <c r="E8" s="37"/>
      <c r="F8" s="38">
        <f t="shared" ref="F8:F9" si="0">C8*D8/1000000</f>
        <v>0.05</v>
      </c>
      <c r="G8" s="38">
        <f t="shared" ref="G8:G9" si="1">(C8+D8)*2/1000</f>
        <v>0.9</v>
      </c>
      <c r="H8" s="45">
        <v>2</v>
      </c>
      <c r="I8" s="67">
        <f>(G8+0.4)</f>
        <v>1.3</v>
      </c>
      <c r="J8" s="35">
        <v>8</v>
      </c>
      <c r="K8" s="26"/>
      <c r="L8" s="35"/>
      <c r="M8" s="26"/>
      <c r="N8" s="35"/>
      <c r="O8" s="26"/>
      <c r="P8" s="35"/>
      <c r="Q8" s="39">
        <f t="shared" ref="Q8:Q41" si="2">(((C8+60)+250+(D8+60))*2/1000)*2</f>
        <v>3.28</v>
      </c>
      <c r="R8" s="101">
        <f>Q8*2</f>
        <v>6.56</v>
      </c>
      <c r="S8" s="40" t="s">
        <v>10</v>
      </c>
      <c r="T8" s="41" t="s">
        <v>13</v>
      </c>
      <c r="U8" s="42" t="str">
        <f>'1. 소켓인수검사'!G10</f>
        <v>지상6층</v>
      </c>
    </row>
    <row r="9" spans="1:21">
      <c r="A9" s="52" t="str">
        <f>'1. 소켓인수검사'!A11</f>
        <v>03</v>
      </c>
      <c r="B9" s="68" t="s">
        <v>40</v>
      </c>
      <c r="C9" s="36">
        <f>'1. 소켓인수검사'!C11</f>
        <v>250</v>
      </c>
      <c r="D9" s="36">
        <f>'1. 소켓인수검사'!D11</f>
        <v>200</v>
      </c>
      <c r="E9" s="37"/>
      <c r="F9" s="38">
        <f t="shared" si="0"/>
        <v>0.05</v>
      </c>
      <c r="G9" s="38">
        <f t="shared" si="1"/>
        <v>0.9</v>
      </c>
      <c r="H9" s="45">
        <v>2</v>
      </c>
      <c r="I9" s="67">
        <f>(G9+0.4)</f>
        <v>1.3</v>
      </c>
      <c r="J9" s="35">
        <v>8</v>
      </c>
      <c r="K9" s="26"/>
      <c r="L9" s="35"/>
      <c r="M9" s="26"/>
      <c r="N9" s="35"/>
      <c r="O9" s="26"/>
      <c r="P9" s="35"/>
      <c r="Q9" s="39">
        <f t="shared" si="2"/>
        <v>3.28</v>
      </c>
      <c r="R9" s="101">
        <f t="shared" ref="R9:R45" si="3">Q9*2</f>
        <v>6.56</v>
      </c>
      <c r="S9" s="40" t="s">
        <v>10</v>
      </c>
      <c r="T9" s="41" t="s">
        <v>13</v>
      </c>
      <c r="U9" s="42" t="str">
        <f>'1. 소켓인수검사'!G11</f>
        <v>지상7층</v>
      </c>
    </row>
    <row r="10" spans="1:21">
      <c r="A10" s="52" t="str">
        <f>'1. 소켓인수검사'!A12</f>
        <v>04</v>
      </c>
      <c r="B10" s="68" t="s">
        <v>40</v>
      </c>
      <c r="C10" s="36">
        <f>'1. 소켓인수검사'!C12</f>
        <v>250</v>
      </c>
      <c r="D10" s="36">
        <f>'1. 소켓인수검사'!D12</f>
        <v>200</v>
      </c>
      <c r="E10" s="37"/>
      <c r="F10" s="38">
        <f t="shared" ref="F10:F41" si="4">C10*D10/1000000</f>
        <v>0.05</v>
      </c>
      <c r="G10" s="38">
        <f t="shared" ref="G10:G41" si="5">(C10+D10)*2/1000</f>
        <v>0.9</v>
      </c>
      <c r="H10" s="45">
        <v>2</v>
      </c>
      <c r="I10" s="67">
        <f t="shared" ref="I10:I41" si="6">(G10+0.4)</f>
        <v>1.3</v>
      </c>
      <c r="J10" s="35">
        <v>8</v>
      </c>
      <c r="K10" s="26"/>
      <c r="L10" s="35"/>
      <c r="M10" s="26"/>
      <c r="N10" s="35"/>
      <c r="O10" s="26"/>
      <c r="P10" s="35"/>
      <c r="Q10" s="39">
        <f t="shared" si="2"/>
        <v>3.28</v>
      </c>
      <c r="R10" s="101">
        <f t="shared" si="3"/>
        <v>6.56</v>
      </c>
      <c r="S10" s="40" t="s">
        <v>10</v>
      </c>
      <c r="T10" s="41" t="s">
        <v>13</v>
      </c>
      <c r="U10" s="42" t="str">
        <f>'1. 소켓인수검사'!G12</f>
        <v>지상7층</v>
      </c>
    </row>
    <row r="11" spans="1:21">
      <c r="A11" s="52" t="str">
        <f>'1. 소켓인수검사'!A13</f>
        <v>05</v>
      </c>
      <c r="B11" s="68" t="s">
        <v>40</v>
      </c>
      <c r="C11" s="36">
        <f>'1. 소켓인수검사'!C13</f>
        <v>250</v>
      </c>
      <c r="D11" s="36">
        <f>'1. 소켓인수검사'!D13</f>
        <v>200</v>
      </c>
      <c r="E11" s="37"/>
      <c r="F11" s="38">
        <f t="shared" si="4"/>
        <v>0.05</v>
      </c>
      <c r="G11" s="38">
        <f t="shared" si="5"/>
        <v>0.9</v>
      </c>
      <c r="H11" s="45">
        <v>2</v>
      </c>
      <c r="I11" s="67">
        <f t="shared" si="6"/>
        <v>1.3</v>
      </c>
      <c r="J11" s="35">
        <v>8</v>
      </c>
      <c r="K11" s="26"/>
      <c r="L11" s="35"/>
      <c r="M11" s="26"/>
      <c r="N11" s="35"/>
      <c r="O11" s="26"/>
      <c r="P11" s="35"/>
      <c r="Q11" s="39">
        <f t="shared" si="2"/>
        <v>3.28</v>
      </c>
      <c r="R11" s="101">
        <f t="shared" si="3"/>
        <v>6.56</v>
      </c>
      <c r="S11" s="40" t="s">
        <v>10</v>
      </c>
      <c r="T11" s="41" t="s">
        <v>13</v>
      </c>
      <c r="U11" s="42" t="str">
        <f>'1. 소켓인수검사'!G13</f>
        <v>지상7층</v>
      </c>
    </row>
    <row r="12" spans="1:21">
      <c r="A12" s="52" t="str">
        <f>'1. 소켓인수검사'!A14</f>
        <v>06</v>
      </c>
      <c r="B12" s="68" t="s">
        <v>40</v>
      </c>
      <c r="C12" s="36">
        <f>'1. 소켓인수검사'!C14</f>
        <v>250</v>
      </c>
      <c r="D12" s="36">
        <f>'1. 소켓인수검사'!D14</f>
        <v>250</v>
      </c>
      <c r="E12" s="37"/>
      <c r="F12" s="38">
        <f t="shared" si="4"/>
        <v>6.25E-2</v>
      </c>
      <c r="G12" s="38">
        <f t="shared" si="5"/>
        <v>1</v>
      </c>
      <c r="H12" s="45">
        <v>2</v>
      </c>
      <c r="I12" s="67">
        <f t="shared" si="6"/>
        <v>1.4</v>
      </c>
      <c r="J12" s="35">
        <v>8</v>
      </c>
      <c r="K12" s="26"/>
      <c r="L12" s="35"/>
      <c r="M12" s="26"/>
      <c r="N12" s="35"/>
      <c r="O12" s="26"/>
      <c r="P12" s="35"/>
      <c r="Q12" s="39">
        <f t="shared" si="2"/>
        <v>3.48</v>
      </c>
      <c r="R12" s="101">
        <f t="shared" si="3"/>
        <v>6.96</v>
      </c>
      <c r="S12" s="40" t="s">
        <v>10</v>
      </c>
      <c r="T12" s="41" t="s">
        <v>13</v>
      </c>
      <c r="U12" s="42" t="str">
        <f>'1. 소켓인수검사'!G14</f>
        <v>지상7층</v>
      </c>
    </row>
    <row r="13" spans="1:21">
      <c r="A13" s="52" t="str">
        <f>'1. 소켓인수검사'!A15</f>
        <v>07</v>
      </c>
      <c r="B13" s="68" t="s">
        <v>40</v>
      </c>
      <c r="C13" s="36">
        <f>'1. 소켓인수검사'!C15</f>
        <v>250</v>
      </c>
      <c r="D13" s="36">
        <f>'1. 소켓인수검사'!D15</f>
        <v>250</v>
      </c>
      <c r="E13" s="37"/>
      <c r="F13" s="38">
        <f t="shared" si="4"/>
        <v>6.25E-2</v>
      </c>
      <c r="G13" s="38">
        <f t="shared" si="5"/>
        <v>1</v>
      </c>
      <c r="H13" s="45">
        <v>2</v>
      </c>
      <c r="I13" s="67">
        <f t="shared" si="6"/>
        <v>1.4</v>
      </c>
      <c r="J13" s="35">
        <v>8</v>
      </c>
      <c r="K13" s="26"/>
      <c r="L13" s="35"/>
      <c r="M13" s="26"/>
      <c r="N13" s="35"/>
      <c r="O13" s="26"/>
      <c r="P13" s="35"/>
      <c r="Q13" s="39">
        <f t="shared" si="2"/>
        <v>3.48</v>
      </c>
      <c r="R13" s="101">
        <f t="shared" si="3"/>
        <v>6.96</v>
      </c>
      <c r="S13" s="40" t="s">
        <v>10</v>
      </c>
      <c r="T13" s="41" t="s">
        <v>13</v>
      </c>
      <c r="U13" s="42" t="str">
        <f>'1. 소켓인수검사'!G15</f>
        <v>지상7층</v>
      </c>
    </row>
    <row r="14" spans="1:21">
      <c r="A14" s="52" t="str">
        <f>'1. 소켓인수검사'!A16</f>
        <v>08</v>
      </c>
      <c r="B14" s="68" t="s">
        <v>40</v>
      </c>
      <c r="C14" s="36">
        <f>'1. 소켓인수검사'!C16</f>
        <v>250</v>
      </c>
      <c r="D14" s="36">
        <f>'1. 소켓인수검사'!D16</f>
        <v>250</v>
      </c>
      <c r="E14" s="37"/>
      <c r="F14" s="38">
        <f t="shared" si="4"/>
        <v>6.25E-2</v>
      </c>
      <c r="G14" s="38">
        <f t="shared" si="5"/>
        <v>1</v>
      </c>
      <c r="H14" s="45">
        <v>2</v>
      </c>
      <c r="I14" s="67">
        <f t="shared" si="6"/>
        <v>1.4</v>
      </c>
      <c r="J14" s="35">
        <v>8</v>
      </c>
      <c r="K14" s="26"/>
      <c r="L14" s="35"/>
      <c r="M14" s="26"/>
      <c r="N14" s="35"/>
      <c r="O14" s="26"/>
      <c r="P14" s="35"/>
      <c r="Q14" s="39">
        <f t="shared" si="2"/>
        <v>3.48</v>
      </c>
      <c r="R14" s="101">
        <f t="shared" si="3"/>
        <v>6.96</v>
      </c>
      <c r="S14" s="40" t="s">
        <v>10</v>
      </c>
      <c r="T14" s="41" t="s">
        <v>13</v>
      </c>
      <c r="U14" s="42" t="str">
        <f>'1. 소켓인수검사'!G16</f>
        <v>지상7층</v>
      </c>
    </row>
    <row r="15" spans="1:21">
      <c r="A15" s="52" t="str">
        <f>'1. 소켓인수검사'!A17</f>
        <v>09</v>
      </c>
      <c r="B15" s="68" t="s">
        <v>40</v>
      </c>
      <c r="C15" s="36">
        <f>'1. 소켓인수검사'!C17</f>
        <v>250</v>
      </c>
      <c r="D15" s="36">
        <f>'1. 소켓인수검사'!D17</f>
        <v>250</v>
      </c>
      <c r="E15" s="37"/>
      <c r="F15" s="38">
        <f t="shared" si="4"/>
        <v>6.25E-2</v>
      </c>
      <c r="G15" s="38">
        <f t="shared" si="5"/>
        <v>1</v>
      </c>
      <c r="H15" s="45">
        <v>2</v>
      </c>
      <c r="I15" s="67">
        <f t="shared" si="6"/>
        <v>1.4</v>
      </c>
      <c r="J15" s="35">
        <v>8</v>
      </c>
      <c r="K15" s="26"/>
      <c r="L15" s="35"/>
      <c r="M15" s="26"/>
      <c r="N15" s="35"/>
      <c r="O15" s="26"/>
      <c r="P15" s="35"/>
      <c r="Q15" s="39">
        <f t="shared" si="2"/>
        <v>3.48</v>
      </c>
      <c r="R15" s="101">
        <f t="shared" si="3"/>
        <v>6.96</v>
      </c>
      <c r="S15" s="40" t="s">
        <v>10</v>
      </c>
      <c r="T15" s="41" t="s">
        <v>13</v>
      </c>
      <c r="U15" s="42" t="str">
        <f>'1. 소켓인수검사'!G17</f>
        <v>지상7층</v>
      </c>
    </row>
    <row r="16" spans="1:21">
      <c r="A16" s="52" t="str">
        <f>'1. 소켓인수검사'!A18</f>
        <v>10</v>
      </c>
      <c r="B16" s="68" t="s">
        <v>40</v>
      </c>
      <c r="C16" s="36">
        <f>'1. 소켓인수검사'!C18</f>
        <v>250</v>
      </c>
      <c r="D16" s="36">
        <f>'1. 소켓인수검사'!D18</f>
        <v>350</v>
      </c>
      <c r="E16" s="37"/>
      <c r="F16" s="38">
        <f t="shared" si="4"/>
        <v>8.7499999999999994E-2</v>
      </c>
      <c r="G16" s="38">
        <f t="shared" si="5"/>
        <v>1.2</v>
      </c>
      <c r="H16" s="45">
        <v>2</v>
      </c>
      <c r="I16" s="67">
        <f t="shared" si="6"/>
        <v>1.6</v>
      </c>
      <c r="J16" s="35">
        <v>8</v>
      </c>
      <c r="K16" s="26"/>
      <c r="L16" s="35"/>
      <c r="M16" s="26"/>
      <c r="N16" s="35"/>
      <c r="O16" s="26"/>
      <c r="P16" s="35"/>
      <c r="Q16" s="39">
        <f t="shared" si="2"/>
        <v>3.88</v>
      </c>
      <c r="R16" s="101">
        <f t="shared" si="3"/>
        <v>7.76</v>
      </c>
      <c r="S16" s="40" t="s">
        <v>10</v>
      </c>
      <c r="T16" s="41" t="s">
        <v>13</v>
      </c>
      <c r="U16" s="42" t="str">
        <f>'1. 소켓인수검사'!G18</f>
        <v>옥상층</v>
      </c>
    </row>
    <row r="17" spans="1:21">
      <c r="A17" s="52" t="str">
        <f>'1. 소켓인수검사'!A19</f>
        <v>11</v>
      </c>
      <c r="B17" s="68" t="s">
        <v>40</v>
      </c>
      <c r="C17" s="36">
        <f>'1. 소켓인수검사'!C19</f>
        <v>300</v>
      </c>
      <c r="D17" s="36">
        <f>'1. 소켓인수검사'!D19</f>
        <v>250</v>
      </c>
      <c r="E17" s="37"/>
      <c r="F17" s="38">
        <f t="shared" si="4"/>
        <v>7.4999999999999997E-2</v>
      </c>
      <c r="G17" s="38">
        <f t="shared" si="5"/>
        <v>1.1000000000000001</v>
      </c>
      <c r="H17" s="45">
        <v>2</v>
      </c>
      <c r="I17" s="67">
        <f t="shared" si="6"/>
        <v>1.5</v>
      </c>
      <c r="J17" s="35">
        <v>8</v>
      </c>
      <c r="K17" s="26"/>
      <c r="L17" s="35"/>
      <c r="M17" s="26"/>
      <c r="N17" s="35"/>
      <c r="O17" s="26"/>
      <c r="P17" s="35"/>
      <c r="Q17" s="39">
        <f t="shared" si="2"/>
        <v>3.68</v>
      </c>
      <c r="R17" s="101">
        <f t="shared" si="3"/>
        <v>7.36</v>
      </c>
      <c r="S17" s="40" t="s">
        <v>10</v>
      </c>
      <c r="T17" s="41" t="s">
        <v>13</v>
      </c>
      <c r="U17" s="42" t="str">
        <f>'1. 소켓인수검사'!G19</f>
        <v>지상7층</v>
      </c>
    </row>
    <row r="18" spans="1:21">
      <c r="A18" s="52" t="str">
        <f>'1. 소켓인수검사'!A20</f>
        <v>12</v>
      </c>
      <c r="B18" s="68" t="s">
        <v>40</v>
      </c>
      <c r="C18" s="36">
        <f>'1. 소켓인수검사'!C20</f>
        <v>350</v>
      </c>
      <c r="D18" s="36">
        <f>'1. 소켓인수검사'!D20</f>
        <v>250</v>
      </c>
      <c r="E18" s="37"/>
      <c r="F18" s="38">
        <f t="shared" si="4"/>
        <v>8.7499999999999994E-2</v>
      </c>
      <c r="G18" s="38">
        <f t="shared" si="5"/>
        <v>1.2</v>
      </c>
      <c r="H18" s="45">
        <v>2</v>
      </c>
      <c r="I18" s="67">
        <f t="shared" si="6"/>
        <v>1.6</v>
      </c>
      <c r="J18" s="35">
        <v>8</v>
      </c>
      <c r="K18" s="26"/>
      <c r="L18" s="35"/>
      <c r="M18" s="26"/>
      <c r="N18" s="35"/>
      <c r="O18" s="26"/>
      <c r="P18" s="35"/>
      <c r="Q18" s="39">
        <f t="shared" si="2"/>
        <v>3.88</v>
      </c>
      <c r="R18" s="101">
        <f t="shared" si="3"/>
        <v>7.76</v>
      </c>
      <c r="S18" s="40" t="s">
        <v>10</v>
      </c>
      <c r="T18" s="41" t="s">
        <v>13</v>
      </c>
      <c r="U18" s="42" t="str">
        <f>'1. 소켓인수검사'!G20</f>
        <v>지상7층</v>
      </c>
    </row>
    <row r="19" spans="1:21">
      <c r="A19" s="52" t="str">
        <f>'1. 소켓인수검사'!A21</f>
        <v>13</v>
      </c>
      <c r="B19" s="68" t="s">
        <v>40</v>
      </c>
      <c r="C19" s="36">
        <f>'1. 소켓인수검사'!C21</f>
        <v>350</v>
      </c>
      <c r="D19" s="36">
        <f>'1. 소켓인수검사'!D21</f>
        <v>250</v>
      </c>
      <c r="E19" s="37"/>
      <c r="F19" s="38">
        <f t="shared" si="4"/>
        <v>8.7499999999999994E-2</v>
      </c>
      <c r="G19" s="38">
        <f t="shared" si="5"/>
        <v>1.2</v>
      </c>
      <c r="H19" s="45">
        <v>2</v>
      </c>
      <c r="I19" s="67">
        <f t="shared" si="6"/>
        <v>1.6</v>
      </c>
      <c r="J19" s="35">
        <v>8</v>
      </c>
      <c r="K19" s="26"/>
      <c r="L19" s="35"/>
      <c r="M19" s="26"/>
      <c r="N19" s="35"/>
      <c r="O19" s="26"/>
      <c r="P19" s="35"/>
      <c r="Q19" s="39">
        <f t="shared" si="2"/>
        <v>3.88</v>
      </c>
      <c r="R19" s="101">
        <f t="shared" si="3"/>
        <v>7.76</v>
      </c>
      <c r="S19" s="40" t="s">
        <v>10</v>
      </c>
      <c r="T19" s="41" t="s">
        <v>13</v>
      </c>
      <c r="U19" s="42" t="str">
        <f>'1. 소켓인수검사'!G21</f>
        <v>옥상층</v>
      </c>
    </row>
    <row r="20" spans="1:21">
      <c r="A20" s="52" t="str">
        <f>'1. 소켓인수검사'!A22</f>
        <v>14</v>
      </c>
      <c r="B20" s="68" t="s">
        <v>40</v>
      </c>
      <c r="C20" s="36">
        <f>'1. 소켓인수검사'!C22</f>
        <v>400</v>
      </c>
      <c r="D20" s="36">
        <f>'1. 소켓인수검사'!D22</f>
        <v>250</v>
      </c>
      <c r="E20" s="37"/>
      <c r="F20" s="38">
        <f t="shared" si="4"/>
        <v>0.1</v>
      </c>
      <c r="G20" s="38">
        <f t="shared" si="5"/>
        <v>1.3</v>
      </c>
      <c r="H20" s="45">
        <v>2</v>
      </c>
      <c r="I20" s="67">
        <f t="shared" si="6"/>
        <v>1.7000000000000002</v>
      </c>
      <c r="J20" s="35">
        <v>8</v>
      </c>
      <c r="K20" s="26"/>
      <c r="L20" s="35"/>
      <c r="M20" s="26"/>
      <c r="N20" s="35"/>
      <c r="O20" s="26"/>
      <c r="P20" s="35"/>
      <c r="Q20" s="39">
        <f t="shared" si="2"/>
        <v>4.08</v>
      </c>
      <c r="R20" s="101">
        <f t="shared" si="3"/>
        <v>8.16</v>
      </c>
      <c r="S20" s="40" t="s">
        <v>10</v>
      </c>
      <c r="T20" s="41" t="s">
        <v>13</v>
      </c>
      <c r="U20" s="42" t="str">
        <f>'1. 소켓인수검사'!G22</f>
        <v>지상7층</v>
      </c>
    </row>
    <row r="21" spans="1:21">
      <c r="A21" s="52" t="str">
        <f>'1. 소켓인수검사'!A23</f>
        <v>15</v>
      </c>
      <c r="B21" s="68" t="s">
        <v>40</v>
      </c>
      <c r="C21" s="36">
        <f>'1. 소켓인수검사'!C23</f>
        <v>450</v>
      </c>
      <c r="D21" s="36">
        <f>'1. 소켓인수검사'!D23</f>
        <v>250</v>
      </c>
      <c r="E21" s="37"/>
      <c r="F21" s="38">
        <f t="shared" si="4"/>
        <v>0.1125</v>
      </c>
      <c r="G21" s="38">
        <f t="shared" si="5"/>
        <v>1.4</v>
      </c>
      <c r="H21" s="45">
        <v>2</v>
      </c>
      <c r="I21" s="67">
        <f t="shared" si="6"/>
        <v>1.7999999999999998</v>
      </c>
      <c r="J21" s="35">
        <v>8</v>
      </c>
      <c r="K21" s="26"/>
      <c r="L21" s="35"/>
      <c r="M21" s="26"/>
      <c r="N21" s="35"/>
      <c r="O21" s="26"/>
      <c r="P21" s="35"/>
      <c r="Q21" s="39">
        <f t="shared" si="2"/>
        <v>4.28</v>
      </c>
      <c r="R21" s="101">
        <f t="shared" si="3"/>
        <v>8.56</v>
      </c>
      <c r="S21" s="40" t="s">
        <v>10</v>
      </c>
      <c r="T21" s="41" t="s">
        <v>13</v>
      </c>
      <c r="U21" s="42" t="str">
        <f>'1. 소켓인수검사'!G23</f>
        <v>지상7층</v>
      </c>
    </row>
    <row r="22" spans="1:21">
      <c r="A22" s="52" t="str">
        <f>'1. 소켓인수검사'!A24</f>
        <v>16</v>
      </c>
      <c r="B22" s="68" t="s">
        <v>40</v>
      </c>
      <c r="C22" s="36">
        <f>'1. 소켓인수검사'!C24</f>
        <v>450</v>
      </c>
      <c r="D22" s="36">
        <f>'1. 소켓인수검사'!D24</f>
        <v>300</v>
      </c>
      <c r="E22" s="37"/>
      <c r="F22" s="38">
        <f t="shared" si="4"/>
        <v>0.13500000000000001</v>
      </c>
      <c r="G22" s="38">
        <f t="shared" si="5"/>
        <v>1.5</v>
      </c>
      <c r="H22" s="45">
        <v>2</v>
      </c>
      <c r="I22" s="67">
        <f t="shared" si="6"/>
        <v>1.9</v>
      </c>
      <c r="J22" s="35">
        <v>8</v>
      </c>
      <c r="K22" s="26"/>
      <c r="L22" s="35"/>
      <c r="M22" s="26"/>
      <c r="N22" s="35"/>
      <c r="O22" s="26"/>
      <c r="P22" s="35"/>
      <c r="Q22" s="39">
        <f t="shared" si="2"/>
        <v>4.4800000000000004</v>
      </c>
      <c r="R22" s="101">
        <f t="shared" si="3"/>
        <v>8.9600000000000009</v>
      </c>
      <c r="S22" s="40" t="s">
        <v>10</v>
      </c>
      <c r="T22" s="41" t="s">
        <v>13</v>
      </c>
      <c r="U22" s="42" t="str">
        <f>'1. 소켓인수검사'!G24</f>
        <v>지상6층</v>
      </c>
    </row>
    <row r="23" spans="1:21">
      <c r="A23" s="52" t="str">
        <f>'1. 소켓인수검사'!A25</f>
        <v>17</v>
      </c>
      <c r="B23" s="68" t="s">
        <v>40</v>
      </c>
      <c r="C23" s="36">
        <f>'1. 소켓인수검사'!C25</f>
        <v>450</v>
      </c>
      <c r="D23" s="36">
        <f>'1. 소켓인수검사'!D25</f>
        <v>300</v>
      </c>
      <c r="E23" s="37"/>
      <c r="F23" s="38">
        <f t="shared" si="4"/>
        <v>0.13500000000000001</v>
      </c>
      <c r="G23" s="38">
        <f t="shared" si="5"/>
        <v>1.5</v>
      </c>
      <c r="H23" s="45">
        <v>2</v>
      </c>
      <c r="I23" s="67">
        <f t="shared" si="6"/>
        <v>1.9</v>
      </c>
      <c r="J23" s="35">
        <v>8</v>
      </c>
      <c r="K23" s="26"/>
      <c r="L23" s="35"/>
      <c r="M23" s="26"/>
      <c r="N23" s="35"/>
      <c r="O23" s="26"/>
      <c r="P23" s="35"/>
      <c r="Q23" s="39">
        <f t="shared" si="2"/>
        <v>4.4800000000000004</v>
      </c>
      <c r="R23" s="101">
        <f t="shared" si="3"/>
        <v>8.9600000000000009</v>
      </c>
      <c r="S23" s="40" t="s">
        <v>10</v>
      </c>
      <c r="T23" s="41" t="s">
        <v>13</v>
      </c>
      <c r="U23" s="42" t="str">
        <f>'1. 소켓인수검사'!G25</f>
        <v>지상7층</v>
      </c>
    </row>
    <row r="24" spans="1:21">
      <c r="A24" s="52" t="str">
        <f>'1. 소켓인수검사'!A26</f>
        <v>18</v>
      </c>
      <c r="B24" s="68" t="s">
        <v>40</v>
      </c>
      <c r="C24" s="36">
        <f>'1. 소켓인수검사'!C26</f>
        <v>500</v>
      </c>
      <c r="D24" s="36">
        <f>'1. 소켓인수검사'!D26</f>
        <v>400</v>
      </c>
      <c r="E24" s="37"/>
      <c r="F24" s="38">
        <f t="shared" si="4"/>
        <v>0.2</v>
      </c>
      <c r="G24" s="38">
        <f t="shared" si="5"/>
        <v>1.8</v>
      </c>
      <c r="H24" s="45">
        <v>2</v>
      </c>
      <c r="I24" s="67">
        <f t="shared" si="6"/>
        <v>2.2000000000000002</v>
      </c>
      <c r="J24" s="35">
        <v>8</v>
      </c>
      <c r="K24" s="26"/>
      <c r="L24" s="35"/>
      <c r="M24" s="26"/>
      <c r="N24" s="35"/>
      <c r="O24" s="26"/>
      <c r="P24" s="35"/>
      <c r="Q24" s="39">
        <f t="shared" si="2"/>
        <v>5.08</v>
      </c>
      <c r="R24" s="101">
        <f t="shared" si="3"/>
        <v>10.16</v>
      </c>
      <c r="S24" s="40" t="s">
        <v>10</v>
      </c>
      <c r="T24" s="41" t="s">
        <v>13</v>
      </c>
      <c r="U24" s="42" t="str">
        <f>'1. 소켓인수검사'!G26</f>
        <v>지상7층</v>
      </c>
    </row>
    <row r="25" spans="1:21">
      <c r="A25" s="52" t="str">
        <f>'1. 소켓인수검사'!A27</f>
        <v>19</v>
      </c>
      <c r="B25" s="68" t="s">
        <v>40</v>
      </c>
      <c r="C25" s="36">
        <f>'1. 소켓인수검사'!C27</f>
        <v>550</v>
      </c>
      <c r="D25" s="36">
        <f>'1. 소켓인수검사'!D27</f>
        <v>350</v>
      </c>
      <c r="E25" s="37"/>
      <c r="F25" s="38">
        <f t="shared" si="4"/>
        <v>0.1925</v>
      </c>
      <c r="G25" s="38">
        <f t="shared" si="5"/>
        <v>1.8</v>
      </c>
      <c r="H25" s="45">
        <v>2</v>
      </c>
      <c r="I25" s="67">
        <f t="shared" si="6"/>
        <v>2.2000000000000002</v>
      </c>
      <c r="J25" s="35">
        <v>8</v>
      </c>
      <c r="K25" s="26"/>
      <c r="L25" s="35"/>
      <c r="M25" s="26"/>
      <c r="N25" s="35"/>
      <c r="O25" s="26"/>
      <c r="P25" s="35"/>
      <c r="Q25" s="39">
        <f t="shared" si="2"/>
        <v>5.08</v>
      </c>
      <c r="R25" s="101">
        <f t="shared" si="3"/>
        <v>10.16</v>
      </c>
      <c r="S25" s="40" t="s">
        <v>10</v>
      </c>
      <c r="T25" s="41" t="s">
        <v>13</v>
      </c>
      <c r="U25" s="42" t="str">
        <f>'1. 소켓인수검사'!G27</f>
        <v>지상7층</v>
      </c>
    </row>
    <row r="26" spans="1:21">
      <c r="A26" s="52" t="str">
        <f>'1. 소켓인수검사'!A28</f>
        <v>20</v>
      </c>
      <c r="B26" s="68" t="s">
        <v>40</v>
      </c>
      <c r="C26" s="36">
        <f>'1. 소켓인수검사'!C28</f>
        <v>600</v>
      </c>
      <c r="D26" s="36">
        <f>'1. 소켓인수검사'!D28</f>
        <v>400</v>
      </c>
      <c r="E26" s="37"/>
      <c r="F26" s="38">
        <f t="shared" si="4"/>
        <v>0.24</v>
      </c>
      <c r="G26" s="38">
        <f t="shared" si="5"/>
        <v>2</v>
      </c>
      <c r="H26" s="45">
        <v>2</v>
      </c>
      <c r="I26" s="67">
        <f t="shared" si="6"/>
        <v>2.4</v>
      </c>
      <c r="J26" s="35">
        <v>8</v>
      </c>
      <c r="K26" s="26"/>
      <c r="L26" s="35"/>
      <c r="M26" s="26"/>
      <c r="N26" s="35"/>
      <c r="O26" s="26"/>
      <c r="P26" s="35"/>
      <c r="Q26" s="39">
        <f t="shared" si="2"/>
        <v>5.48</v>
      </c>
      <c r="R26" s="101">
        <f t="shared" si="3"/>
        <v>10.96</v>
      </c>
      <c r="S26" s="40" t="s">
        <v>10</v>
      </c>
      <c r="T26" s="41" t="s">
        <v>13</v>
      </c>
      <c r="U26" s="42" t="str">
        <f>'1. 소켓인수검사'!G28</f>
        <v>지상7층</v>
      </c>
    </row>
    <row r="27" spans="1:21">
      <c r="A27" s="52" t="str">
        <f>'1. 소켓인수검사'!A29</f>
        <v>21</v>
      </c>
      <c r="B27" s="68" t="s">
        <v>40</v>
      </c>
      <c r="C27" s="36">
        <f>'1. 소켓인수검사'!C29</f>
        <v>600</v>
      </c>
      <c r="D27" s="36">
        <f>'1. 소켓인수검사'!D29</f>
        <v>450</v>
      </c>
      <c r="E27" s="37"/>
      <c r="F27" s="38">
        <f t="shared" si="4"/>
        <v>0.27</v>
      </c>
      <c r="G27" s="38">
        <f t="shared" si="5"/>
        <v>2.1</v>
      </c>
      <c r="H27" s="45">
        <v>2</v>
      </c>
      <c r="I27" s="67">
        <f t="shared" si="6"/>
        <v>2.5</v>
      </c>
      <c r="J27" s="35">
        <v>8</v>
      </c>
      <c r="K27" s="26"/>
      <c r="L27" s="35"/>
      <c r="M27" s="26"/>
      <c r="N27" s="35"/>
      <c r="O27" s="26"/>
      <c r="P27" s="35"/>
      <c r="Q27" s="39">
        <f t="shared" si="2"/>
        <v>5.68</v>
      </c>
      <c r="R27" s="101">
        <f t="shared" si="3"/>
        <v>11.36</v>
      </c>
      <c r="S27" s="40" t="s">
        <v>10</v>
      </c>
      <c r="T27" s="41" t="s">
        <v>13</v>
      </c>
      <c r="U27" s="42" t="str">
        <f>'1. 소켓인수검사'!G29</f>
        <v>지상7층</v>
      </c>
    </row>
    <row r="28" spans="1:21">
      <c r="A28" s="52" t="str">
        <f>'1. 소켓인수검사'!A30</f>
        <v>22</v>
      </c>
      <c r="B28" s="68" t="s">
        <v>40</v>
      </c>
      <c r="C28" s="36">
        <f>'1. 소켓인수검사'!C30</f>
        <v>600</v>
      </c>
      <c r="D28" s="36">
        <f>'1. 소켓인수검사'!D30</f>
        <v>550</v>
      </c>
      <c r="E28" s="37"/>
      <c r="F28" s="38">
        <f t="shared" si="4"/>
        <v>0.33</v>
      </c>
      <c r="G28" s="38">
        <f t="shared" si="5"/>
        <v>2.2999999999999998</v>
      </c>
      <c r="H28" s="45">
        <v>2</v>
      </c>
      <c r="I28" s="67">
        <f t="shared" si="6"/>
        <v>2.6999999999999997</v>
      </c>
      <c r="J28" s="35">
        <v>8</v>
      </c>
      <c r="K28" s="26"/>
      <c r="L28" s="35"/>
      <c r="M28" s="26"/>
      <c r="N28" s="35"/>
      <c r="O28" s="26"/>
      <c r="P28" s="35"/>
      <c r="Q28" s="39">
        <f t="shared" si="2"/>
        <v>6.08</v>
      </c>
      <c r="R28" s="101">
        <f t="shared" si="3"/>
        <v>12.16</v>
      </c>
      <c r="S28" s="40" t="s">
        <v>10</v>
      </c>
      <c r="T28" s="41" t="s">
        <v>13</v>
      </c>
      <c r="U28" s="42" t="str">
        <f>'1. 소켓인수검사'!G30</f>
        <v>지상7층</v>
      </c>
    </row>
    <row r="29" spans="1:21">
      <c r="A29" s="52" t="str">
        <f>'1. 소켓인수검사'!A31</f>
        <v>23</v>
      </c>
      <c r="B29" s="68" t="s">
        <v>40</v>
      </c>
      <c r="C29" s="36">
        <f>'1. 소켓인수검사'!C31</f>
        <v>600</v>
      </c>
      <c r="D29" s="36">
        <f>'1. 소켓인수검사'!D31</f>
        <v>600</v>
      </c>
      <c r="E29" s="37"/>
      <c r="F29" s="38">
        <f t="shared" si="4"/>
        <v>0.36</v>
      </c>
      <c r="G29" s="38">
        <f t="shared" si="5"/>
        <v>2.4</v>
      </c>
      <c r="H29" s="45">
        <v>2</v>
      </c>
      <c r="I29" s="67">
        <f t="shared" si="6"/>
        <v>2.8</v>
      </c>
      <c r="J29" s="35">
        <v>8</v>
      </c>
      <c r="K29" s="26"/>
      <c r="L29" s="35"/>
      <c r="M29" s="26"/>
      <c r="N29" s="35"/>
      <c r="O29" s="26"/>
      <c r="P29" s="35"/>
      <c r="Q29" s="39">
        <f t="shared" si="2"/>
        <v>6.28</v>
      </c>
      <c r="R29" s="101">
        <f t="shared" si="3"/>
        <v>12.56</v>
      </c>
      <c r="S29" s="40" t="s">
        <v>10</v>
      </c>
      <c r="T29" s="41" t="s">
        <v>13</v>
      </c>
      <c r="U29" s="42" t="str">
        <f>'1. 소켓인수검사'!G31</f>
        <v>지상6층</v>
      </c>
    </row>
    <row r="30" spans="1:21">
      <c r="A30" s="52" t="str">
        <f>'1. 소켓인수검사'!A32</f>
        <v>24</v>
      </c>
      <c r="B30" s="68" t="s">
        <v>40</v>
      </c>
      <c r="C30" s="36">
        <f>'1. 소켓인수검사'!C32</f>
        <v>600</v>
      </c>
      <c r="D30" s="36">
        <f>'1. 소켓인수검사'!D32</f>
        <v>600</v>
      </c>
      <c r="E30" s="37"/>
      <c r="F30" s="38">
        <f t="shared" si="4"/>
        <v>0.36</v>
      </c>
      <c r="G30" s="38">
        <f t="shared" si="5"/>
        <v>2.4</v>
      </c>
      <c r="H30" s="45">
        <v>2</v>
      </c>
      <c r="I30" s="67">
        <f t="shared" si="6"/>
        <v>2.8</v>
      </c>
      <c r="J30" s="35">
        <v>8</v>
      </c>
      <c r="K30" s="26"/>
      <c r="L30" s="35"/>
      <c r="M30" s="26"/>
      <c r="N30" s="35"/>
      <c r="O30" s="26"/>
      <c r="P30" s="35"/>
      <c r="Q30" s="39">
        <f t="shared" si="2"/>
        <v>6.28</v>
      </c>
      <c r="R30" s="101">
        <f t="shared" si="3"/>
        <v>12.56</v>
      </c>
      <c r="S30" s="40" t="s">
        <v>10</v>
      </c>
      <c r="T30" s="41" t="s">
        <v>13</v>
      </c>
      <c r="U30" s="42" t="str">
        <f>'1. 소켓인수검사'!G32</f>
        <v>지상7층</v>
      </c>
    </row>
    <row r="31" spans="1:21">
      <c r="A31" s="52" t="str">
        <f>'1. 소켓인수검사'!A33</f>
        <v>25</v>
      </c>
      <c r="B31" s="68" t="s">
        <v>40</v>
      </c>
      <c r="C31" s="36">
        <f>'1. 소켓인수검사'!C33</f>
        <v>650</v>
      </c>
      <c r="D31" s="36">
        <f>'1. 소켓인수검사'!D33</f>
        <v>350</v>
      </c>
      <c r="E31" s="37"/>
      <c r="F31" s="38">
        <f t="shared" si="4"/>
        <v>0.22750000000000001</v>
      </c>
      <c r="G31" s="38">
        <f t="shared" si="5"/>
        <v>2</v>
      </c>
      <c r="H31" s="45">
        <v>2</v>
      </c>
      <c r="I31" s="67">
        <f t="shared" si="6"/>
        <v>2.4</v>
      </c>
      <c r="J31" s="35">
        <v>8</v>
      </c>
      <c r="K31" s="26"/>
      <c r="L31" s="35"/>
      <c r="M31" s="26"/>
      <c r="N31" s="35"/>
      <c r="O31" s="26"/>
      <c r="P31" s="35"/>
      <c r="Q31" s="39">
        <f t="shared" si="2"/>
        <v>5.48</v>
      </c>
      <c r="R31" s="101">
        <f t="shared" si="3"/>
        <v>10.96</v>
      </c>
      <c r="S31" s="40" t="s">
        <v>10</v>
      </c>
      <c r="T31" s="41" t="s">
        <v>13</v>
      </c>
      <c r="U31" s="42" t="str">
        <f>'1. 소켓인수검사'!G33</f>
        <v>지상7층</v>
      </c>
    </row>
    <row r="32" spans="1:21">
      <c r="A32" s="52" t="str">
        <f>'1. 소켓인수검사'!A34</f>
        <v>26</v>
      </c>
      <c r="B32" s="68" t="s">
        <v>40</v>
      </c>
      <c r="C32" s="36">
        <f>'1. 소켓인수검사'!C34</f>
        <v>650</v>
      </c>
      <c r="D32" s="36">
        <f>'1. 소켓인수검사'!D34</f>
        <v>400</v>
      </c>
      <c r="E32" s="37"/>
      <c r="F32" s="38">
        <f t="shared" si="4"/>
        <v>0.26</v>
      </c>
      <c r="G32" s="38">
        <f t="shared" si="5"/>
        <v>2.1</v>
      </c>
      <c r="H32" s="45">
        <v>2</v>
      </c>
      <c r="I32" s="67">
        <f t="shared" si="6"/>
        <v>2.5</v>
      </c>
      <c r="J32" s="35">
        <v>8</v>
      </c>
      <c r="K32" s="26"/>
      <c r="L32" s="35"/>
      <c r="M32" s="26"/>
      <c r="N32" s="35"/>
      <c r="O32" s="26"/>
      <c r="P32" s="35"/>
      <c r="Q32" s="39">
        <f t="shared" si="2"/>
        <v>5.68</v>
      </c>
      <c r="R32" s="101">
        <f t="shared" si="3"/>
        <v>11.36</v>
      </c>
      <c r="S32" s="40" t="s">
        <v>10</v>
      </c>
      <c r="T32" s="41" t="s">
        <v>13</v>
      </c>
      <c r="U32" s="42" t="str">
        <f>'1. 소켓인수검사'!G34</f>
        <v>지상7층</v>
      </c>
    </row>
    <row r="33" spans="1:21">
      <c r="A33" s="52" t="str">
        <f>'1. 소켓인수검사'!A35</f>
        <v>27</v>
      </c>
      <c r="B33" s="68" t="s">
        <v>40</v>
      </c>
      <c r="C33" s="36">
        <f>'1. 소켓인수검사'!C35</f>
        <v>650</v>
      </c>
      <c r="D33" s="36">
        <f>'1. 소켓인수검사'!D35</f>
        <v>450</v>
      </c>
      <c r="E33" s="37"/>
      <c r="F33" s="38">
        <f t="shared" si="4"/>
        <v>0.29249999999999998</v>
      </c>
      <c r="G33" s="38">
        <f t="shared" si="5"/>
        <v>2.2000000000000002</v>
      </c>
      <c r="H33" s="45">
        <v>2</v>
      </c>
      <c r="I33" s="67">
        <f t="shared" si="6"/>
        <v>2.6</v>
      </c>
      <c r="J33" s="35">
        <v>8</v>
      </c>
      <c r="K33" s="26"/>
      <c r="L33" s="35"/>
      <c r="M33" s="26"/>
      <c r="N33" s="35"/>
      <c r="O33" s="26"/>
      <c r="P33" s="35"/>
      <c r="Q33" s="39">
        <f t="shared" si="2"/>
        <v>5.88</v>
      </c>
      <c r="R33" s="101">
        <f t="shared" si="3"/>
        <v>11.76</v>
      </c>
      <c r="S33" s="40" t="s">
        <v>10</v>
      </c>
      <c r="T33" s="41" t="s">
        <v>13</v>
      </c>
      <c r="U33" s="42" t="str">
        <f>'1. 소켓인수검사'!G35</f>
        <v>지상7층</v>
      </c>
    </row>
    <row r="34" spans="1:21">
      <c r="A34" s="52" t="str">
        <f>'1. 소켓인수검사'!A36</f>
        <v>28</v>
      </c>
      <c r="B34" s="68" t="s">
        <v>40</v>
      </c>
      <c r="C34" s="36">
        <f>'1. 소켓인수검사'!C36</f>
        <v>700</v>
      </c>
      <c r="D34" s="36">
        <f>'1. 소켓인수검사'!D36</f>
        <v>650</v>
      </c>
      <c r="E34" s="37"/>
      <c r="F34" s="38">
        <f t="shared" si="4"/>
        <v>0.45500000000000002</v>
      </c>
      <c r="G34" s="38">
        <f t="shared" si="5"/>
        <v>2.7</v>
      </c>
      <c r="H34" s="45">
        <v>2</v>
      </c>
      <c r="I34" s="67">
        <f t="shared" si="6"/>
        <v>3.1</v>
      </c>
      <c r="J34" s="35">
        <v>8</v>
      </c>
      <c r="K34" s="26"/>
      <c r="L34" s="35"/>
      <c r="M34" s="26"/>
      <c r="N34" s="35"/>
      <c r="O34" s="26"/>
      <c r="P34" s="35"/>
      <c r="Q34" s="39">
        <f t="shared" si="2"/>
        <v>6.88</v>
      </c>
      <c r="R34" s="101">
        <f t="shared" si="3"/>
        <v>13.76</v>
      </c>
      <c r="S34" s="40" t="s">
        <v>10</v>
      </c>
      <c r="T34" s="41" t="s">
        <v>13</v>
      </c>
      <c r="U34" s="42" t="str">
        <f>'1. 소켓인수검사'!G36</f>
        <v>옥상층</v>
      </c>
    </row>
    <row r="35" spans="1:21">
      <c r="A35" s="52" t="str">
        <f>'1. 소켓인수검사'!A37</f>
        <v>29</v>
      </c>
      <c r="B35" s="68" t="s">
        <v>40</v>
      </c>
      <c r="C35" s="36">
        <f>'1. 소켓인수검사'!C37</f>
        <v>750</v>
      </c>
      <c r="D35" s="36">
        <f>'1. 소켓인수검사'!D37</f>
        <v>550</v>
      </c>
      <c r="E35" s="37"/>
      <c r="F35" s="38">
        <f t="shared" si="4"/>
        <v>0.41249999999999998</v>
      </c>
      <c r="G35" s="38">
        <f t="shared" si="5"/>
        <v>2.6</v>
      </c>
      <c r="H35" s="45">
        <v>2</v>
      </c>
      <c r="I35" s="67">
        <f t="shared" si="6"/>
        <v>3</v>
      </c>
      <c r="J35" s="35">
        <v>8</v>
      </c>
      <c r="K35" s="26"/>
      <c r="L35" s="35"/>
      <c r="M35" s="26"/>
      <c r="N35" s="35"/>
      <c r="O35" s="26"/>
      <c r="P35" s="35"/>
      <c r="Q35" s="39">
        <f t="shared" si="2"/>
        <v>6.68</v>
      </c>
      <c r="R35" s="101">
        <f t="shared" si="3"/>
        <v>13.36</v>
      </c>
      <c r="S35" s="40" t="s">
        <v>10</v>
      </c>
      <c r="T35" s="41" t="s">
        <v>13</v>
      </c>
      <c r="U35" s="42" t="str">
        <f>'1. 소켓인수검사'!G37</f>
        <v>지상6층</v>
      </c>
    </row>
    <row r="36" spans="1:21">
      <c r="A36" s="52" t="str">
        <f>'1. 소켓인수검사'!A38</f>
        <v>30</v>
      </c>
      <c r="B36" s="68" t="s">
        <v>40</v>
      </c>
      <c r="C36" s="36">
        <f>'1. 소켓인수검사'!C38</f>
        <v>750</v>
      </c>
      <c r="D36" s="36">
        <f>'1. 소켓인수검사'!D38</f>
        <v>550</v>
      </c>
      <c r="E36" s="37"/>
      <c r="F36" s="38">
        <f t="shared" si="4"/>
        <v>0.41249999999999998</v>
      </c>
      <c r="G36" s="38">
        <f t="shared" si="5"/>
        <v>2.6</v>
      </c>
      <c r="H36" s="45">
        <v>2</v>
      </c>
      <c r="I36" s="67">
        <f t="shared" si="6"/>
        <v>3</v>
      </c>
      <c r="J36" s="35">
        <v>8</v>
      </c>
      <c r="K36" s="26"/>
      <c r="L36" s="35"/>
      <c r="M36" s="26"/>
      <c r="N36" s="35"/>
      <c r="O36" s="26"/>
      <c r="P36" s="35"/>
      <c r="Q36" s="39">
        <f t="shared" si="2"/>
        <v>6.68</v>
      </c>
      <c r="R36" s="101">
        <f t="shared" si="3"/>
        <v>13.36</v>
      </c>
      <c r="S36" s="40" t="s">
        <v>10</v>
      </c>
      <c r="T36" s="41" t="s">
        <v>13</v>
      </c>
      <c r="U36" s="42" t="str">
        <f>'1. 소켓인수검사'!G38</f>
        <v>옥상층</v>
      </c>
    </row>
    <row r="37" spans="1:21">
      <c r="A37" s="52" t="str">
        <f>'1. 소켓인수검사'!A39</f>
        <v>31</v>
      </c>
      <c r="B37" s="68" t="s">
        <v>40</v>
      </c>
      <c r="C37" s="36">
        <f>'1. 소켓인수검사'!C39</f>
        <v>800</v>
      </c>
      <c r="D37" s="36">
        <f>'1. 소켓인수검사'!D39</f>
        <v>350</v>
      </c>
      <c r="E37" s="37"/>
      <c r="F37" s="38">
        <f t="shared" si="4"/>
        <v>0.28000000000000003</v>
      </c>
      <c r="G37" s="38">
        <f t="shared" si="5"/>
        <v>2.2999999999999998</v>
      </c>
      <c r="H37" s="45">
        <v>2</v>
      </c>
      <c r="I37" s="67">
        <f t="shared" si="6"/>
        <v>2.6999999999999997</v>
      </c>
      <c r="J37" s="35">
        <v>8</v>
      </c>
      <c r="K37" s="26"/>
      <c r="L37" s="35"/>
      <c r="M37" s="26"/>
      <c r="N37" s="35"/>
      <c r="O37" s="26"/>
      <c r="P37" s="35"/>
      <c r="Q37" s="39">
        <f t="shared" si="2"/>
        <v>6.08</v>
      </c>
      <c r="R37" s="101">
        <f t="shared" si="3"/>
        <v>12.16</v>
      </c>
      <c r="S37" s="40" t="s">
        <v>10</v>
      </c>
      <c r="T37" s="41" t="s">
        <v>13</v>
      </c>
      <c r="U37" s="42" t="str">
        <f>'1. 소켓인수검사'!G39</f>
        <v>지상6층</v>
      </c>
    </row>
    <row r="38" spans="1:21">
      <c r="A38" s="52" t="str">
        <f>'1. 소켓인수검사'!A40</f>
        <v>32</v>
      </c>
      <c r="B38" s="68" t="s">
        <v>40</v>
      </c>
      <c r="C38" s="36">
        <f>'1. 소켓인수검사'!C40</f>
        <v>800</v>
      </c>
      <c r="D38" s="36">
        <f>'1. 소켓인수검사'!D40</f>
        <v>550</v>
      </c>
      <c r="E38" s="37"/>
      <c r="F38" s="38">
        <f t="shared" si="4"/>
        <v>0.44</v>
      </c>
      <c r="G38" s="38">
        <f t="shared" si="5"/>
        <v>2.7</v>
      </c>
      <c r="H38" s="45">
        <v>2</v>
      </c>
      <c r="I38" s="67">
        <f t="shared" si="6"/>
        <v>3.1</v>
      </c>
      <c r="J38" s="35">
        <v>8</v>
      </c>
      <c r="K38" s="26"/>
      <c r="L38" s="35"/>
      <c r="M38" s="26"/>
      <c r="N38" s="35"/>
      <c r="O38" s="26"/>
      <c r="P38" s="35"/>
      <c r="Q38" s="39">
        <f t="shared" si="2"/>
        <v>6.88</v>
      </c>
      <c r="R38" s="101">
        <f t="shared" si="3"/>
        <v>13.76</v>
      </c>
      <c r="S38" s="40" t="s">
        <v>10</v>
      </c>
      <c r="T38" s="41" t="s">
        <v>13</v>
      </c>
      <c r="U38" s="42" t="str">
        <f>'1. 소켓인수검사'!G40</f>
        <v>지상7층</v>
      </c>
    </row>
    <row r="39" spans="1:21">
      <c r="A39" s="52" t="str">
        <f>'1. 소켓인수검사'!A41</f>
        <v>33</v>
      </c>
      <c r="B39" s="68" t="s">
        <v>40</v>
      </c>
      <c r="C39" s="36">
        <f>'1. 소켓인수검사'!C41</f>
        <v>800</v>
      </c>
      <c r="D39" s="36">
        <f>'1. 소켓인수검사'!D41</f>
        <v>600</v>
      </c>
      <c r="E39" s="37"/>
      <c r="F39" s="38">
        <f t="shared" si="4"/>
        <v>0.48</v>
      </c>
      <c r="G39" s="38">
        <f t="shared" si="5"/>
        <v>2.8</v>
      </c>
      <c r="H39" s="45">
        <v>2</v>
      </c>
      <c r="I39" s="67">
        <f t="shared" si="6"/>
        <v>3.1999999999999997</v>
      </c>
      <c r="J39" s="35">
        <v>8</v>
      </c>
      <c r="K39" s="26"/>
      <c r="L39" s="35"/>
      <c r="M39" s="26"/>
      <c r="N39" s="35"/>
      <c r="O39" s="26"/>
      <c r="P39" s="35"/>
      <c r="Q39" s="39">
        <f t="shared" si="2"/>
        <v>7.08</v>
      </c>
      <c r="R39" s="101">
        <f t="shared" si="3"/>
        <v>14.16</v>
      </c>
      <c r="S39" s="40" t="s">
        <v>10</v>
      </c>
      <c r="T39" s="41" t="s">
        <v>13</v>
      </c>
      <c r="U39" s="42" t="str">
        <f>'1. 소켓인수검사'!G41</f>
        <v>지상6층</v>
      </c>
    </row>
    <row r="40" spans="1:21">
      <c r="A40" s="52" t="str">
        <f>'1. 소켓인수검사'!A42</f>
        <v>34</v>
      </c>
      <c r="B40" s="68" t="s">
        <v>40</v>
      </c>
      <c r="C40" s="36">
        <f>'1. 소켓인수검사'!C42</f>
        <v>800</v>
      </c>
      <c r="D40" s="36">
        <f>'1. 소켓인수검사'!D42</f>
        <v>600</v>
      </c>
      <c r="E40" s="37"/>
      <c r="F40" s="38">
        <f t="shared" si="4"/>
        <v>0.48</v>
      </c>
      <c r="G40" s="38">
        <f t="shared" si="5"/>
        <v>2.8</v>
      </c>
      <c r="H40" s="45">
        <v>2</v>
      </c>
      <c r="I40" s="67">
        <f t="shared" si="6"/>
        <v>3.1999999999999997</v>
      </c>
      <c r="J40" s="35">
        <v>8</v>
      </c>
      <c r="K40" s="26"/>
      <c r="L40" s="35"/>
      <c r="M40" s="26"/>
      <c r="N40" s="35"/>
      <c r="O40" s="26"/>
      <c r="P40" s="35"/>
      <c r="Q40" s="39">
        <f t="shared" si="2"/>
        <v>7.08</v>
      </c>
      <c r="R40" s="101">
        <f t="shared" si="3"/>
        <v>14.16</v>
      </c>
      <c r="S40" s="40" t="s">
        <v>10</v>
      </c>
      <c r="T40" s="41" t="s">
        <v>13</v>
      </c>
      <c r="U40" s="42" t="str">
        <f>'1. 소켓인수검사'!G42</f>
        <v>지상7층</v>
      </c>
    </row>
    <row r="41" spans="1:21">
      <c r="A41" s="52" t="str">
        <f>'1. 소켓인수검사'!A43</f>
        <v>35</v>
      </c>
      <c r="B41" s="68" t="s">
        <v>40</v>
      </c>
      <c r="C41" s="36">
        <f>'1. 소켓인수검사'!C43</f>
        <v>800</v>
      </c>
      <c r="D41" s="36">
        <f>'1. 소켓인수검사'!D43</f>
        <v>600</v>
      </c>
      <c r="E41" s="37"/>
      <c r="F41" s="38">
        <f t="shared" si="4"/>
        <v>0.48</v>
      </c>
      <c r="G41" s="38">
        <f t="shared" si="5"/>
        <v>2.8</v>
      </c>
      <c r="H41" s="45">
        <v>2</v>
      </c>
      <c r="I41" s="67">
        <f t="shared" si="6"/>
        <v>3.1999999999999997</v>
      </c>
      <c r="J41" s="35">
        <v>8</v>
      </c>
      <c r="K41" s="26"/>
      <c r="L41" s="35"/>
      <c r="M41" s="26"/>
      <c r="N41" s="35"/>
      <c r="O41" s="26"/>
      <c r="P41" s="35"/>
      <c r="Q41" s="39">
        <f t="shared" si="2"/>
        <v>7.08</v>
      </c>
      <c r="R41" s="101">
        <f t="shared" si="3"/>
        <v>14.16</v>
      </c>
      <c r="S41" s="40" t="s">
        <v>10</v>
      </c>
      <c r="T41" s="41" t="s">
        <v>13</v>
      </c>
      <c r="U41" s="42" t="str">
        <f>'1. 소켓인수검사'!G43</f>
        <v>지상7층</v>
      </c>
    </row>
    <row r="42" spans="1:21">
      <c r="A42" s="52" t="str">
        <f>'1. 소켓인수검사'!A44</f>
        <v>36</v>
      </c>
      <c r="B42" s="68" t="s">
        <v>40</v>
      </c>
      <c r="C42" s="36">
        <f>'1. 소켓인수검사'!C44</f>
        <v>600</v>
      </c>
      <c r="D42" s="36">
        <f>'1. 소켓인수검사'!D44</f>
        <v>900</v>
      </c>
      <c r="E42" s="37"/>
      <c r="F42" s="38">
        <f t="shared" ref="F42:F45" si="7">C42*D42/1000000</f>
        <v>0.54</v>
      </c>
      <c r="G42" s="38">
        <f t="shared" ref="G42:G45" si="8">(C42+D42)*2/1000</f>
        <v>3</v>
      </c>
      <c r="H42" s="45">
        <v>2</v>
      </c>
      <c r="I42" s="67">
        <f t="shared" ref="I42:I45" si="9">(G42+0.4)</f>
        <v>3.4</v>
      </c>
      <c r="J42" s="35">
        <v>8</v>
      </c>
      <c r="K42" s="67"/>
      <c r="L42" s="43"/>
      <c r="M42" s="67">
        <f>G42+0.5</f>
        <v>3.5</v>
      </c>
      <c r="N42" s="43">
        <v>4</v>
      </c>
      <c r="O42" s="26"/>
      <c r="P42" s="35"/>
      <c r="Q42" s="39">
        <f t="shared" ref="Q42:Q45" si="10">(((C42+60)+250+(D42+60))*2/1000)*2</f>
        <v>7.48</v>
      </c>
      <c r="R42" s="101">
        <f t="shared" si="3"/>
        <v>14.96</v>
      </c>
      <c r="S42" s="41" t="s">
        <v>45</v>
      </c>
      <c r="T42" s="44" t="s">
        <v>7</v>
      </c>
      <c r="U42" s="42" t="str">
        <f>'1. 소켓인수검사'!G44</f>
        <v>지상6층</v>
      </c>
    </row>
    <row r="43" spans="1:21">
      <c r="A43" s="52" t="str">
        <f>'1. 소켓인수검사'!A45</f>
        <v>37</v>
      </c>
      <c r="B43" s="68" t="s">
        <v>40</v>
      </c>
      <c r="C43" s="36">
        <f>'1. 소켓인수검사'!C45</f>
        <v>600</v>
      </c>
      <c r="D43" s="36">
        <f>'1. 소켓인수검사'!D45</f>
        <v>1000</v>
      </c>
      <c r="E43" s="37"/>
      <c r="F43" s="38">
        <f t="shared" si="7"/>
        <v>0.6</v>
      </c>
      <c r="G43" s="38">
        <f t="shared" si="8"/>
        <v>3.2</v>
      </c>
      <c r="H43" s="45">
        <v>2</v>
      </c>
      <c r="I43" s="67">
        <f t="shared" si="9"/>
        <v>3.6</v>
      </c>
      <c r="J43" s="35">
        <v>8</v>
      </c>
      <c r="K43" s="67"/>
      <c r="L43" s="43"/>
      <c r="M43" s="67">
        <f t="shared" ref="M43:M45" si="11">G43+0.5</f>
        <v>3.7</v>
      </c>
      <c r="N43" s="43">
        <v>4</v>
      </c>
      <c r="O43" s="26"/>
      <c r="P43" s="35"/>
      <c r="Q43" s="39">
        <f t="shared" si="10"/>
        <v>7.88</v>
      </c>
      <c r="R43" s="101">
        <f t="shared" si="3"/>
        <v>15.76</v>
      </c>
      <c r="S43" s="41" t="s">
        <v>45</v>
      </c>
      <c r="T43" s="44" t="s">
        <v>7</v>
      </c>
      <c r="U43" s="42" t="str">
        <f>'1. 소켓인수검사'!G45</f>
        <v>지상6층</v>
      </c>
    </row>
    <row r="44" spans="1:21">
      <c r="A44" s="52" t="str">
        <f>'1. 소켓인수검사'!A46</f>
        <v>38</v>
      </c>
      <c r="B44" s="68" t="s">
        <v>40</v>
      </c>
      <c r="C44" s="36">
        <f>'1. 소켓인수검사'!C46</f>
        <v>600</v>
      </c>
      <c r="D44" s="36">
        <f>'1. 소켓인수검사'!D46</f>
        <v>1000</v>
      </c>
      <c r="E44" s="37"/>
      <c r="F44" s="38">
        <f t="shared" si="7"/>
        <v>0.6</v>
      </c>
      <c r="G44" s="38">
        <f t="shared" si="8"/>
        <v>3.2</v>
      </c>
      <c r="H44" s="45">
        <v>2</v>
      </c>
      <c r="I44" s="67">
        <f t="shared" si="9"/>
        <v>3.6</v>
      </c>
      <c r="J44" s="35">
        <v>8</v>
      </c>
      <c r="K44" s="67"/>
      <c r="L44" s="43"/>
      <c r="M44" s="67">
        <f t="shared" si="11"/>
        <v>3.7</v>
      </c>
      <c r="N44" s="43">
        <v>4</v>
      </c>
      <c r="O44" s="26"/>
      <c r="P44" s="35"/>
      <c r="Q44" s="39">
        <f t="shared" si="10"/>
        <v>7.88</v>
      </c>
      <c r="R44" s="101">
        <f t="shared" si="3"/>
        <v>15.76</v>
      </c>
      <c r="S44" s="41" t="s">
        <v>45</v>
      </c>
      <c r="T44" s="44" t="s">
        <v>7</v>
      </c>
      <c r="U44" s="42" t="str">
        <f>'1. 소켓인수검사'!G46</f>
        <v>지상7층</v>
      </c>
    </row>
    <row r="45" spans="1:21">
      <c r="A45" s="52" t="str">
        <f>'1. 소켓인수검사'!A47</f>
        <v>39</v>
      </c>
      <c r="B45" s="68" t="s">
        <v>40</v>
      </c>
      <c r="C45" s="36">
        <f>'1. 소켓인수검사'!C47</f>
        <v>1000</v>
      </c>
      <c r="D45" s="36">
        <f>'1. 소켓인수검사'!D47</f>
        <v>550</v>
      </c>
      <c r="E45" s="37"/>
      <c r="F45" s="38">
        <f t="shared" si="7"/>
        <v>0.55000000000000004</v>
      </c>
      <c r="G45" s="38">
        <f t="shared" si="8"/>
        <v>3.1</v>
      </c>
      <c r="H45" s="45">
        <v>2</v>
      </c>
      <c r="I45" s="67">
        <f t="shared" si="9"/>
        <v>3.5</v>
      </c>
      <c r="J45" s="35">
        <v>8</v>
      </c>
      <c r="K45" s="67"/>
      <c r="L45" s="43"/>
      <c r="M45" s="67">
        <f t="shared" si="11"/>
        <v>3.6</v>
      </c>
      <c r="N45" s="43">
        <v>4</v>
      </c>
      <c r="O45" s="26"/>
      <c r="P45" s="35"/>
      <c r="Q45" s="39">
        <f t="shared" si="10"/>
        <v>7.68</v>
      </c>
      <c r="R45" s="101">
        <f t="shared" si="3"/>
        <v>15.36</v>
      </c>
      <c r="S45" s="41" t="s">
        <v>45</v>
      </c>
      <c r="T45" s="44" t="s">
        <v>7</v>
      </c>
      <c r="U45" s="42" t="str">
        <f>'1. 소켓인수검사'!G47</f>
        <v>지상7층</v>
      </c>
    </row>
    <row r="46" spans="1:21">
      <c r="A46" s="228" t="s">
        <v>5</v>
      </c>
      <c r="B46" s="229"/>
      <c r="C46" s="229"/>
      <c r="D46" s="66"/>
      <c r="E46" s="48"/>
      <c r="F46" s="48"/>
      <c r="G46" s="48"/>
      <c r="H46" s="47">
        <f>SUM(H7:H45)</f>
        <v>78</v>
      </c>
      <c r="I46" s="72"/>
      <c r="J46" s="47">
        <f>SUM(J7:J45)</f>
        <v>312</v>
      </c>
      <c r="K46" s="72"/>
      <c r="L46" s="47">
        <f>SUM(L7:L45)</f>
        <v>0</v>
      </c>
      <c r="M46" s="72"/>
      <c r="N46" s="47">
        <f>SUM(N7:N45)</f>
        <v>16</v>
      </c>
      <c r="O46" s="72"/>
      <c r="P46" s="47">
        <f>SUM(P7:P45)</f>
        <v>0</v>
      </c>
      <c r="Q46" s="72">
        <f>SUM(Q7:Q45)</f>
        <v>205.32000000000005</v>
      </c>
      <c r="R46" s="47">
        <f>SUM(R7:R45)</f>
        <v>410.6400000000001</v>
      </c>
      <c r="S46" s="69"/>
      <c r="T46" s="69"/>
      <c r="U46" s="70"/>
    </row>
    <row r="47" spans="1:21" ht="8.1" customHeight="1">
      <c r="A47" s="234"/>
      <c r="B47" s="234"/>
      <c r="C47" s="234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4"/>
    </row>
    <row r="48" spans="1:21">
      <c r="A48" s="1" t="s">
        <v>48</v>
      </c>
      <c r="B48" s="1"/>
      <c r="C48" s="1"/>
      <c r="D48" s="194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6"/>
    </row>
    <row r="49" spans="1:21">
      <c r="A49" s="1"/>
      <c r="B49" s="1"/>
      <c r="C49" s="1"/>
      <c r="D49" s="233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5"/>
    </row>
    <row r="50" spans="1:21">
      <c r="A50" s="1"/>
      <c r="B50" s="1"/>
      <c r="C50" s="1"/>
      <c r="D50" s="233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5"/>
    </row>
    <row r="51" spans="1:21">
      <c r="A51" s="1"/>
      <c r="B51" s="1"/>
      <c r="C51" s="1"/>
      <c r="D51" s="233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5"/>
    </row>
    <row r="52" spans="1:21">
      <c r="A52" s="1"/>
      <c r="B52" s="1"/>
      <c r="C52" s="1"/>
      <c r="D52" s="233"/>
      <c r="E52" s="234"/>
      <c r="F52" s="234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5"/>
    </row>
    <row r="53" spans="1:21">
      <c r="A53" s="1"/>
      <c r="B53" s="1"/>
      <c r="C53" s="1"/>
      <c r="D53" s="197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98"/>
    </row>
  </sheetData>
  <mergeCells count="24">
    <mergeCell ref="A47:P47"/>
    <mergeCell ref="A48:C53"/>
    <mergeCell ref="Q5:R5"/>
    <mergeCell ref="S5:S6"/>
    <mergeCell ref="T5:T6"/>
    <mergeCell ref="K5:L5"/>
    <mergeCell ref="O5:P5"/>
    <mergeCell ref="M5:N5"/>
    <mergeCell ref="U5:U6"/>
    <mergeCell ref="A46:C46"/>
    <mergeCell ref="F1:J3"/>
    <mergeCell ref="K1:U3"/>
    <mergeCell ref="D48:U53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</mergeCells>
  <phoneticPr fontId="26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73"/>
  </cols>
  <sheetData/>
  <phoneticPr fontId="2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1. 소켓인수검사</vt:lpstr>
      <vt:lpstr>2.재단(VM)작업</vt:lpstr>
      <vt:lpstr>차열재 재단(VM,VT)</vt:lpstr>
      <vt:lpstr>3. 1절곡(VM)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'2.재단(VM)작업'!Print_Titles</vt:lpstr>
      <vt:lpstr>'3. 1절곡(VM)'!Print_Titles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t35840</cp:lastModifiedBy>
  <cp:revision>53</cp:revision>
  <cp:lastPrinted>2026-06-22T00:44:46Z</cp:lastPrinted>
  <dcterms:created xsi:type="dcterms:W3CDTF">2025-03-13T00:09:10Z</dcterms:created>
  <dcterms:modified xsi:type="dcterms:W3CDTF">2026-06-22T00:45:46Z</dcterms:modified>
  <cp:version>1200.0100.01</cp:version>
</cp:coreProperties>
</file>