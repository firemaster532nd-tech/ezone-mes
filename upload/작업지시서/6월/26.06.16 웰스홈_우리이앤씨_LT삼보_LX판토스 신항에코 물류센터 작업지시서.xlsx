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장인섭\02. 작업지시서\2026년\6월\"/>
    </mc:Choice>
  </mc:AlternateContent>
  <xr:revisionPtr revIDLastSave="0" documentId="13_ncr:1_{7CA39513-BD76-4DD9-969F-CF588F3609FF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1. 소켓인수검사" sheetId="1" r:id="rId1"/>
    <sheet name="2.2 재단작업(VAG)" sheetId="4" r:id="rId2"/>
    <sheet name="3.2 절곡( VAG)" sheetId="8" r:id="rId3"/>
    <sheet name="5. 차열재 출하용(VM,VT,VAG)" sheetId="9" r:id="rId4"/>
    <sheet name="6. 라벨소요량" sheetId="10" r:id="rId5"/>
  </sheets>
  <definedNames>
    <definedName name="_xlnm.Print_Area" localSheetId="0">'1. 소켓인수검사'!$A$1:$P$68</definedName>
    <definedName name="_xlnm.Print_Titles" localSheetId="0">'1. 소켓인수검사'!$6:$8</definedName>
    <definedName name="_xlnm.Print_Titles" localSheetId="1">'2.2 재단작업(VAG)'!$5:$7</definedName>
    <definedName name="_xlnm.Print_Titles" localSheetId="2">'3.2 절곡( VAG)'!$1:$6</definedName>
    <definedName name="_xlnm.Print_Titles" localSheetId="3">'5. 차열재 출하용(VM,VT,VAG)'!$8:$9</definedName>
    <definedName name="_xlnm.Print_Titles" localSheetId="4">'6. 라벨소요량'!$5:$6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0" l="1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7" i="10"/>
  <c r="V70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R70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V12" i="8"/>
  <c r="V11" i="8"/>
  <c r="R12" i="8"/>
  <c r="R11" i="8"/>
  <c r="U70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12" i="8"/>
  <c r="U11" i="8"/>
  <c r="Q70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5" i="8"/>
  <c r="Q66" i="8"/>
  <c r="Q67" i="8"/>
  <c r="Q68" i="8"/>
  <c r="Q69" i="8"/>
  <c r="Q12" i="8"/>
  <c r="Q11" i="8"/>
  <c r="K70" i="8"/>
  <c r="K13" i="8"/>
  <c r="L13" i="8"/>
  <c r="M13" i="8"/>
  <c r="K14" i="8"/>
  <c r="L14" i="8"/>
  <c r="M14" i="8"/>
  <c r="K15" i="8"/>
  <c r="L15" i="8"/>
  <c r="M15" i="8"/>
  <c r="K16" i="8"/>
  <c r="L16" i="8"/>
  <c r="M16" i="8"/>
  <c r="K17" i="8"/>
  <c r="L17" i="8"/>
  <c r="M17" i="8"/>
  <c r="K18" i="8"/>
  <c r="L18" i="8"/>
  <c r="M18" i="8"/>
  <c r="K19" i="8"/>
  <c r="L19" i="8"/>
  <c r="M19" i="8"/>
  <c r="K20" i="8"/>
  <c r="L20" i="8"/>
  <c r="M20" i="8"/>
  <c r="K21" i="8"/>
  <c r="L21" i="8"/>
  <c r="M21" i="8"/>
  <c r="K22" i="8"/>
  <c r="L22" i="8"/>
  <c r="M22" i="8"/>
  <c r="K23" i="8"/>
  <c r="L23" i="8"/>
  <c r="M23" i="8"/>
  <c r="K24" i="8"/>
  <c r="L24" i="8"/>
  <c r="M24" i="8"/>
  <c r="K25" i="8"/>
  <c r="L25" i="8"/>
  <c r="M25" i="8"/>
  <c r="K26" i="8"/>
  <c r="L26" i="8"/>
  <c r="M26" i="8"/>
  <c r="K27" i="8"/>
  <c r="L27" i="8"/>
  <c r="M27" i="8"/>
  <c r="K28" i="8"/>
  <c r="L28" i="8"/>
  <c r="M28" i="8"/>
  <c r="K29" i="8"/>
  <c r="L29" i="8"/>
  <c r="M29" i="8"/>
  <c r="K30" i="8"/>
  <c r="L30" i="8"/>
  <c r="M30" i="8"/>
  <c r="K31" i="8"/>
  <c r="L31" i="8"/>
  <c r="M31" i="8"/>
  <c r="K32" i="8"/>
  <c r="L32" i="8"/>
  <c r="M32" i="8"/>
  <c r="K33" i="8"/>
  <c r="L33" i="8"/>
  <c r="M33" i="8"/>
  <c r="K34" i="8"/>
  <c r="L34" i="8"/>
  <c r="M34" i="8"/>
  <c r="K35" i="8"/>
  <c r="L35" i="8"/>
  <c r="M35" i="8"/>
  <c r="K36" i="8"/>
  <c r="L36" i="8"/>
  <c r="M36" i="8"/>
  <c r="K37" i="8"/>
  <c r="L37" i="8"/>
  <c r="M37" i="8"/>
  <c r="K38" i="8"/>
  <c r="L38" i="8"/>
  <c r="M38" i="8"/>
  <c r="K39" i="8"/>
  <c r="L39" i="8"/>
  <c r="M39" i="8"/>
  <c r="K40" i="8"/>
  <c r="L40" i="8"/>
  <c r="M40" i="8"/>
  <c r="K41" i="8"/>
  <c r="L41" i="8"/>
  <c r="M41" i="8"/>
  <c r="K42" i="8"/>
  <c r="L42" i="8"/>
  <c r="M42" i="8"/>
  <c r="K43" i="8"/>
  <c r="L43" i="8"/>
  <c r="M43" i="8"/>
  <c r="K44" i="8"/>
  <c r="L44" i="8"/>
  <c r="M44" i="8"/>
  <c r="K45" i="8"/>
  <c r="L45" i="8"/>
  <c r="M45" i="8"/>
  <c r="K46" i="8"/>
  <c r="L46" i="8"/>
  <c r="M46" i="8"/>
  <c r="K47" i="8"/>
  <c r="L47" i="8"/>
  <c r="M47" i="8"/>
  <c r="K48" i="8"/>
  <c r="L48" i="8"/>
  <c r="M48" i="8"/>
  <c r="K49" i="8"/>
  <c r="L49" i="8"/>
  <c r="M49" i="8"/>
  <c r="K50" i="8"/>
  <c r="L50" i="8"/>
  <c r="M50" i="8"/>
  <c r="K51" i="8"/>
  <c r="L51" i="8"/>
  <c r="M51" i="8"/>
  <c r="K52" i="8"/>
  <c r="L52" i="8"/>
  <c r="M52" i="8"/>
  <c r="K53" i="8"/>
  <c r="L53" i="8"/>
  <c r="M53" i="8"/>
  <c r="K54" i="8"/>
  <c r="L54" i="8"/>
  <c r="M54" i="8"/>
  <c r="K55" i="8"/>
  <c r="L55" i="8"/>
  <c r="M55" i="8"/>
  <c r="K56" i="8"/>
  <c r="L56" i="8"/>
  <c r="M56" i="8"/>
  <c r="K57" i="8"/>
  <c r="L57" i="8"/>
  <c r="M57" i="8"/>
  <c r="K58" i="8"/>
  <c r="L58" i="8"/>
  <c r="M58" i="8"/>
  <c r="K59" i="8"/>
  <c r="L59" i="8"/>
  <c r="M59" i="8"/>
  <c r="K60" i="8"/>
  <c r="L60" i="8"/>
  <c r="M60" i="8"/>
  <c r="K61" i="8"/>
  <c r="L61" i="8"/>
  <c r="M61" i="8"/>
  <c r="K62" i="8"/>
  <c r="L62" i="8"/>
  <c r="M62" i="8"/>
  <c r="K63" i="8"/>
  <c r="L63" i="8"/>
  <c r="M63" i="8"/>
  <c r="K64" i="8"/>
  <c r="L64" i="8"/>
  <c r="M64" i="8"/>
  <c r="K65" i="8"/>
  <c r="L65" i="8"/>
  <c r="M65" i="8"/>
  <c r="K66" i="8"/>
  <c r="L66" i="8"/>
  <c r="M66" i="8"/>
  <c r="K67" i="8"/>
  <c r="L67" i="8"/>
  <c r="M67" i="8"/>
  <c r="K68" i="8"/>
  <c r="L68" i="8"/>
  <c r="M68" i="8"/>
  <c r="K69" i="8"/>
  <c r="L69" i="8"/>
  <c r="M69" i="8"/>
  <c r="K12" i="8"/>
  <c r="K11" i="8"/>
  <c r="G16" i="8"/>
  <c r="G20" i="8"/>
  <c r="G24" i="8"/>
  <c r="G28" i="8"/>
  <c r="G30" i="8"/>
  <c r="G32" i="8"/>
  <c r="G34" i="8"/>
  <c r="G36" i="8"/>
  <c r="G38" i="8"/>
  <c r="G40" i="8"/>
  <c r="G42" i="8"/>
  <c r="G44" i="8"/>
  <c r="G46" i="8"/>
  <c r="G48" i="8"/>
  <c r="G50" i="8"/>
  <c r="G52" i="8"/>
  <c r="G55" i="8"/>
  <c r="G59" i="8"/>
  <c r="G63" i="8"/>
  <c r="G67" i="8"/>
  <c r="G12" i="8"/>
  <c r="G11" i="8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K43" i="4" s="1"/>
  <c r="G44" i="4"/>
  <c r="K44" i="4" s="1"/>
  <c r="G45" i="4"/>
  <c r="G46" i="4"/>
  <c r="G47" i="4"/>
  <c r="G48" i="4"/>
  <c r="K48" i="4" s="1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9" i="4"/>
  <c r="G8" i="4"/>
  <c r="J10" i="4"/>
  <c r="J11" i="4"/>
  <c r="I12" i="4"/>
  <c r="J12" i="4"/>
  <c r="I13" i="4"/>
  <c r="J13" i="4"/>
  <c r="J14" i="4"/>
  <c r="J15" i="4"/>
  <c r="I16" i="4"/>
  <c r="J16" i="4"/>
  <c r="I17" i="4"/>
  <c r="J17" i="4"/>
  <c r="J18" i="4"/>
  <c r="J19" i="4"/>
  <c r="I20" i="4"/>
  <c r="J20" i="4"/>
  <c r="I21" i="4"/>
  <c r="J21" i="4"/>
  <c r="J22" i="4"/>
  <c r="J23" i="4"/>
  <c r="I24" i="4"/>
  <c r="J24" i="4"/>
  <c r="I25" i="4"/>
  <c r="J25" i="4"/>
  <c r="J26" i="4"/>
  <c r="J27" i="4"/>
  <c r="I28" i="4"/>
  <c r="J28" i="4"/>
  <c r="I29" i="4"/>
  <c r="J29" i="4"/>
  <c r="J30" i="4"/>
  <c r="J31" i="4"/>
  <c r="I32" i="4"/>
  <c r="J32" i="4"/>
  <c r="I33" i="4"/>
  <c r="J33" i="4"/>
  <c r="J34" i="4"/>
  <c r="J35" i="4"/>
  <c r="I36" i="4"/>
  <c r="J36" i="4"/>
  <c r="I37" i="4"/>
  <c r="J37" i="4"/>
  <c r="J38" i="4"/>
  <c r="J39" i="4"/>
  <c r="I40" i="4"/>
  <c r="J40" i="4"/>
  <c r="I41" i="4"/>
  <c r="J41" i="4"/>
  <c r="J42" i="4"/>
  <c r="J43" i="4"/>
  <c r="I44" i="4"/>
  <c r="J44" i="4"/>
  <c r="I45" i="4"/>
  <c r="J45" i="4"/>
  <c r="I46" i="4"/>
  <c r="J46" i="4"/>
  <c r="J47" i="4"/>
  <c r="I48" i="4"/>
  <c r="J48" i="4"/>
  <c r="I49" i="4"/>
  <c r="J49" i="4"/>
  <c r="I50" i="4"/>
  <c r="J50" i="4"/>
  <c r="J51" i="4"/>
  <c r="I52" i="4"/>
  <c r="J52" i="4"/>
  <c r="I53" i="4"/>
  <c r="J53" i="4"/>
  <c r="I54" i="4"/>
  <c r="J54" i="4"/>
  <c r="J55" i="4"/>
  <c r="I56" i="4"/>
  <c r="J56" i="4"/>
  <c r="K56" i="4"/>
  <c r="I57" i="4"/>
  <c r="J57" i="4"/>
  <c r="I58" i="4"/>
  <c r="J58" i="4"/>
  <c r="J59" i="4"/>
  <c r="I60" i="4"/>
  <c r="J60" i="4"/>
  <c r="K60" i="4"/>
  <c r="I61" i="4"/>
  <c r="J61" i="4"/>
  <c r="I62" i="4"/>
  <c r="J62" i="4"/>
  <c r="J63" i="4"/>
  <c r="I64" i="4"/>
  <c r="J64" i="4"/>
  <c r="K64" i="4"/>
  <c r="I65" i="4"/>
  <c r="J65" i="4"/>
  <c r="I66" i="4"/>
  <c r="J66" i="4"/>
  <c r="J67" i="4"/>
  <c r="I9" i="4"/>
  <c r="L8" i="4"/>
  <c r="K1" i="10"/>
  <c r="N5" i="8"/>
  <c r="P5" i="9"/>
  <c r="H1" i="4"/>
  <c r="D1" i="1"/>
  <c r="P67" i="10"/>
  <c r="H67" i="10"/>
  <c r="U66" i="10"/>
  <c r="D66" i="10"/>
  <c r="C66" i="10"/>
  <c r="A66" i="10"/>
  <c r="U65" i="10"/>
  <c r="D65" i="10"/>
  <c r="C65" i="10"/>
  <c r="A65" i="10"/>
  <c r="U64" i="10"/>
  <c r="D64" i="10"/>
  <c r="C64" i="10"/>
  <c r="A64" i="10"/>
  <c r="U63" i="10"/>
  <c r="D63" i="10"/>
  <c r="C63" i="10"/>
  <c r="A63" i="10"/>
  <c r="U62" i="10"/>
  <c r="D62" i="10"/>
  <c r="C62" i="10"/>
  <c r="A62" i="10"/>
  <c r="U61" i="10"/>
  <c r="D61" i="10"/>
  <c r="C61" i="10"/>
  <c r="A61" i="10"/>
  <c r="U60" i="10"/>
  <c r="D60" i="10"/>
  <c r="C60" i="10"/>
  <c r="A60" i="10"/>
  <c r="U59" i="10"/>
  <c r="D59" i="10"/>
  <c r="C59" i="10"/>
  <c r="A59" i="10"/>
  <c r="U58" i="10"/>
  <c r="D58" i="10"/>
  <c r="C58" i="10"/>
  <c r="A58" i="10"/>
  <c r="U57" i="10"/>
  <c r="D57" i="10"/>
  <c r="C57" i="10"/>
  <c r="A57" i="10"/>
  <c r="U56" i="10"/>
  <c r="D56" i="10"/>
  <c r="C56" i="10"/>
  <c r="A56" i="10"/>
  <c r="U55" i="10"/>
  <c r="D55" i="10"/>
  <c r="C55" i="10"/>
  <c r="A55" i="10"/>
  <c r="U54" i="10"/>
  <c r="D54" i="10"/>
  <c r="C54" i="10"/>
  <c r="A54" i="10"/>
  <c r="U53" i="10"/>
  <c r="D53" i="10"/>
  <c r="C53" i="10"/>
  <c r="A53" i="10"/>
  <c r="U52" i="10"/>
  <c r="D52" i="10"/>
  <c r="C52" i="10"/>
  <c r="A52" i="10"/>
  <c r="U51" i="10"/>
  <c r="D51" i="10"/>
  <c r="C51" i="10"/>
  <c r="A51" i="10"/>
  <c r="U50" i="10"/>
  <c r="D50" i="10"/>
  <c r="C50" i="10"/>
  <c r="A50" i="10"/>
  <c r="U49" i="10"/>
  <c r="D49" i="10"/>
  <c r="C49" i="10"/>
  <c r="A49" i="10"/>
  <c r="U48" i="10"/>
  <c r="D48" i="10"/>
  <c r="C48" i="10"/>
  <c r="A48" i="10"/>
  <c r="U47" i="10"/>
  <c r="D47" i="10"/>
  <c r="C47" i="10"/>
  <c r="A47" i="10"/>
  <c r="U46" i="10"/>
  <c r="D46" i="10"/>
  <c r="C46" i="10"/>
  <c r="A46" i="10"/>
  <c r="U45" i="10"/>
  <c r="D45" i="10"/>
  <c r="C45" i="10"/>
  <c r="A45" i="10"/>
  <c r="U44" i="10"/>
  <c r="D44" i="10"/>
  <c r="C44" i="10"/>
  <c r="A44" i="10"/>
  <c r="U43" i="10"/>
  <c r="D43" i="10"/>
  <c r="C43" i="10"/>
  <c r="A43" i="10"/>
  <c r="U42" i="10"/>
  <c r="D42" i="10"/>
  <c r="C42" i="10"/>
  <c r="A42" i="10"/>
  <c r="U41" i="10"/>
  <c r="D41" i="10"/>
  <c r="C41" i="10"/>
  <c r="A41" i="10"/>
  <c r="U40" i="10"/>
  <c r="D40" i="10"/>
  <c r="C40" i="10"/>
  <c r="A40" i="10"/>
  <c r="U39" i="10"/>
  <c r="D39" i="10"/>
  <c r="C39" i="10"/>
  <c r="A39" i="10"/>
  <c r="U38" i="10"/>
  <c r="D38" i="10"/>
  <c r="C38" i="10"/>
  <c r="A38" i="10"/>
  <c r="U37" i="10"/>
  <c r="D37" i="10"/>
  <c r="C37" i="10"/>
  <c r="A37" i="10"/>
  <c r="U36" i="10"/>
  <c r="D36" i="10"/>
  <c r="C36" i="10"/>
  <c r="A36" i="10"/>
  <c r="U35" i="10"/>
  <c r="D35" i="10"/>
  <c r="C35" i="10"/>
  <c r="A35" i="10"/>
  <c r="U34" i="10"/>
  <c r="D34" i="10"/>
  <c r="C34" i="10"/>
  <c r="A34" i="10"/>
  <c r="U33" i="10"/>
  <c r="D33" i="10"/>
  <c r="C33" i="10"/>
  <c r="A33" i="10"/>
  <c r="U32" i="10"/>
  <c r="D32" i="10"/>
  <c r="C32" i="10"/>
  <c r="A32" i="10"/>
  <c r="U31" i="10"/>
  <c r="D31" i="10"/>
  <c r="C31" i="10"/>
  <c r="A31" i="10"/>
  <c r="U30" i="10"/>
  <c r="D30" i="10"/>
  <c r="C30" i="10"/>
  <c r="A30" i="10"/>
  <c r="U29" i="10"/>
  <c r="D29" i="10"/>
  <c r="C29" i="10"/>
  <c r="A29" i="10"/>
  <c r="U28" i="10"/>
  <c r="D28" i="10"/>
  <c r="C28" i="10"/>
  <c r="A28" i="10"/>
  <c r="U27" i="10"/>
  <c r="D27" i="10"/>
  <c r="C27" i="10"/>
  <c r="A27" i="10"/>
  <c r="U26" i="10"/>
  <c r="D26" i="10"/>
  <c r="C26" i="10"/>
  <c r="A26" i="10"/>
  <c r="U25" i="10"/>
  <c r="D25" i="10"/>
  <c r="C25" i="10"/>
  <c r="A25" i="10"/>
  <c r="U24" i="10"/>
  <c r="D24" i="10"/>
  <c r="C24" i="10"/>
  <c r="A24" i="10"/>
  <c r="U23" i="10"/>
  <c r="D23" i="10"/>
  <c r="C23" i="10"/>
  <c r="A23" i="10"/>
  <c r="U22" i="10"/>
  <c r="D22" i="10"/>
  <c r="C22" i="10"/>
  <c r="A22" i="10"/>
  <c r="U21" i="10"/>
  <c r="D21" i="10"/>
  <c r="C21" i="10"/>
  <c r="A21" i="10"/>
  <c r="U20" i="10"/>
  <c r="D20" i="10"/>
  <c r="C20" i="10"/>
  <c r="A20" i="10"/>
  <c r="U19" i="10"/>
  <c r="D19" i="10"/>
  <c r="C19" i="10"/>
  <c r="A19" i="10"/>
  <c r="U18" i="10"/>
  <c r="D18" i="10"/>
  <c r="C18" i="10"/>
  <c r="A18" i="10"/>
  <c r="U17" i="10"/>
  <c r="D17" i="10"/>
  <c r="C17" i="10"/>
  <c r="A17" i="10"/>
  <c r="U16" i="10"/>
  <c r="D16" i="10"/>
  <c r="C16" i="10"/>
  <c r="A16" i="10"/>
  <c r="U15" i="10"/>
  <c r="D15" i="10"/>
  <c r="C15" i="10"/>
  <c r="A15" i="10"/>
  <c r="U14" i="10"/>
  <c r="D14" i="10"/>
  <c r="C14" i="10"/>
  <c r="A14" i="10"/>
  <c r="U13" i="10"/>
  <c r="D13" i="10"/>
  <c r="C13" i="10"/>
  <c r="A13" i="10"/>
  <c r="U12" i="10"/>
  <c r="D12" i="10"/>
  <c r="C12" i="10"/>
  <c r="A12" i="10"/>
  <c r="U11" i="10"/>
  <c r="D11" i="10"/>
  <c r="C11" i="10"/>
  <c r="A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69" i="9"/>
  <c r="B69" i="9"/>
  <c r="A69" i="9"/>
  <c r="C68" i="9"/>
  <c r="B68" i="9"/>
  <c r="A68" i="9"/>
  <c r="C67" i="9"/>
  <c r="B67" i="9"/>
  <c r="A67" i="9"/>
  <c r="C66" i="9"/>
  <c r="B66" i="9"/>
  <c r="A66" i="9"/>
  <c r="C65" i="9"/>
  <c r="B65" i="9"/>
  <c r="A65" i="9"/>
  <c r="C64" i="9"/>
  <c r="B64" i="9"/>
  <c r="A64" i="9"/>
  <c r="C63" i="9"/>
  <c r="B63" i="9"/>
  <c r="A63" i="9"/>
  <c r="C62" i="9"/>
  <c r="B62" i="9"/>
  <c r="A62" i="9"/>
  <c r="C61" i="9"/>
  <c r="B61" i="9"/>
  <c r="A61" i="9"/>
  <c r="C60" i="9"/>
  <c r="B60" i="9"/>
  <c r="A60" i="9"/>
  <c r="C59" i="9"/>
  <c r="B59" i="9"/>
  <c r="A59" i="9"/>
  <c r="C58" i="9"/>
  <c r="B58" i="9"/>
  <c r="A58" i="9"/>
  <c r="C57" i="9"/>
  <c r="B57" i="9"/>
  <c r="A57" i="9"/>
  <c r="C56" i="9"/>
  <c r="B56" i="9"/>
  <c r="A56" i="9"/>
  <c r="C55" i="9"/>
  <c r="B55" i="9"/>
  <c r="A55" i="9"/>
  <c r="C54" i="9"/>
  <c r="B54" i="9"/>
  <c r="A54" i="9"/>
  <c r="C53" i="9"/>
  <c r="B53" i="9"/>
  <c r="A53" i="9"/>
  <c r="C52" i="9"/>
  <c r="B52" i="9"/>
  <c r="A52" i="9"/>
  <c r="C51" i="9"/>
  <c r="B51" i="9"/>
  <c r="A51" i="9"/>
  <c r="C50" i="9"/>
  <c r="B50" i="9"/>
  <c r="A50" i="9"/>
  <c r="C49" i="9"/>
  <c r="B49" i="9"/>
  <c r="A49" i="9"/>
  <c r="C48" i="9"/>
  <c r="B48" i="9"/>
  <c r="A48" i="9"/>
  <c r="C47" i="9"/>
  <c r="B47" i="9"/>
  <c r="A47" i="9"/>
  <c r="C46" i="9"/>
  <c r="B46" i="9"/>
  <c r="A46" i="9"/>
  <c r="C45" i="9"/>
  <c r="B45" i="9"/>
  <c r="A45" i="9"/>
  <c r="C44" i="9"/>
  <c r="B44" i="9"/>
  <c r="A44" i="9"/>
  <c r="C43" i="9"/>
  <c r="B43" i="9"/>
  <c r="A43" i="9"/>
  <c r="C42" i="9"/>
  <c r="B42" i="9"/>
  <c r="A42" i="9"/>
  <c r="C41" i="9"/>
  <c r="B41" i="9"/>
  <c r="A41" i="9"/>
  <c r="C40" i="9"/>
  <c r="B40" i="9"/>
  <c r="A40" i="9"/>
  <c r="C39" i="9"/>
  <c r="B39" i="9"/>
  <c r="A39" i="9"/>
  <c r="C38" i="9"/>
  <c r="B38" i="9"/>
  <c r="A38" i="9"/>
  <c r="C37" i="9"/>
  <c r="B37" i="9"/>
  <c r="A37" i="9"/>
  <c r="C36" i="9"/>
  <c r="B36" i="9"/>
  <c r="A36" i="9"/>
  <c r="C35" i="9"/>
  <c r="B35" i="9"/>
  <c r="A35" i="9"/>
  <c r="C34" i="9"/>
  <c r="B34" i="9"/>
  <c r="A34" i="9"/>
  <c r="C33" i="9"/>
  <c r="B33" i="9"/>
  <c r="A33" i="9"/>
  <c r="C32" i="9"/>
  <c r="B32" i="9"/>
  <c r="A32" i="9"/>
  <c r="C31" i="9"/>
  <c r="B31" i="9"/>
  <c r="A31" i="9"/>
  <c r="C30" i="9"/>
  <c r="B30" i="9"/>
  <c r="A30" i="9"/>
  <c r="C29" i="9"/>
  <c r="B29" i="9"/>
  <c r="A29" i="9"/>
  <c r="C28" i="9"/>
  <c r="B28" i="9"/>
  <c r="A28" i="9"/>
  <c r="C27" i="9"/>
  <c r="B27" i="9"/>
  <c r="A27" i="9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B22" i="9"/>
  <c r="A22" i="9"/>
  <c r="C21" i="9"/>
  <c r="B21" i="9"/>
  <c r="A21" i="9"/>
  <c r="C20" i="9"/>
  <c r="B20" i="9"/>
  <c r="A20" i="9"/>
  <c r="C19" i="9"/>
  <c r="B19" i="9"/>
  <c r="A19" i="9"/>
  <c r="C18" i="9"/>
  <c r="B18" i="9"/>
  <c r="A18" i="9"/>
  <c r="C17" i="9"/>
  <c r="B17" i="9"/>
  <c r="A17" i="9"/>
  <c r="C16" i="9"/>
  <c r="B16" i="9"/>
  <c r="A16" i="9"/>
  <c r="C15" i="9"/>
  <c r="B15" i="9"/>
  <c r="A15" i="9"/>
  <c r="C14" i="9"/>
  <c r="B14" i="9"/>
  <c r="A14" i="9"/>
  <c r="C13" i="9"/>
  <c r="B13" i="9"/>
  <c r="A13" i="9"/>
  <c r="C12" i="9"/>
  <c r="B12" i="9"/>
  <c r="A12" i="9"/>
  <c r="C11" i="9"/>
  <c r="B11" i="9"/>
  <c r="A11" i="9"/>
  <c r="C10" i="9"/>
  <c r="B10" i="9"/>
  <c r="A10" i="9"/>
  <c r="M70" i="8"/>
  <c r="C70" i="8"/>
  <c r="B70" i="8"/>
  <c r="A70" i="8"/>
  <c r="C69" i="8"/>
  <c r="B69" i="8"/>
  <c r="A69" i="8"/>
  <c r="C68" i="8"/>
  <c r="B68" i="8"/>
  <c r="A68" i="8"/>
  <c r="C67" i="8"/>
  <c r="B67" i="8"/>
  <c r="A67" i="8"/>
  <c r="C66" i="8"/>
  <c r="B66" i="8"/>
  <c r="A66" i="8"/>
  <c r="C65" i="8"/>
  <c r="B65" i="8"/>
  <c r="A65" i="8"/>
  <c r="C64" i="8"/>
  <c r="B64" i="8"/>
  <c r="A64" i="8"/>
  <c r="C63" i="8"/>
  <c r="B63" i="8"/>
  <c r="A63" i="8"/>
  <c r="C62" i="8"/>
  <c r="B62" i="8"/>
  <c r="G62" i="8" s="1"/>
  <c r="A62" i="8"/>
  <c r="C61" i="8"/>
  <c r="B61" i="8"/>
  <c r="A61" i="8"/>
  <c r="C60" i="8"/>
  <c r="B60" i="8"/>
  <c r="A60" i="8"/>
  <c r="C59" i="8"/>
  <c r="B59" i="8"/>
  <c r="A59" i="8"/>
  <c r="C58" i="8"/>
  <c r="B58" i="8"/>
  <c r="G58" i="8" s="1"/>
  <c r="A58" i="8"/>
  <c r="C57" i="8"/>
  <c r="B57" i="8"/>
  <c r="A57" i="8"/>
  <c r="C56" i="8"/>
  <c r="B56" i="8"/>
  <c r="A56" i="8"/>
  <c r="C55" i="8"/>
  <c r="B55" i="8"/>
  <c r="A55" i="8"/>
  <c r="C54" i="8"/>
  <c r="B54" i="8"/>
  <c r="A54" i="8"/>
  <c r="C53" i="8"/>
  <c r="B53" i="8"/>
  <c r="A53" i="8"/>
  <c r="C52" i="8"/>
  <c r="B52" i="8"/>
  <c r="A52" i="8"/>
  <c r="C51" i="8"/>
  <c r="B51" i="8"/>
  <c r="A51" i="8"/>
  <c r="C50" i="8"/>
  <c r="B50" i="8"/>
  <c r="A50" i="8"/>
  <c r="C49" i="8"/>
  <c r="B49" i="8"/>
  <c r="A49" i="8"/>
  <c r="C48" i="8"/>
  <c r="B48" i="8"/>
  <c r="A48" i="8"/>
  <c r="C47" i="8"/>
  <c r="B47" i="8"/>
  <c r="A47" i="8"/>
  <c r="C46" i="8"/>
  <c r="B46" i="8"/>
  <c r="A46" i="8"/>
  <c r="C45" i="8"/>
  <c r="B45" i="8"/>
  <c r="A45" i="8"/>
  <c r="C44" i="8"/>
  <c r="B44" i="8"/>
  <c r="A44" i="8"/>
  <c r="C43" i="8"/>
  <c r="B43" i="8"/>
  <c r="A43" i="8"/>
  <c r="C42" i="8"/>
  <c r="B42" i="8"/>
  <c r="A42" i="8"/>
  <c r="C41" i="8"/>
  <c r="B41" i="8"/>
  <c r="A41" i="8"/>
  <c r="C40" i="8"/>
  <c r="B40" i="8"/>
  <c r="A40" i="8"/>
  <c r="C39" i="8"/>
  <c r="B39" i="8"/>
  <c r="A39" i="8"/>
  <c r="C38" i="8"/>
  <c r="B38" i="8"/>
  <c r="A38" i="8"/>
  <c r="C37" i="8"/>
  <c r="B37" i="8"/>
  <c r="A37" i="8"/>
  <c r="C36" i="8"/>
  <c r="B36" i="8"/>
  <c r="A36" i="8"/>
  <c r="C35" i="8"/>
  <c r="B35" i="8"/>
  <c r="G35" i="8" s="1"/>
  <c r="A35" i="8"/>
  <c r="C34" i="8"/>
  <c r="B34" i="8"/>
  <c r="A34" i="8"/>
  <c r="C33" i="8"/>
  <c r="B33" i="8"/>
  <c r="A33" i="8"/>
  <c r="C32" i="8"/>
  <c r="B32" i="8"/>
  <c r="A32" i="8"/>
  <c r="C31" i="8"/>
  <c r="B31" i="8"/>
  <c r="G31" i="8" s="1"/>
  <c r="A31" i="8"/>
  <c r="C30" i="8"/>
  <c r="B30" i="8"/>
  <c r="A30" i="8"/>
  <c r="C29" i="8"/>
  <c r="B29" i="8"/>
  <c r="A29" i="8"/>
  <c r="C28" i="8"/>
  <c r="B28" i="8"/>
  <c r="A28" i="8"/>
  <c r="C27" i="8"/>
  <c r="B27" i="8"/>
  <c r="A27" i="8"/>
  <c r="C26" i="8"/>
  <c r="B26" i="8"/>
  <c r="A26" i="8"/>
  <c r="C25" i="8"/>
  <c r="B25" i="8"/>
  <c r="A25" i="8"/>
  <c r="C24" i="8"/>
  <c r="B24" i="8"/>
  <c r="A24" i="8"/>
  <c r="C23" i="8"/>
  <c r="B23" i="8"/>
  <c r="G23" i="8" s="1"/>
  <c r="A23" i="8"/>
  <c r="C22" i="8"/>
  <c r="B22" i="8"/>
  <c r="A22" i="8"/>
  <c r="C21" i="8"/>
  <c r="B21" i="8"/>
  <c r="A21" i="8"/>
  <c r="C20" i="8"/>
  <c r="B20" i="8"/>
  <c r="A20" i="8"/>
  <c r="C19" i="8"/>
  <c r="B19" i="8"/>
  <c r="A19" i="8"/>
  <c r="C18" i="8"/>
  <c r="B18" i="8"/>
  <c r="A18" i="8"/>
  <c r="C17" i="8"/>
  <c r="B17" i="8"/>
  <c r="A17" i="8"/>
  <c r="C16" i="8"/>
  <c r="B16" i="8"/>
  <c r="A16" i="8"/>
  <c r="C15" i="8"/>
  <c r="B15" i="8"/>
  <c r="G15" i="8" s="1"/>
  <c r="A15" i="8"/>
  <c r="C14" i="8"/>
  <c r="B14" i="8"/>
  <c r="A14" i="8"/>
  <c r="C13" i="8"/>
  <c r="B13" i="8"/>
  <c r="A13" i="8"/>
  <c r="M12" i="8"/>
  <c r="C12" i="8"/>
  <c r="B12" i="8"/>
  <c r="A12" i="8"/>
  <c r="M11" i="8"/>
  <c r="C11" i="8"/>
  <c r="B11" i="8"/>
  <c r="A11" i="8"/>
  <c r="P68" i="4"/>
  <c r="N68" i="4"/>
  <c r="D67" i="4"/>
  <c r="O67" i="4" s="1"/>
  <c r="C67" i="4"/>
  <c r="M67" i="4" s="1"/>
  <c r="A67" i="4"/>
  <c r="D66" i="4"/>
  <c r="O66" i="4" s="1"/>
  <c r="C66" i="4"/>
  <c r="A66" i="4"/>
  <c r="D65" i="4"/>
  <c r="O65" i="4" s="1"/>
  <c r="C65" i="4"/>
  <c r="A65" i="4"/>
  <c r="D64" i="4"/>
  <c r="O64" i="4" s="1"/>
  <c r="C64" i="4"/>
  <c r="A64" i="4"/>
  <c r="D63" i="4"/>
  <c r="O63" i="4" s="1"/>
  <c r="C63" i="4"/>
  <c r="M63" i="4" s="1"/>
  <c r="A63" i="4"/>
  <c r="D62" i="4"/>
  <c r="O62" i="4" s="1"/>
  <c r="C62" i="4"/>
  <c r="M62" i="4" s="1"/>
  <c r="A62" i="4"/>
  <c r="D61" i="4"/>
  <c r="O61" i="4" s="1"/>
  <c r="C61" i="4"/>
  <c r="A61" i="4"/>
  <c r="D60" i="4"/>
  <c r="O60" i="4" s="1"/>
  <c r="C60" i="4"/>
  <c r="A60" i="4"/>
  <c r="D59" i="4"/>
  <c r="O59" i="4" s="1"/>
  <c r="C59" i="4"/>
  <c r="M59" i="4" s="1"/>
  <c r="A59" i="4"/>
  <c r="D58" i="4"/>
  <c r="O58" i="4" s="1"/>
  <c r="C58" i="4"/>
  <c r="A58" i="4"/>
  <c r="D57" i="4"/>
  <c r="O57" i="4" s="1"/>
  <c r="C57" i="4"/>
  <c r="A57" i="4"/>
  <c r="D56" i="4"/>
  <c r="O56" i="4" s="1"/>
  <c r="C56" i="4"/>
  <c r="A56" i="4"/>
  <c r="D55" i="4"/>
  <c r="O55" i="4" s="1"/>
  <c r="C55" i="4"/>
  <c r="I55" i="4" s="1"/>
  <c r="A55" i="4"/>
  <c r="D54" i="4"/>
  <c r="O54" i="4" s="1"/>
  <c r="C54" i="4"/>
  <c r="M54" i="4" s="1"/>
  <c r="A54" i="4"/>
  <c r="D53" i="4"/>
  <c r="O53" i="4" s="1"/>
  <c r="C53" i="4"/>
  <c r="M53" i="4" s="1"/>
  <c r="A53" i="4"/>
  <c r="D52" i="4"/>
  <c r="O52" i="4" s="1"/>
  <c r="C52" i="4"/>
  <c r="A52" i="4"/>
  <c r="D51" i="4"/>
  <c r="O51" i="4" s="1"/>
  <c r="C51" i="4"/>
  <c r="M51" i="4" s="1"/>
  <c r="A51" i="4"/>
  <c r="D50" i="4"/>
  <c r="O50" i="4" s="1"/>
  <c r="C50" i="4"/>
  <c r="A50" i="4"/>
  <c r="D49" i="4"/>
  <c r="O49" i="4" s="1"/>
  <c r="C49" i="4"/>
  <c r="A49" i="4"/>
  <c r="D48" i="4"/>
  <c r="O48" i="4" s="1"/>
  <c r="C48" i="4"/>
  <c r="A48" i="4"/>
  <c r="D47" i="4"/>
  <c r="O47" i="4" s="1"/>
  <c r="C47" i="4"/>
  <c r="M47" i="4" s="1"/>
  <c r="A47" i="4"/>
  <c r="D46" i="4"/>
  <c r="O46" i="4" s="1"/>
  <c r="C46" i="4"/>
  <c r="A46" i="4"/>
  <c r="D45" i="4"/>
  <c r="O45" i="4" s="1"/>
  <c r="C45" i="4"/>
  <c r="A45" i="4"/>
  <c r="D44" i="4"/>
  <c r="O44" i="4" s="1"/>
  <c r="C44" i="4"/>
  <c r="A44" i="4"/>
  <c r="D43" i="4"/>
  <c r="O43" i="4" s="1"/>
  <c r="C43" i="4"/>
  <c r="M43" i="4" s="1"/>
  <c r="A43" i="4"/>
  <c r="D42" i="4"/>
  <c r="O42" i="4" s="1"/>
  <c r="C42" i="4"/>
  <c r="M42" i="4" s="1"/>
  <c r="A42" i="4"/>
  <c r="D41" i="4"/>
  <c r="O41" i="4" s="1"/>
  <c r="C41" i="4"/>
  <c r="A41" i="4"/>
  <c r="D40" i="4"/>
  <c r="O40" i="4" s="1"/>
  <c r="C40" i="4"/>
  <c r="K40" i="4" s="1"/>
  <c r="A40" i="4"/>
  <c r="D39" i="4"/>
  <c r="O39" i="4" s="1"/>
  <c r="C39" i="4"/>
  <c r="I39" i="4" s="1"/>
  <c r="A39" i="4"/>
  <c r="D38" i="4"/>
  <c r="O38" i="4" s="1"/>
  <c r="C38" i="4"/>
  <c r="M38" i="4" s="1"/>
  <c r="A38" i="4"/>
  <c r="D37" i="4"/>
  <c r="O37" i="4" s="1"/>
  <c r="C37" i="4"/>
  <c r="A37" i="4"/>
  <c r="D36" i="4"/>
  <c r="O36" i="4" s="1"/>
  <c r="C36" i="4"/>
  <c r="K36" i="4" s="1"/>
  <c r="A36" i="4"/>
  <c r="D35" i="4"/>
  <c r="O35" i="4" s="1"/>
  <c r="C35" i="4"/>
  <c r="I35" i="4" s="1"/>
  <c r="A35" i="4"/>
  <c r="D34" i="4"/>
  <c r="O34" i="4" s="1"/>
  <c r="C34" i="4"/>
  <c r="M34" i="4" s="1"/>
  <c r="A34" i="4"/>
  <c r="D33" i="4"/>
  <c r="O33" i="4" s="1"/>
  <c r="C33" i="4"/>
  <c r="A33" i="4"/>
  <c r="D32" i="4"/>
  <c r="O32" i="4" s="1"/>
  <c r="C32" i="4"/>
  <c r="K32" i="4" s="1"/>
  <c r="A32" i="4"/>
  <c r="D31" i="4"/>
  <c r="O31" i="4" s="1"/>
  <c r="C31" i="4"/>
  <c r="M31" i="4" s="1"/>
  <c r="A31" i="4"/>
  <c r="D30" i="4"/>
  <c r="O30" i="4" s="1"/>
  <c r="C30" i="4"/>
  <c r="M30" i="4" s="1"/>
  <c r="A30" i="4"/>
  <c r="D29" i="4"/>
  <c r="O29" i="4" s="1"/>
  <c r="C29" i="4"/>
  <c r="A29" i="4"/>
  <c r="D28" i="4"/>
  <c r="O28" i="4" s="1"/>
  <c r="C28" i="4"/>
  <c r="K28" i="4" s="1"/>
  <c r="A28" i="4"/>
  <c r="D27" i="4"/>
  <c r="O27" i="4" s="1"/>
  <c r="C27" i="4"/>
  <c r="M27" i="4" s="1"/>
  <c r="A27" i="4"/>
  <c r="D26" i="4"/>
  <c r="O26" i="4" s="1"/>
  <c r="C26" i="4"/>
  <c r="I26" i="4" s="1"/>
  <c r="A26" i="4"/>
  <c r="D25" i="4"/>
  <c r="O25" i="4" s="1"/>
  <c r="C25" i="4"/>
  <c r="A25" i="4"/>
  <c r="D24" i="4"/>
  <c r="O24" i="4" s="1"/>
  <c r="C24" i="4"/>
  <c r="K24" i="4" s="1"/>
  <c r="A24" i="4"/>
  <c r="D23" i="4"/>
  <c r="O23" i="4" s="1"/>
  <c r="C23" i="4"/>
  <c r="M23" i="4" s="1"/>
  <c r="A23" i="4"/>
  <c r="D22" i="4"/>
  <c r="O22" i="4" s="1"/>
  <c r="C22" i="4"/>
  <c r="M22" i="4" s="1"/>
  <c r="A22" i="4"/>
  <c r="D21" i="4"/>
  <c r="O21" i="4" s="1"/>
  <c r="C21" i="4"/>
  <c r="A21" i="4"/>
  <c r="D20" i="4"/>
  <c r="O20" i="4" s="1"/>
  <c r="C20" i="4"/>
  <c r="K20" i="4" s="1"/>
  <c r="A20" i="4"/>
  <c r="D19" i="4"/>
  <c r="O19" i="4" s="1"/>
  <c r="C19" i="4"/>
  <c r="I19" i="4" s="1"/>
  <c r="A19" i="4"/>
  <c r="D18" i="4"/>
  <c r="O18" i="4" s="1"/>
  <c r="C18" i="4"/>
  <c r="I18" i="4" s="1"/>
  <c r="A18" i="4"/>
  <c r="D17" i="4"/>
  <c r="O17" i="4" s="1"/>
  <c r="C17" i="4"/>
  <c r="A17" i="4"/>
  <c r="D16" i="4"/>
  <c r="O16" i="4" s="1"/>
  <c r="C16" i="4"/>
  <c r="K16" i="4" s="1"/>
  <c r="A16" i="4"/>
  <c r="D15" i="4"/>
  <c r="O15" i="4" s="1"/>
  <c r="C15" i="4"/>
  <c r="M15" i="4" s="1"/>
  <c r="A15" i="4"/>
  <c r="D14" i="4"/>
  <c r="O14" i="4" s="1"/>
  <c r="C14" i="4"/>
  <c r="M14" i="4" s="1"/>
  <c r="A14" i="4"/>
  <c r="D13" i="4"/>
  <c r="O13" i="4" s="1"/>
  <c r="C13" i="4"/>
  <c r="A13" i="4"/>
  <c r="D12" i="4"/>
  <c r="O12" i="4" s="1"/>
  <c r="C12" i="4"/>
  <c r="K12" i="4" s="1"/>
  <c r="A12" i="4"/>
  <c r="D11" i="4"/>
  <c r="O11" i="4" s="1"/>
  <c r="C11" i="4"/>
  <c r="I11" i="4" s="1"/>
  <c r="A11" i="4"/>
  <c r="D10" i="4"/>
  <c r="O10" i="4" s="1"/>
  <c r="C10" i="4"/>
  <c r="M10" i="4" s="1"/>
  <c r="A10" i="4"/>
  <c r="J9" i="4"/>
  <c r="D9" i="4"/>
  <c r="O9" i="4" s="1"/>
  <c r="C9" i="4"/>
  <c r="A9" i="4"/>
  <c r="J8" i="4"/>
  <c r="D8" i="4"/>
  <c r="O8" i="4" s="1"/>
  <c r="C8" i="4"/>
  <c r="I8" i="4" s="1"/>
  <c r="A8" i="4"/>
  <c r="G68" i="8" l="1"/>
  <c r="G64" i="8"/>
  <c r="G60" i="8"/>
  <c r="G56" i="8"/>
  <c r="G51" i="8"/>
  <c r="G47" i="8"/>
  <c r="G43" i="8"/>
  <c r="G39" i="8"/>
  <c r="G27" i="8"/>
  <c r="G19" i="8"/>
  <c r="G70" i="8"/>
  <c r="G66" i="8"/>
  <c r="G54" i="8"/>
  <c r="G26" i="8"/>
  <c r="G22" i="8"/>
  <c r="G18" i="8"/>
  <c r="G14" i="8"/>
  <c r="L11" i="8"/>
  <c r="G69" i="8"/>
  <c r="G65" i="8"/>
  <c r="G61" i="8"/>
  <c r="G57" i="8"/>
  <c r="G53" i="8"/>
  <c r="G49" i="8"/>
  <c r="G45" i="8"/>
  <c r="G41" i="8"/>
  <c r="G37" i="8"/>
  <c r="G33" i="8"/>
  <c r="G29" i="8"/>
  <c r="G25" i="8"/>
  <c r="G21" i="8"/>
  <c r="G17" i="8"/>
  <c r="G13" i="8"/>
  <c r="K13" i="4"/>
  <c r="K17" i="4"/>
  <c r="K21" i="4"/>
  <c r="K25" i="4"/>
  <c r="K33" i="4"/>
  <c r="K37" i="4"/>
  <c r="K41" i="4"/>
  <c r="K45" i="4"/>
  <c r="K49" i="4"/>
  <c r="K57" i="4"/>
  <c r="K65" i="4"/>
  <c r="I42" i="4"/>
  <c r="I38" i="4"/>
  <c r="I34" i="4"/>
  <c r="I30" i="4"/>
  <c r="I22" i="4"/>
  <c r="I14" i="4"/>
  <c r="I10" i="4"/>
  <c r="I67" i="4"/>
  <c r="I63" i="4"/>
  <c r="I59" i="4"/>
  <c r="I51" i="4"/>
  <c r="I47" i="4"/>
  <c r="I43" i="4"/>
  <c r="I31" i="4"/>
  <c r="I27" i="4"/>
  <c r="I23" i="4"/>
  <c r="I15" i="4"/>
  <c r="G22" i="10"/>
  <c r="G32" i="10"/>
  <c r="G44" i="10"/>
  <c r="Q60" i="10"/>
  <c r="R60" i="10" s="1"/>
  <c r="K22" i="4"/>
  <c r="Q24" i="10"/>
  <c r="R24" i="10" s="1"/>
  <c r="G48" i="10"/>
  <c r="Q66" i="10"/>
  <c r="R66" i="10" s="1"/>
  <c r="M28" i="4"/>
  <c r="K31" i="4"/>
  <c r="K42" i="4"/>
  <c r="M60" i="4"/>
  <c r="K63" i="4"/>
  <c r="Q58" i="10"/>
  <c r="R58" i="10" s="1"/>
  <c r="K23" i="4"/>
  <c r="K30" i="4"/>
  <c r="K51" i="4"/>
  <c r="M13" i="4"/>
  <c r="K67" i="4"/>
  <c r="G8" i="10"/>
  <c r="Q11" i="10"/>
  <c r="R11" i="10" s="1"/>
  <c r="G14" i="10"/>
  <c r="K10" i="4"/>
  <c r="K34" i="4"/>
  <c r="M37" i="4"/>
  <c r="K54" i="4"/>
  <c r="M21" i="4"/>
  <c r="K27" i="4"/>
  <c r="K14" i="4"/>
  <c r="L12" i="8"/>
  <c r="M12" i="4"/>
  <c r="M36" i="4"/>
  <c r="K38" i="4"/>
  <c r="G7" i="10"/>
  <c r="G10" i="10"/>
  <c r="G16" i="10"/>
  <c r="G19" i="10"/>
  <c r="Q50" i="10"/>
  <c r="R50" i="10" s="1"/>
  <c r="Q34" i="10"/>
  <c r="R34" i="10" s="1"/>
  <c r="G9" i="10"/>
  <c r="Q42" i="10"/>
  <c r="R42" i="10" s="1"/>
  <c r="F60" i="10"/>
  <c r="M39" i="4"/>
  <c r="K39" i="4"/>
  <c r="M46" i="4"/>
  <c r="K46" i="4"/>
  <c r="M55" i="4"/>
  <c r="K55" i="4"/>
  <c r="K62" i="4"/>
  <c r="M18" i="4"/>
  <c r="K18" i="4"/>
  <c r="K29" i="4"/>
  <c r="M29" i="4"/>
  <c r="K52" i="4"/>
  <c r="M52" i="4"/>
  <c r="K59" i="4"/>
  <c r="K61" i="4"/>
  <c r="M61" i="4"/>
  <c r="Q44" i="10"/>
  <c r="R44" i="10" s="1"/>
  <c r="M66" i="4"/>
  <c r="K66" i="4"/>
  <c r="M26" i="4"/>
  <c r="K26" i="4"/>
  <c r="M58" i="4"/>
  <c r="K58" i="4"/>
  <c r="F36" i="10"/>
  <c r="Q36" i="10"/>
  <c r="R36" i="10" s="1"/>
  <c r="M20" i="4"/>
  <c r="M35" i="4"/>
  <c r="K35" i="4"/>
  <c r="K47" i="4"/>
  <c r="K15" i="4"/>
  <c r="M19" i="4"/>
  <c r="K19" i="4"/>
  <c r="M11" i="4"/>
  <c r="K11" i="4"/>
  <c r="M45" i="4"/>
  <c r="G36" i="10"/>
  <c r="K53" i="4"/>
  <c r="G52" i="10"/>
  <c r="Q52" i="10"/>
  <c r="R52" i="10" s="1"/>
  <c r="K8" i="4"/>
  <c r="K9" i="4"/>
  <c r="M44" i="4"/>
  <c r="L70" i="8"/>
  <c r="M50" i="4"/>
  <c r="K50" i="4"/>
  <c r="G64" i="10"/>
  <c r="Q15" i="10"/>
  <c r="R15" i="10" s="1"/>
  <c r="G18" i="10"/>
  <c r="F44" i="10"/>
  <c r="G24" i="10"/>
  <c r="G30" i="10"/>
  <c r="Q8" i="10"/>
  <c r="R8" i="10" s="1"/>
  <c r="F52" i="10"/>
  <c r="G13" i="10"/>
  <c r="Q16" i="10"/>
  <c r="R16" i="10" s="1"/>
  <c r="G56" i="10"/>
  <c r="G17" i="10"/>
  <c r="G40" i="10"/>
  <c r="Q23" i="10"/>
  <c r="R23" i="10" s="1"/>
  <c r="G26" i="10"/>
  <c r="G60" i="10"/>
  <c r="Q28" i="10"/>
  <c r="R28" i="10" s="1"/>
  <c r="G28" i="10"/>
  <c r="F38" i="10"/>
  <c r="G38" i="10"/>
  <c r="F54" i="10"/>
  <c r="G54" i="10"/>
  <c r="F46" i="10"/>
  <c r="G46" i="10"/>
  <c r="F62" i="10"/>
  <c r="G62" i="10"/>
  <c r="Q12" i="10"/>
  <c r="R12" i="10" s="1"/>
  <c r="G12" i="10"/>
  <c r="Q32" i="10"/>
  <c r="R32" i="10" s="1"/>
  <c r="Q40" i="10"/>
  <c r="R40" i="10" s="1"/>
  <c r="Q48" i="10"/>
  <c r="R48" i="10" s="1"/>
  <c r="Q56" i="10"/>
  <c r="R56" i="10" s="1"/>
  <c r="Q64" i="10"/>
  <c r="R64" i="10" s="1"/>
  <c r="F32" i="10"/>
  <c r="F34" i="10"/>
  <c r="G34" i="10"/>
  <c r="Q38" i="10"/>
  <c r="R38" i="10" s="1"/>
  <c r="F40" i="10"/>
  <c r="F42" i="10"/>
  <c r="G42" i="10"/>
  <c r="Q46" i="10"/>
  <c r="R46" i="10" s="1"/>
  <c r="F48" i="10"/>
  <c r="F50" i="10"/>
  <c r="G50" i="10"/>
  <c r="Q54" i="10"/>
  <c r="R54" i="10" s="1"/>
  <c r="F56" i="10"/>
  <c r="F58" i="10"/>
  <c r="G58" i="10"/>
  <c r="Q62" i="10"/>
  <c r="R62" i="10" s="1"/>
  <c r="F64" i="10"/>
  <c r="F66" i="10"/>
  <c r="G66" i="10"/>
  <c r="Q20" i="10"/>
  <c r="R20" i="10" s="1"/>
  <c r="G20" i="10"/>
  <c r="N67" i="10"/>
  <c r="Q9" i="10"/>
  <c r="R9" i="10" s="1"/>
  <c r="G11" i="10"/>
  <c r="Q14" i="10"/>
  <c r="R14" i="10" s="1"/>
  <c r="Q17" i="10"/>
  <c r="R17" i="10" s="1"/>
  <c r="Q22" i="10"/>
  <c r="R22" i="10" s="1"/>
  <c r="Q30" i="10"/>
  <c r="R30" i="10" s="1"/>
  <c r="Q10" i="10"/>
  <c r="R10" i="10" s="1"/>
  <c r="Q13" i="10"/>
  <c r="R13" i="10" s="1"/>
  <c r="G15" i="10"/>
  <c r="Q18" i="10"/>
  <c r="R18" i="10" s="1"/>
  <c r="G21" i="10"/>
  <c r="G23" i="10"/>
  <c r="Q26" i="10"/>
  <c r="R26" i="10" s="1"/>
  <c r="E28" i="9"/>
  <c r="F28" i="9"/>
  <c r="J28" i="9" s="1"/>
  <c r="L28" i="9" s="1"/>
  <c r="E36" i="9"/>
  <c r="F36" i="9"/>
  <c r="J36" i="9" s="1"/>
  <c r="L36" i="9" s="1"/>
  <c r="E40" i="9"/>
  <c r="F40" i="9"/>
  <c r="J40" i="9" s="1"/>
  <c r="L40" i="9" s="1"/>
  <c r="E52" i="9"/>
  <c r="F52" i="9"/>
  <c r="J52" i="9" s="1"/>
  <c r="L52" i="9" s="1"/>
  <c r="E56" i="9"/>
  <c r="F56" i="9"/>
  <c r="J56" i="9" s="1"/>
  <c r="L56" i="9" s="1"/>
  <c r="E68" i="9"/>
  <c r="F68" i="9"/>
  <c r="J68" i="9" s="1"/>
  <c r="L68" i="9" s="1"/>
  <c r="E11" i="9"/>
  <c r="F11" i="9"/>
  <c r="J11" i="9" s="1"/>
  <c r="L11" i="9" s="1"/>
  <c r="E15" i="9"/>
  <c r="F15" i="9"/>
  <c r="J15" i="9" s="1"/>
  <c r="L15" i="9" s="1"/>
  <c r="E19" i="9"/>
  <c r="F19" i="9"/>
  <c r="J19" i="9" s="1"/>
  <c r="L19" i="9" s="1"/>
  <c r="E23" i="9"/>
  <c r="F23" i="9"/>
  <c r="J23" i="9" s="1"/>
  <c r="L23" i="9" s="1"/>
  <c r="E27" i="9"/>
  <c r="F27" i="9"/>
  <c r="J27" i="9" s="1"/>
  <c r="L27" i="9" s="1"/>
  <c r="E31" i="9"/>
  <c r="F31" i="9"/>
  <c r="J31" i="9" s="1"/>
  <c r="L31" i="9" s="1"/>
  <c r="E35" i="9"/>
  <c r="F35" i="9"/>
  <c r="J35" i="9" s="1"/>
  <c r="L35" i="9" s="1"/>
  <c r="E39" i="9"/>
  <c r="F39" i="9"/>
  <c r="J39" i="9" s="1"/>
  <c r="L39" i="9" s="1"/>
  <c r="E43" i="9"/>
  <c r="F43" i="9"/>
  <c r="J43" i="9" s="1"/>
  <c r="L43" i="9" s="1"/>
  <c r="E47" i="9"/>
  <c r="F47" i="9"/>
  <c r="J47" i="9" s="1"/>
  <c r="L47" i="9" s="1"/>
  <c r="E51" i="9"/>
  <c r="F51" i="9"/>
  <c r="J51" i="9" s="1"/>
  <c r="L51" i="9" s="1"/>
  <c r="E55" i="9"/>
  <c r="F55" i="9"/>
  <c r="J55" i="9" s="1"/>
  <c r="L55" i="9" s="1"/>
  <c r="E59" i="9"/>
  <c r="F59" i="9"/>
  <c r="J59" i="9" s="1"/>
  <c r="L59" i="9" s="1"/>
  <c r="E63" i="9"/>
  <c r="F63" i="9"/>
  <c r="J63" i="9" s="1"/>
  <c r="L63" i="9" s="1"/>
  <c r="E67" i="9"/>
  <c r="F67" i="9"/>
  <c r="J67" i="9" s="1"/>
  <c r="L67" i="9" s="1"/>
  <c r="E12" i="9"/>
  <c r="F12" i="9"/>
  <c r="J12" i="9" s="1"/>
  <c r="L12" i="9" s="1"/>
  <c r="E20" i="9"/>
  <c r="F20" i="9"/>
  <c r="J20" i="9" s="1"/>
  <c r="L20" i="9" s="1"/>
  <c r="E32" i="9"/>
  <c r="F32" i="9"/>
  <c r="J32" i="9" s="1"/>
  <c r="L32" i="9" s="1"/>
  <c r="E48" i="9"/>
  <c r="F48" i="9"/>
  <c r="J48" i="9" s="1"/>
  <c r="L48" i="9" s="1"/>
  <c r="E60" i="9"/>
  <c r="F60" i="9"/>
  <c r="J60" i="9" s="1"/>
  <c r="L60" i="9" s="1"/>
  <c r="E16" i="9"/>
  <c r="F16" i="9"/>
  <c r="J16" i="9" s="1"/>
  <c r="L16" i="9" s="1"/>
  <c r="E24" i="9"/>
  <c r="F24" i="9"/>
  <c r="J24" i="9" s="1"/>
  <c r="L24" i="9" s="1"/>
  <c r="E44" i="9"/>
  <c r="F44" i="9"/>
  <c r="J44" i="9" s="1"/>
  <c r="L44" i="9" s="1"/>
  <c r="E64" i="9"/>
  <c r="F64" i="9"/>
  <c r="J64" i="9" s="1"/>
  <c r="L64" i="9" s="1"/>
  <c r="E14" i="9"/>
  <c r="F14" i="9"/>
  <c r="J14" i="9" s="1"/>
  <c r="L14" i="9" s="1"/>
  <c r="E18" i="9"/>
  <c r="F18" i="9"/>
  <c r="J18" i="9" s="1"/>
  <c r="L18" i="9" s="1"/>
  <c r="E22" i="9"/>
  <c r="F22" i="9"/>
  <c r="J22" i="9" s="1"/>
  <c r="L22" i="9" s="1"/>
  <c r="E26" i="9"/>
  <c r="F26" i="9"/>
  <c r="J26" i="9" s="1"/>
  <c r="L26" i="9" s="1"/>
  <c r="E30" i="9"/>
  <c r="F30" i="9"/>
  <c r="J30" i="9" s="1"/>
  <c r="L30" i="9" s="1"/>
  <c r="E34" i="9"/>
  <c r="F34" i="9"/>
  <c r="J34" i="9" s="1"/>
  <c r="L34" i="9" s="1"/>
  <c r="E38" i="9"/>
  <c r="F38" i="9"/>
  <c r="J38" i="9" s="1"/>
  <c r="L38" i="9" s="1"/>
  <c r="E42" i="9"/>
  <c r="F42" i="9"/>
  <c r="J42" i="9" s="1"/>
  <c r="L42" i="9" s="1"/>
  <c r="E46" i="9"/>
  <c r="F46" i="9"/>
  <c r="J46" i="9" s="1"/>
  <c r="L46" i="9" s="1"/>
  <c r="E50" i="9"/>
  <c r="F50" i="9"/>
  <c r="J50" i="9" s="1"/>
  <c r="L50" i="9" s="1"/>
  <c r="E54" i="9"/>
  <c r="F54" i="9"/>
  <c r="J54" i="9" s="1"/>
  <c r="L54" i="9" s="1"/>
  <c r="E58" i="9"/>
  <c r="F58" i="9"/>
  <c r="J58" i="9" s="1"/>
  <c r="L58" i="9" s="1"/>
  <c r="E62" i="9"/>
  <c r="F62" i="9"/>
  <c r="J62" i="9" s="1"/>
  <c r="L62" i="9" s="1"/>
  <c r="E66" i="9"/>
  <c r="F66" i="9"/>
  <c r="J66" i="9" s="1"/>
  <c r="L66" i="9" s="1"/>
  <c r="E13" i="9"/>
  <c r="F13" i="9"/>
  <c r="J13" i="9" s="1"/>
  <c r="L13" i="9" s="1"/>
  <c r="E17" i="9"/>
  <c r="F17" i="9"/>
  <c r="J17" i="9" s="1"/>
  <c r="L17" i="9" s="1"/>
  <c r="E21" i="9"/>
  <c r="F21" i="9"/>
  <c r="J21" i="9" s="1"/>
  <c r="L21" i="9" s="1"/>
  <c r="E25" i="9"/>
  <c r="F25" i="9"/>
  <c r="J25" i="9" s="1"/>
  <c r="L25" i="9" s="1"/>
  <c r="E29" i="9"/>
  <c r="F29" i="9"/>
  <c r="J29" i="9" s="1"/>
  <c r="L29" i="9" s="1"/>
  <c r="E33" i="9"/>
  <c r="F33" i="9"/>
  <c r="J33" i="9" s="1"/>
  <c r="L33" i="9" s="1"/>
  <c r="E37" i="9"/>
  <c r="F37" i="9"/>
  <c r="J37" i="9" s="1"/>
  <c r="L37" i="9" s="1"/>
  <c r="E41" i="9"/>
  <c r="F41" i="9"/>
  <c r="J41" i="9" s="1"/>
  <c r="L41" i="9" s="1"/>
  <c r="E45" i="9"/>
  <c r="F45" i="9"/>
  <c r="J45" i="9" s="1"/>
  <c r="L45" i="9" s="1"/>
  <c r="E49" i="9"/>
  <c r="F49" i="9"/>
  <c r="J49" i="9" s="1"/>
  <c r="L49" i="9" s="1"/>
  <c r="E53" i="9"/>
  <c r="F53" i="9"/>
  <c r="J53" i="9" s="1"/>
  <c r="L53" i="9" s="1"/>
  <c r="E57" i="9"/>
  <c r="F57" i="9"/>
  <c r="J57" i="9" s="1"/>
  <c r="L57" i="9" s="1"/>
  <c r="E61" i="9"/>
  <c r="F61" i="9"/>
  <c r="J61" i="9" s="1"/>
  <c r="L61" i="9" s="1"/>
  <c r="E65" i="9"/>
  <c r="F65" i="9"/>
  <c r="J65" i="9" s="1"/>
  <c r="L65" i="9" s="1"/>
  <c r="E69" i="9"/>
  <c r="F69" i="9"/>
  <c r="J69" i="9" s="1"/>
  <c r="L69" i="9" s="1"/>
  <c r="L68" i="4"/>
  <c r="H68" i="4"/>
  <c r="M8" i="4"/>
  <c r="M9" i="4"/>
  <c r="M16" i="4"/>
  <c r="M17" i="4"/>
  <c r="M24" i="4"/>
  <c r="M25" i="4"/>
  <c r="M32" i="4"/>
  <c r="M33" i="4"/>
  <c r="M40" i="4"/>
  <c r="M41" i="4"/>
  <c r="M48" i="4"/>
  <c r="M49" i="4"/>
  <c r="M56" i="4"/>
  <c r="M57" i="4"/>
  <c r="M64" i="4"/>
  <c r="M65" i="4"/>
  <c r="F10" i="9"/>
  <c r="J10" i="9" s="1"/>
  <c r="L10" i="9" s="1"/>
  <c r="E10" i="9"/>
  <c r="J67" i="10"/>
  <c r="L67" i="10"/>
  <c r="G25" i="10"/>
  <c r="Q25" i="10"/>
  <c r="R25" i="10" s="1"/>
  <c r="F25" i="10"/>
  <c r="G27" i="10"/>
  <c r="Q27" i="10"/>
  <c r="R27" i="10" s="1"/>
  <c r="F27" i="10"/>
  <c r="G29" i="10"/>
  <c r="Q29" i="10"/>
  <c r="R29" i="10" s="1"/>
  <c r="F29" i="10"/>
  <c r="G31" i="10"/>
  <c r="Q31" i="10"/>
  <c r="R31" i="10" s="1"/>
  <c r="F31" i="10"/>
  <c r="G35" i="10"/>
  <c r="Q35" i="10"/>
  <c r="R35" i="10" s="1"/>
  <c r="F35" i="10"/>
  <c r="G39" i="10"/>
  <c r="Q39" i="10"/>
  <c r="R39" i="10" s="1"/>
  <c r="F39" i="10"/>
  <c r="G43" i="10"/>
  <c r="Q43" i="10"/>
  <c r="R43" i="10" s="1"/>
  <c r="F43" i="10"/>
  <c r="G47" i="10"/>
  <c r="Q47" i="10"/>
  <c r="R47" i="10" s="1"/>
  <c r="F47" i="10"/>
  <c r="G51" i="10"/>
  <c r="Q51" i="10"/>
  <c r="R51" i="10" s="1"/>
  <c r="F51" i="10"/>
  <c r="G55" i="10"/>
  <c r="Q55" i="10"/>
  <c r="R55" i="10" s="1"/>
  <c r="F55" i="10"/>
  <c r="G59" i="10"/>
  <c r="Q59" i="10"/>
  <c r="R59" i="10" s="1"/>
  <c r="F59" i="10"/>
  <c r="G63" i="10"/>
  <c r="Q63" i="10"/>
  <c r="R63" i="10" s="1"/>
  <c r="F63" i="10"/>
  <c r="G33" i="10"/>
  <c r="Q33" i="10"/>
  <c r="R33" i="10" s="1"/>
  <c r="F33" i="10"/>
  <c r="G37" i="10"/>
  <c r="Q37" i="10"/>
  <c r="R37" i="10" s="1"/>
  <c r="F37" i="10"/>
  <c r="G41" i="10"/>
  <c r="Q41" i="10"/>
  <c r="R41" i="10" s="1"/>
  <c r="F41" i="10"/>
  <c r="G45" i="10"/>
  <c r="Q45" i="10"/>
  <c r="R45" i="10" s="1"/>
  <c r="F45" i="10"/>
  <c r="G49" i="10"/>
  <c r="Q49" i="10"/>
  <c r="R49" i="10" s="1"/>
  <c r="F49" i="10"/>
  <c r="G53" i="10"/>
  <c r="Q53" i="10"/>
  <c r="R53" i="10" s="1"/>
  <c r="F53" i="10"/>
  <c r="G57" i="10"/>
  <c r="Q57" i="10"/>
  <c r="R57" i="10" s="1"/>
  <c r="F57" i="10"/>
  <c r="G61" i="10"/>
  <c r="Q61" i="10"/>
  <c r="R61" i="10" s="1"/>
  <c r="F61" i="10"/>
  <c r="G65" i="10"/>
  <c r="Q65" i="10"/>
  <c r="R65" i="10" s="1"/>
  <c r="F65" i="10"/>
  <c r="F7" i="10"/>
  <c r="Q7" i="10"/>
  <c r="R7" i="10" s="1"/>
  <c r="F9" i="10"/>
  <c r="F11" i="10"/>
  <c r="F13" i="10"/>
  <c r="F15" i="10"/>
  <c r="F17" i="10"/>
  <c r="F19" i="10"/>
  <c r="Q19" i="10"/>
  <c r="R19" i="10" s="1"/>
  <c r="F21" i="10"/>
  <c r="Q21" i="10"/>
  <c r="R21" i="10" s="1"/>
  <c r="F23" i="10"/>
  <c r="F8" i="10"/>
  <c r="F10" i="10"/>
  <c r="F12" i="10"/>
  <c r="F14" i="10"/>
  <c r="F16" i="10"/>
  <c r="F18" i="10"/>
  <c r="F20" i="10"/>
  <c r="F22" i="10"/>
  <c r="F24" i="10"/>
  <c r="F26" i="10"/>
  <c r="F28" i="10"/>
  <c r="F30" i="10"/>
  <c r="O70" i="9" l="1"/>
  <c r="G73" i="9" s="1"/>
  <c r="R67" i="10"/>
  <c r="Q67" i="10"/>
  <c r="I70" i="9" l="1"/>
  <c r="G71" i="9" s="1"/>
  <c r="R70" i="9"/>
  <c r="G74" i="9" s="1"/>
  <c r="L70" i="9"/>
  <c r="G72" i="9" s="1"/>
</calcChain>
</file>

<file path=xl/sharedStrings.xml><?xml version="1.0" encoding="utf-8"?>
<sst xmlns="http://schemas.openxmlformats.org/spreadsheetml/2006/main" count="679" uniqueCount="198">
  <si>
    <t>차열재</t>
  </si>
  <si>
    <t>No</t>
  </si>
  <si>
    <t>비고</t>
  </si>
  <si>
    <t>합계</t>
  </si>
  <si>
    <t>규격</t>
  </si>
  <si>
    <t>TTL</t>
  </si>
  <si>
    <t>EZ F.B POSMAC Duct-VAG-1.69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</si>
  <si>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</si>
  <si>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</si>
  <si>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</si>
  <si>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</si>
  <si>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</si>
  <si>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</si>
  <si>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</si>
  <si>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특이사항 및
   조치사항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</si>
  <si>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</si>
  <si>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</si>
  <si>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</si>
  <si>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</si>
  <si>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</si>
  <si>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</si>
  <si>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</si>
  <si>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</si>
  <si>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</si>
  <si>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</si>
  <si>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</si>
  <si>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</si>
  <si>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</si>
  <si>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</si>
  <si>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</si>
  <si>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</si>
  <si>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</si>
  <si>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E272</t>
  </si>
  <si>
    <t>소켓외부용</t>
  </si>
  <si>
    <t>50*
400</t>
  </si>
  <si>
    <t>제품
번호</t>
  </si>
  <si>
    <t>50*
600</t>
  </si>
  <si>
    <t>재고여부</t>
  </si>
  <si>
    <t>방화
소켓</t>
  </si>
  <si>
    <t>분할구조</t>
  </si>
  <si>
    <t>FS-MP25-0910-01</t>
  </si>
  <si>
    <t>차열재생산일지(출하용)</t>
  </si>
  <si>
    <t>특이사항 및   조치사항</t>
  </si>
  <si>
    <t>4T*190</t>
  </si>
  <si>
    <t>재단규격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</si>
  <si>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</si>
  <si>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</si>
  <si>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</si>
  <si>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</si>
  <si>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</si>
  <si>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</si>
  <si>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</si>
  <si>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</si>
  <si>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</si>
  <si>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</si>
  <si>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</si>
  <si>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</si>
  <si>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</si>
  <si>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</si>
  <si>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</si>
  <si>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</si>
  <si>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</si>
  <si>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결합철판
(60폭)</t>
  </si>
  <si>
    <t>VAG-1.69</t>
  </si>
  <si>
    <t>상,하</t>
  </si>
  <si>
    <t>받침대</t>
  </si>
  <si>
    <t>현장명</t>
    <phoneticPr fontId="26" type="noConversion"/>
  </si>
  <si>
    <t>재단 작업지시서
(VAG)</t>
    <phoneticPr fontId="26" type="noConversion"/>
  </si>
  <si>
    <t>라벨소요량</t>
    <phoneticPr fontId="26" type="noConversion"/>
  </si>
  <si>
    <t>절 곡 생 산 일 지(VAG_브라켓)</t>
    <phoneticPr fontId="26" type="noConversion"/>
  </si>
  <si>
    <t>현장</t>
    <phoneticPr fontId="26" type="noConversion"/>
  </si>
  <si>
    <t>25*
200</t>
    <phoneticPr fontId="26" type="noConversion"/>
  </si>
  <si>
    <t>구조체작업지시서</t>
    <phoneticPr fontId="26" type="noConversion"/>
  </si>
  <si>
    <t>차열재 25T*200*7.4M</t>
    <phoneticPr fontId="26" type="noConversion"/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</si>
  <si>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</si>
  <si>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</si>
  <si>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</si>
  <si>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</si>
  <si>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</si>
  <si>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</si>
  <si>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</si>
  <si>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</si>
  <si>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</si>
  <si>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</si>
  <si>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</si>
  <si>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</si>
  <si>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</si>
  <si>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</si>
  <si>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</si>
  <si>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</si>
  <si>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</si>
  <si>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</si>
  <si>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</si>
  <si>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</si>
  <si>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</si>
  <si>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</si>
  <si>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</si>
  <si>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</si>
  <si>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</si>
  <si>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</si>
  <si>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</si>
  <si>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</si>
  <si>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</si>
  <si>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</si>
  <si>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</si>
  <si>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</si>
  <si>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</si>
  <si>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</si>
  <si>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</si>
  <si>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</si>
  <si>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</si>
  <si>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</si>
  <si>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</si>
  <si>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</si>
  <si>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</si>
  <si>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</si>
  <si>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</si>
  <si>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</si>
  <si>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</si>
  <si>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</si>
  <si>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</si>
  <si>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</si>
  <si>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</si>
  <si>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</si>
  <si>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</si>
  <si>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</si>
  <si>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</si>
  <si>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</si>
  <si>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</si>
  <si>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</si>
  <si>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</si>
  <si>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01</t>
    <phoneticPr fontId="26" type="noConversion"/>
  </si>
  <si>
    <t>02</t>
    <phoneticPr fontId="26" type="noConversion"/>
  </si>
  <si>
    <t>03</t>
    <phoneticPr fontId="26" type="noConversion"/>
  </si>
  <si>
    <t>CK015</t>
    <phoneticPr fontId="26" type="noConversion"/>
  </si>
  <si>
    <t>CK016</t>
  </si>
  <si>
    <t>CK017</t>
  </si>
  <si>
    <t>CK018</t>
  </si>
  <si>
    <t>CK019</t>
  </si>
  <si>
    <t>CK020</t>
  </si>
  <si>
    <t>CK021</t>
  </si>
  <si>
    <t>CK022</t>
  </si>
  <si>
    <t>CK023</t>
  </si>
  <si>
    <t>CK024</t>
  </si>
  <si>
    <t>CK025</t>
  </si>
  <si>
    <t>CK026</t>
  </si>
  <si>
    <t>CK027</t>
  </si>
  <si>
    <t>CK028</t>
  </si>
  <si>
    <t>CK029</t>
  </si>
  <si>
    <t>CK030</t>
  </si>
  <si>
    <t>CK031</t>
  </si>
  <si>
    <t>CK032</t>
  </si>
  <si>
    <t>CK033</t>
  </si>
  <si>
    <t>CK034</t>
  </si>
  <si>
    <t>CK035</t>
  </si>
  <si>
    <t>CK036</t>
  </si>
  <si>
    <t>CK037</t>
  </si>
  <si>
    <t>CK038</t>
  </si>
  <si>
    <t>CK039</t>
  </si>
  <si>
    <t>CK040</t>
  </si>
  <si>
    <t>CK041</t>
  </si>
  <si>
    <t>CK042</t>
  </si>
  <si>
    <t>CK043</t>
  </si>
  <si>
    <t>CK044</t>
  </si>
  <si>
    <t>CK045</t>
  </si>
  <si>
    <t>CK046</t>
  </si>
  <si>
    <t>CK047</t>
  </si>
  <si>
    <t>CK048</t>
  </si>
  <si>
    <t>CK049</t>
  </si>
  <si>
    <t>CK050</t>
  </si>
  <si>
    <t>CK051</t>
  </si>
  <si>
    <t>CK052</t>
  </si>
  <si>
    <t>CK053</t>
  </si>
  <si>
    <t>CK054</t>
  </si>
  <si>
    <t>CK055</t>
  </si>
  <si>
    <t>CK056</t>
  </si>
  <si>
    <t>CK057</t>
  </si>
  <si>
    <t>CK058</t>
  </si>
  <si>
    <t>CK059</t>
  </si>
  <si>
    <t>CK060</t>
  </si>
  <si>
    <t>CK061</t>
  </si>
  <si>
    <t>CK062</t>
  </si>
  <si>
    <t>CK063</t>
  </si>
  <si>
    <t>CK064</t>
  </si>
  <si>
    <t>CK065</t>
  </si>
  <si>
    <t>CK066</t>
  </si>
  <si>
    <t>CK067</t>
  </si>
  <si>
    <t>CK068</t>
  </si>
  <si>
    <t>CK069</t>
  </si>
  <si>
    <t>CK070</t>
  </si>
  <si>
    <t>CK071</t>
  </si>
  <si>
    <t>CK072</t>
  </si>
  <si>
    <t>CK073</t>
  </si>
  <si>
    <t>CK074</t>
  </si>
  <si>
    <t xml:space="preserve">받침대 </t>
    <phoneticPr fontId="26" type="noConversion"/>
  </si>
  <si>
    <t>받침대</t>
    <phoneticPr fontId="26" type="noConversion"/>
  </si>
  <si>
    <r>
      <t xml:space="preserve">26.06.16 </t>
    </r>
    <r>
      <rPr>
        <sz val="10"/>
        <color rgb="FF000000"/>
        <rFont val="맑은 고딕"/>
        <family val="3"/>
        <charset val="129"/>
      </rPr>
      <t>웰스홈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우리이앤씨</t>
    </r>
    <r>
      <rPr>
        <sz val="10"/>
        <color rgb="FF000000"/>
        <rFont val="Arial"/>
        <family val="2"/>
      </rPr>
      <t>_LT</t>
    </r>
    <r>
      <rPr>
        <sz val="10"/>
        <color rgb="FF000000"/>
        <rFont val="맑은 고딕"/>
        <family val="3"/>
        <charset val="129"/>
      </rPr>
      <t>삼보</t>
    </r>
    <r>
      <rPr>
        <sz val="10"/>
        <color rgb="FF000000"/>
        <rFont val="Arial"/>
        <family val="2"/>
      </rPr>
      <t>_LX</t>
    </r>
    <r>
      <rPr>
        <sz val="10"/>
        <color rgb="FF000000"/>
        <rFont val="맑은 고딕"/>
        <family val="3"/>
        <charset val="129"/>
      </rPr>
      <t>판토스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신항에코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물류센터</t>
    </r>
    <phoneticPr fontId="26" type="noConversion"/>
  </si>
  <si>
    <t xml:space="preserve"> - 652.8m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</si>
</sst>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1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sz val="11"/>
      <color rgb="FFC0000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6"/>
      <color rgb="FF000000"/>
      <name val="Helvetica Neue"/>
    </font>
    <font>
      <b/>
      <sz val="6"/>
      <color rgb="FF000000"/>
      <name val="맑은 고딕"/>
      <family val="3"/>
      <charset val="129"/>
    </font>
    <font>
      <sz val="11"/>
      <color rgb="FFED7D31"/>
      <name val="맑은 고딕"/>
      <family val="3"/>
      <charset val="129"/>
    </font>
    <font>
      <b/>
      <sz val="10"/>
      <color rgb="FF548235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sz val="9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A5A5A5"/>
      </left>
      <right style="thin">
        <color rgb="FFA5A5A5"/>
      </right>
      <top/>
      <bottom style="hair">
        <color rgb="FF000000"/>
      </bottom>
      <diagonal/>
    </border>
    <border>
      <left style="thin">
        <color rgb="FFA5A5A5"/>
      </left>
      <right style="thin">
        <color rgb="FFA5A5A5"/>
      </right>
      <top style="hair">
        <color rgb="FF000000"/>
      </top>
      <bottom style="hair">
        <color rgb="FF000000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1" fillId="0" borderId="0">
      <alignment vertical="center"/>
    </xf>
  </cellStyleXfs>
  <cellXfs count="24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1">
      <alignment vertical="center"/>
    </xf>
    <xf numFmtId="0" fontId="25" fillId="0" borderId="1" xfId="1" applyBorder="1">
      <alignment vertical="center"/>
    </xf>
    <xf numFmtId="0" fontId="1" fillId="0" borderId="0" xfId="3" applyAlignment="1">
      <alignment vertical="top" wrapText="1"/>
    </xf>
    <xf numFmtId="0" fontId="1" fillId="0" borderId="0" xfId="3">
      <alignment vertical="center"/>
    </xf>
    <xf numFmtId="0" fontId="2" fillId="2" borderId="0" xfId="3" applyFont="1" applyFill="1" applyAlignment="1">
      <alignment vertical="center" wrapText="1"/>
    </xf>
    <xf numFmtId="0" fontId="1" fillId="0" borderId="0" xfId="3" applyAlignment="1">
      <alignment vertical="center" wrapText="1"/>
    </xf>
    <xf numFmtId="0" fontId="2" fillId="2" borderId="0" xfId="3" applyFont="1" applyFill="1" applyAlignment="1">
      <alignment horizontal="center" vertical="center" wrapText="1"/>
    </xf>
    <xf numFmtId="0" fontId="3" fillId="0" borderId="0" xfId="3" applyFont="1" applyAlignment="1">
      <alignment horizontal="left" vertical="center"/>
    </xf>
    <xf numFmtId="0" fontId="2" fillId="0" borderId="0" xfId="3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0" xfId="0" applyFont="1">
      <alignment vertical="center"/>
    </xf>
    <xf numFmtId="0" fontId="4" fillId="3" borderId="5" xfId="1" applyFont="1" applyFill="1" applyBorder="1" applyAlignment="1">
      <alignment horizontal="center" vertical="center" wrapText="1"/>
    </xf>
    <xf numFmtId="176" fontId="25" fillId="0" borderId="5" xfId="2" applyBorder="1" applyAlignment="1">
      <alignment horizontal="center" vertical="center"/>
    </xf>
    <xf numFmtId="176" fontId="25" fillId="0" borderId="6" xfId="2" applyBorder="1" applyAlignment="1">
      <alignment horizontal="center" vertical="center"/>
    </xf>
    <xf numFmtId="176" fontId="25" fillId="0" borderId="7" xfId="2" applyBorder="1" applyAlignment="1">
      <alignment horizontal="center" vertical="center"/>
    </xf>
    <xf numFmtId="176" fontId="25" fillId="0" borderId="8" xfId="2" applyBorder="1" applyAlignment="1">
      <alignment horizontal="center" vertical="center"/>
    </xf>
    <xf numFmtId="0" fontId="6" fillId="0" borderId="9" xfId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25" fillId="0" borderId="15" xfId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5" fillId="0" borderId="16" xfId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3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4" borderId="15" xfId="0" applyFont="1" applyFill="1" applyBorder="1" applyAlignment="1">
      <alignment horizontal="center" vertical="center" wrapText="1"/>
    </xf>
    <xf numFmtId="0" fontId="10" fillId="4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5" fillId="0" borderId="12" xfId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14" fillId="0" borderId="12" xfId="1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25" fillId="0" borderId="17" xfId="1" applyBorder="1">
      <alignment vertical="center"/>
    </xf>
    <xf numFmtId="0" fontId="5" fillId="0" borderId="17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 wrapText="1"/>
    </xf>
    <xf numFmtId="0" fontId="25" fillId="0" borderId="13" xfId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  <xf numFmtId="0" fontId="25" fillId="0" borderId="15" xfId="1" applyBorder="1" applyAlignment="1">
      <alignment vertical="center" wrapText="1"/>
    </xf>
    <xf numFmtId="0" fontId="16" fillId="0" borderId="15" xfId="3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24" xfId="3" applyFont="1" applyFill="1" applyBorder="1" applyAlignment="1">
      <alignment horizontal="center" vertical="center" wrapText="1"/>
    </xf>
    <xf numFmtId="0" fontId="25" fillId="0" borderId="4" xfId="1" applyBorder="1">
      <alignment vertical="center"/>
    </xf>
    <xf numFmtId="0" fontId="19" fillId="0" borderId="9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2" fillId="5" borderId="15" xfId="3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 shrinkToFit="1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4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1" fillId="8" borderId="0" xfId="3" applyFill="1">
      <alignment vertical="center"/>
    </xf>
    <xf numFmtId="0" fontId="1" fillId="0" borderId="34" xfId="3" applyBorder="1" applyAlignment="1">
      <alignment vertical="top" wrapText="1"/>
    </xf>
    <xf numFmtId="0" fontId="2" fillId="0" borderId="15" xfId="3" applyFont="1" applyBorder="1" applyAlignment="1">
      <alignment horizontal="center" vertical="center" wrapText="1"/>
    </xf>
    <xf numFmtId="0" fontId="2" fillId="0" borderId="16" xfId="3" applyFont="1" applyBorder="1" applyAlignment="1">
      <alignment horizontal="center" vertical="center" wrapText="1"/>
    </xf>
    <xf numFmtId="0" fontId="3" fillId="0" borderId="29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3" quotePrefix="1" applyBorder="1" applyAlignment="1">
      <alignment horizontal="center" vertical="center" wrapText="1"/>
    </xf>
    <xf numFmtId="177" fontId="6" fillId="4" borderId="15" xfId="0" applyNumberFormat="1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 shrinkToFit="1"/>
    </xf>
    <xf numFmtId="0" fontId="22" fillId="0" borderId="3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22" fillId="0" borderId="2" xfId="0" applyFont="1" applyBorder="1" applyAlignment="1">
      <alignment horizontal="center" vertical="center" shrinkToFit="1"/>
    </xf>
    <xf numFmtId="0" fontId="22" fillId="0" borderId="28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2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28" xfId="1" applyFont="1" applyFill="1" applyBorder="1" applyAlignment="1">
      <alignment horizontal="center" vertical="center" wrapText="1"/>
    </xf>
    <xf numFmtId="178" fontId="14" fillId="0" borderId="12" xfId="1" applyNumberFormat="1" applyFont="1" applyBorder="1" applyAlignment="1">
      <alignment horizontal="center" vertical="center" wrapText="1"/>
    </xf>
    <xf numFmtId="178" fontId="14" fillId="0" borderId="15" xfId="1" applyNumberFormat="1" applyFont="1" applyBorder="1" applyAlignment="1">
      <alignment horizontal="center" vertical="center" wrapText="1"/>
    </xf>
    <xf numFmtId="0" fontId="25" fillId="0" borderId="21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8" fontId="25" fillId="0" borderId="40" xfId="1" applyNumberFormat="1" applyBorder="1" applyAlignment="1">
      <alignment horizontal="center" vertical="center"/>
    </xf>
    <xf numFmtId="0" fontId="25" fillId="0" borderId="41" xfId="1" applyBorder="1" applyAlignment="1">
      <alignment horizontal="center" vertical="center"/>
    </xf>
    <xf numFmtId="0" fontId="25" fillId="0" borderId="42" xfId="1" applyBorder="1" applyAlignment="1">
      <alignment horizontal="center" vertical="center"/>
    </xf>
    <xf numFmtId="0" fontId="27" fillId="0" borderId="34" xfId="3" applyFont="1" applyBorder="1" applyAlignment="1">
      <alignment horizontal="center" vertical="center" wrapText="1"/>
    </xf>
    <xf numFmtId="0" fontId="27" fillId="0" borderId="36" xfId="3" applyFont="1" applyBorder="1" applyAlignment="1">
      <alignment horizontal="center" vertical="center" wrapText="1"/>
    </xf>
    <xf numFmtId="0" fontId="27" fillId="0" borderId="0" xfId="3" applyFont="1" applyAlignment="1">
      <alignment horizontal="center" vertical="center" wrapText="1"/>
    </xf>
    <xf numFmtId="0" fontId="27" fillId="0" borderId="38" xfId="3" applyFont="1" applyBorder="1" applyAlignment="1">
      <alignment horizontal="center" vertical="center" wrapText="1"/>
    </xf>
    <xf numFmtId="0" fontId="27" fillId="0" borderId="33" xfId="3" applyFont="1" applyBorder="1" applyAlignment="1">
      <alignment horizontal="center" vertical="center" wrapText="1"/>
    </xf>
    <xf numFmtId="0" fontId="28" fillId="0" borderId="34" xfId="3" applyFont="1" applyBorder="1" applyAlignment="1">
      <alignment horizontal="center" vertical="center" shrinkToFit="1"/>
    </xf>
    <xf numFmtId="0" fontId="28" fillId="0" borderId="35" xfId="3" applyFont="1" applyBorder="1" applyAlignment="1">
      <alignment horizontal="center" vertical="center" shrinkToFit="1"/>
    </xf>
    <xf numFmtId="0" fontId="28" fillId="0" borderId="0" xfId="3" applyFont="1" applyAlignment="1">
      <alignment horizontal="center" vertical="center" shrinkToFit="1"/>
    </xf>
    <xf numFmtId="0" fontId="28" fillId="0" borderId="37" xfId="3" applyFont="1" applyBorder="1" applyAlignment="1">
      <alignment horizontal="center" vertical="center" shrinkToFit="1"/>
    </xf>
    <xf numFmtId="0" fontId="28" fillId="0" borderId="33" xfId="3" applyFont="1" applyBorder="1" applyAlignment="1">
      <alignment horizontal="center" vertical="center" shrinkToFit="1"/>
    </xf>
    <xf numFmtId="0" fontId="28" fillId="0" borderId="39" xfId="3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6" borderId="14" xfId="3" applyFill="1" applyBorder="1" applyAlignment="1">
      <alignment horizontal="center" vertical="center" wrapText="1"/>
    </xf>
    <xf numFmtId="0" fontId="2" fillId="6" borderId="12" xfId="3" applyFont="1" applyFill="1" applyBorder="1" applyAlignment="1">
      <alignment horizontal="center" vertical="center" wrapText="1"/>
    </xf>
    <xf numFmtId="0" fontId="2" fillId="6" borderId="15" xfId="3" applyFont="1" applyFill="1" applyBorder="1" applyAlignment="1">
      <alignment horizontal="center" vertical="center" wrapText="1"/>
    </xf>
    <xf numFmtId="0" fontId="2" fillId="6" borderId="13" xfId="3" applyFont="1" applyFill="1" applyBorder="1" applyAlignment="1">
      <alignment horizontal="center" vertical="center" wrapText="1"/>
    </xf>
    <xf numFmtId="0" fontId="2" fillId="6" borderId="16" xfId="3" applyFont="1" applyFill="1" applyBorder="1" applyAlignment="1">
      <alignment horizontal="center" vertical="center" wrapText="1"/>
    </xf>
    <xf numFmtId="0" fontId="3" fillId="0" borderId="25" xfId="3" applyFont="1" applyBorder="1" applyAlignment="1">
      <alignment horizontal="left" vertical="center"/>
    </xf>
    <xf numFmtId="0" fontId="0" fillId="0" borderId="26" xfId="3" applyFont="1" applyBorder="1" applyAlignment="1">
      <alignment horizontal="center" vertical="center"/>
    </xf>
    <xf numFmtId="0" fontId="0" fillId="0" borderId="27" xfId="3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4" borderId="9" xfId="1" applyFont="1" applyFill="1" applyBorder="1" applyAlignment="1">
      <alignment horizontal="center" vertical="center" wrapText="1"/>
    </xf>
    <xf numFmtId="0" fontId="6" fillId="0" borderId="29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23" fillId="0" borderId="21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0" fontId="23" fillId="0" borderId="3" xfId="1" applyFont="1" applyBorder="1" applyAlignment="1">
      <alignment horizontal="center" vertical="center"/>
    </xf>
    <xf numFmtId="0" fontId="23" fillId="0" borderId="29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3" fillId="0" borderId="30" xfId="1" applyFont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3" fillId="0" borderId="2" xfId="1" applyFont="1" applyBorder="1" applyAlignment="1">
      <alignment horizontal="center" vertical="center"/>
    </xf>
    <xf numFmtId="0" fontId="23" fillId="0" borderId="28" xfId="1" applyFont="1" applyBorder="1" applyAlignment="1">
      <alignment horizontal="center" vertical="center"/>
    </xf>
    <xf numFmtId="0" fontId="25" fillId="0" borderId="21" xfId="1" applyBorder="1" applyAlignment="1">
      <alignment horizontal="center" vertical="center"/>
    </xf>
    <xf numFmtId="0" fontId="25" fillId="0" borderId="3" xfId="1" applyBorder="1" applyAlignment="1">
      <alignment horizontal="center" vertical="center"/>
    </xf>
    <xf numFmtId="0" fontId="25" fillId="0" borderId="22" xfId="1" applyBorder="1" applyAlignment="1">
      <alignment horizontal="center" vertical="center"/>
    </xf>
    <xf numFmtId="0" fontId="25" fillId="0" borderId="2" xfId="1" applyBorder="1" applyAlignment="1">
      <alignment horizontal="center" vertical="center"/>
    </xf>
    <xf numFmtId="0" fontId="25" fillId="0" borderId="28" xfId="1" applyBorder="1" applyAlignment="1">
      <alignment horizontal="center" vertical="center"/>
    </xf>
    <xf numFmtId="0" fontId="25" fillId="0" borderId="1" xfId="1" applyBorder="1" applyAlignment="1">
      <alignment horizontal="center" vertical="center" shrinkToFit="1"/>
    </xf>
    <xf numFmtId="178" fontId="5" fillId="0" borderId="15" xfId="1" applyNumberFormat="1" applyFont="1" applyBorder="1" applyAlignment="1">
      <alignment horizontal="center" vertical="center" wrapText="1"/>
    </xf>
    <xf numFmtId="0" fontId="25" fillId="0" borderId="9" xfId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6" fillId="0" borderId="26" xfId="1" applyFont="1" applyBorder="1" applyAlignment="1">
      <alignment horizontal="center" vertical="center" wrapText="1"/>
    </xf>
    <xf numFmtId="0" fontId="6" fillId="0" borderId="27" xfId="1" applyFont="1" applyBorder="1" applyAlignment="1">
      <alignment horizontal="center" vertical="center" wrapText="1"/>
    </xf>
    <xf numFmtId="0" fontId="6" fillId="4" borderId="10" xfId="1" applyFont="1" applyFill="1" applyBorder="1" applyAlignment="1">
      <alignment horizontal="center" vertical="center" wrapText="1"/>
    </xf>
    <xf numFmtId="0" fontId="6" fillId="4" borderId="5" xfId="1" applyFont="1" applyFill="1" applyBorder="1" applyAlignment="1">
      <alignment horizontal="center" vertical="center" wrapText="1"/>
    </xf>
    <xf numFmtId="0" fontId="6" fillId="0" borderId="21" xfId="1" applyFont="1" applyBorder="1" applyAlignment="1">
      <alignment horizontal="center" vertical="center" wrapText="1"/>
    </xf>
    <xf numFmtId="178" fontId="5" fillId="0" borderId="12" xfId="1" applyNumberFormat="1" applyFont="1" applyBorder="1" applyAlignment="1">
      <alignment horizontal="center" vertical="center" wrapText="1"/>
    </xf>
    <xf numFmtId="0" fontId="25" fillId="0" borderId="1" xfId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2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8" xfId="0" applyFont="1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77" fontId="0" fillId="2" borderId="32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177" fontId="0" fillId="2" borderId="27" xfId="0" applyNumberForma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30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20" fillId="0" borderId="1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5" xfId="0" applyFont="1" applyFill="1" applyBorder="1" applyAlignment="1">
      <alignment horizontal="center" vertical="center" wrapText="1"/>
    </xf>
  </cellXfs>
  <cellStyles count="4">
    <cellStyle name="쉼표 [0] 2 2" xfId="2" xr:uid="{00000000-0005-0000-0000-000002000000}"/>
    <cellStyle name="표준" xfId="0" builtinId="0"/>
    <cellStyle name="표준 2" xfId="1" xr:uid="{00000000-0005-0000-0000-000001000000}"/>
    <cellStyle name="표준 3" xfId="3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476250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104775</xdr:colOff>
      <xdr:row>2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323975" cy="6000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68"/>
  <sheetViews>
    <sheetView view="pageBreakPreview" zoomScale="120" zoomScaleNormal="120" zoomScaleSheetLayoutView="120" workbookViewId="0">
      <pane ySplit="8" topLeftCell="A9" activePane="bottomLeft" state="frozen"/>
      <selection pane="bottomLeft" activeCell="Q9" sqref="Q9:Q68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101" t="s">
        <v>72</v>
      </c>
      <c r="B1" s="139"/>
      <c r="C1" s="139"/>
      <c r="D1" s="144" t="str">
        <f>R2</f>
        <v>26.06.16 웰스홈_우리이앤씨_LT삼보_LX판토스 신항에코 물류센터</v>
      </c>
      <c r="E1" s="144"/>
      <c r="F1" s="144"/>
      <c r="G1" s="145"/>
      <c r="R1" s="8" t="s">
        <v>66</v>
      </c>
    </row>
    <row r="2" spans="1:18" ht="16.5" customHeight="1">
      <c r="A2" s="140"/>
      <c r="B2" s="141"/>
      <c r="C2" s="141"/>
      <c r="D2" s="146"/>
      <c r="E2" s="146"/>
      <c r="F2" s="146"/>
      <c r="G2" s="147"/>
      <c r="R2" s="80" t="s">
        <v>196</v>
      </c>
    </row>
    <row r="3" spans="1:18" ht="16.5" customHeight="1">
      <c r="A3" s="140"/>
      <c r="B3" s="141"/>
      <c r="C3" s="141"/>
      <c r="D3" s="146"/>
      <c r="E3" s="146"/>
      <c r="F3" s="146"/>
      <c r="G3" s="147"/>
    </row>
    <row r="4" spans="1:18" ht="17.25" customHeight="1" thickBot="1">
      <c r="A4" s="142"/>
      <c r="B4" s="143"/>
      <c r="C4" s="143"/>
      <c r="D4" s="148"/>
      <c r="E4" s="148"/>
      <c r="F4" s="148"/>
      <c r="G4" s="149"/>
    </row>
    <row r="5" spans="1:18" ht="6.75" customHeight="1" thickTop="1">
      <c r="A5" s="81"/>
      <c r="B5" s="81"/>
      <c r="C5" s="81"/>
      <c r="D5" s="81"/>
      <c r="E5" s="81"/>
      <c r="F5" s="81"/>
      <c r="G5" s="81"/>
    </row>
    <row r="6" spans="1:18" s="10" customFormat="1" ht="18" customHeight="1" thickBot="1">
      <c r="A6" s="150" t="s">
        <v>1</v>
      </c>
      <c r="B6" s="152" t="s">
        <v>61</v>
      </c>
      <c r="C6" s="152" t="s">
        <v>4</v>
      </c>
      <c r="D6" s="152"/>
      <c r="E6" s="152" t="s">
        <v>39</v>
      </c>
      <c r="F6" s="152" t="s">
        <v>37</v>
      </c>
      <c r="G6" s="154" t="s">
        <v>16</v>
      </c>
      <c r="H6" s="9"/>
      <c r="I6" s="156" t="s">
        <v>9</v>
      </c>
      <c r="J6" s="156"/>
      <c r="K6" s="156"/>
      <c r="L6" s="156"/>
      <c r="M6" s="156"/>
      <c r="N6" s="156"/>
      <c r="O6" s="8"/>
    </row>
    <row r="7" spans="1:18" s="10" customFormat="1" ht="18" customHeight="1">
      <c r="A7" s="151"/>
      <c r="B7" s="153"/>
      <c r="C7" s="153" t="s">
        <v>58</v>
      </c>
      <c r="D7" s="153" t="s">
        <v>56</v>
      </c>
      <c r="E7" s="153"/>
      <c r="F7" s="153"/>
      <c r="G7" s="15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51"/>
      <c r="B8" s="153"/>
      <c r="C8" s="153"/>
      <c r="D8" s="153"/>
      <c r="E8" s="153"/>
      <c r="F8" s="153"/>
      <c r="G8" s="155"/>
      <c r="H8" s="11"/>
      <c r="I8" s="12"/>
      <c r="J8" s="12"/>
      <c r="K8" s="12"/>
      <c r="L8" s="12"/>
      <c r="M8" s="12"/>
      <c r="N8" s="12"/>
      <c r="O8" s="8"/>
    </row>
    <row r="9" spans="1:18" s="10" customFormat="1" ht="16.5">
      <c r="A9" s="87" t="s">
        <v>131</v>
      </c>
      <c r="B9" s="73" t="s">
        <v>63</v>
      </c>
      <c r="C9" s="23">
        <v>900</v>
      </c>
      <c r="D9" s="23">
        <v>900</v>
      </c>
      <c r="E9" s="60"/>
      <c r="F9" s="82"/>
      <c r="G9" s="83"/>
      <c r="H9" s="13"/>
      <c r="I9" s="7"/>
      <c r="J9" s="7"/>
      <c r="K9" s="19"/>
      <c r="L9" s="20"/>
      <c r="M9" s="21"/>
      <c r="N9" s="7"/>
      <c r="O9" s="8"/>
      <c r="Q9" s="10" t="s">
        <v>134</v>
      </c>
    </row>
    <row r="10" spans="1:18" s="10" customFormat="1" ht="16.5">
      <c r="A10" s="87" t="s">
        <v>132</v>
      </c>
      <c r="B10" s="73" t="s">
        <v>63</v>
      </c>
      <c r="C10" s="23">
        <v>900</v>
      </c>
      <c r="D10" s="23">
        <v>900</v>
      </c>
      <c r="E10" s="60"/>
      <c r="F10" s="82"/>
      <c r="G10" s="83"/>
      <c r="H10" s="13"/>
      <c r="I10" s="7"/>
      <c r="J10" s="7"/>
      <c r="K10" s="18"/>
      <c r="L10" s="18"/>
      <c r="M10" s="18"/>
      <c r="N10" s="7"/>
      <c r="O10" s="8"/>
      <c r="Q10" s="10" t="s">
        <v>135</v>
      </c>
    </row>
    <row r="11" spans="1:18" s="10" customFormat="1" ht="17.25" thickBot="1">
      <c r="A11" s="87" t="s">
        <v>133</v>
      </c>
      <c r="B11" s="73" t="s">
        <v>63</v>
      </c>
      <c r="C11" s="23">
        <v>900</v>
      </c>
      <c r="D11" s="23">
        <v>900</v>
      </c>
      <c r="E11" s="82"/>
      <c r="F11" s="82"/>
      <c r="G11" s="83"/>
      <c r="H11" s="13"/>
      <c r="I11" s="101"/>
      <c r="J11" s="157"/>
      <c r="K11" s="158"/>
      <c r="L11" s="8"/>
      <c r="M11" s="101"/>
      <c r="N11" s="157"/>
      <c r="O11" s="158"/>
      <c r="Q11" s="10" t="s">
        <v>136</v>
      </c>
    </row>
    <row r="12" spans="1:18" s="10" customFormat="1" ht="16.5">
      <c r="A12" s="87" t="s">
        <v>74</v>
      </c>
      <c r="B12" s="73" t="s">
        <v>63</v>
      </c>
      <c r="C12" s="23">
        <v>900</v>
      </c>
      <c r="D12" s="23">
        <v>900</v>
      </c>
      <c r="E12" s="60"/>
      <c r="F12" s="82"/>
      <c r="G12" s="83"/>
      <c r="H12" s="13"/>
      <c r="I12" s="7"/>
      <c r="J12" s="7"/>
      <c r="K12" s="19"/>
      <c r="L12" s="20"/>
      <c r="M12" s="21"/>
      <c r="N12" s="7"/>
      <c r="O12" s="8"/>
      <c r="Q12" s="10" t="s">
        <v>137</v>
      </c>
    </row>
    <row r="13" spans="1:18" s="10" customFormat="1" ht="16.5">
      <c r="A13" s="87" t="s">
        <v>75</v>
      </c>
      <c r="B13" s="73" t="s">
        <v>63</v>
      </c>
      <c r="C13" s="23">
        <v>900</v>
      </c>
      <c r="D13" s="23">
        <v>900</v>
      </c>
      <c r="E13" s="60"/>
      <c r="F13" s="82"/>
      <c r="G13" s="83"/>
      <c r="H13" s="13"/>
      <c r="I13" s="7"/>
      <c r="J13" s="7"/>
      <c r="K13" s="18"/>
      <c r="L13" s="18"/>
      <c r="M13" s="18"/>
      <c r="N13" s="7"/>
      <c r="O13" s="8"/>
      <c r="Q13" s="10" t="s">
        <v>138</v>
      </c>
    </row>
    <row r="14" spans="1:18" s="10" customFormat="1" ht="17.25" thickBot="1">
      <c r="A14" s="87" t="s">
        <v>76</v>
      </c>
      <c r="B14" s="73" t="s">
        <v>63</v>
      </c>
      <c r="C14" s="23">
        <v>900</v>
      </c>
      <c r="D14" s="23">
        <v>900</v>
      </c>
      <c r="E14" s="82"/>
      <c r="F14" s="82"/>
      <c r="G14" s="83"/>
      <c r="H14" s="13"/>
      <c r="I14" s="101"/>
      <c r="J14" s="157"/>
      <c r="K14" s="158"/>
      <c r="L14" s="8"/>
      <c r="M14" s="101"/>
      <c r="N14" s="157"/>
      <c r="O14" s="158"/>
      <c r="Q14" s="10" t="s">
        <v>139</v>
      </c>
    </row>
    <row r="15" spans="1:18" s="10" customFormat="1" ht="16.5">
      <c r="A15" s="87" t="s">
        <v>77</v>
      </c>
      <c r="B15" s="73" t="s">
        <v>63</v>
      </c>
      <c r="C15" s="23">
        <v>900</v>
      </c>
      <c r="D15" s="23">
        <v>900</v>
      </c>
      <c r="E15" s="60"/>
      <c r="F15" s="82"/>
      <c r="G15" s="83"/>
      <c r="H15" s="13"/>
      <c r="I15" s="7"/>
      <c r="J15" s="7"/>
      <c r="K15" s="19"/>
      <c r="L15" s="20"/>
      <c r="M15" s="21"/>
      <c r="N15" s="7"/>
      <c r="O15" s="8"/>
      <c r="Q15" s="10" t="s">
        <v>140</v>
      </c>
    </row>
    <row r="16" spans="1:18" s="10" customFormat="1" ht="16.5">
      <c r="A16" s="87" t="s">
        <v>78</v>
      </c>
      <c r="B16" s="73" t="s">
        <v>63</v>
      </c>
      <c r="C16" s="23">
        <v>900</v>
      </c>
      <c r="D16" s="23">
        <v>900</v>
      </c>
      <c r="E16" s="60"/>
      <c r="F16" s="82"/>
      <c r="G16" s="83"/>
      <c r="H16" s="13"/>
      <c r="I16" s="7"/>
      <c r="J16" s="7"/>
      <c r="K16" s="18"/>
      <c r="L16" s="18"/>
      <c r="M16" s="18"/>
      <c r="N16" s="7"/>
      <c r="O16" s="8"/>
      <c r="Q16" s="10" t="s">
        <v>141</v>
      </c>
    </row>
    <row r="17" spans="1:17" s="10" customFormat="1" ht="17.25" thickBot="1">
      <c r="A17" s="87" t="s">
        <v>79</v>
      </c>
      <c r="B17" s="73" t="s">
        <v>63</v>
      </c>
      <c r="C17" s="23">
        <v>900</v>
      </c>
      <c r="D17" s="23">
        <v>900</v>
      </c>
      <c r="E17" s="82"/>
      <c r="F17" s="82"/>
      <c r="G17" s="83"/>
      <c r="H17" s="13"/>
      <c r="I17" s="101"/>
      <c r="J17" s="157"/>
      <c r="K17" s="158"/>
      <c r="L17" s="8"/>
      <c r="M17" s="101"/>
      <c r="N17" s="157"/>
      <c r="O17" s="158"/>
      <c r="Q17" s="10" t="s">
        <v>142</v>
      </c>
    </row>
    <row r="18" spans="1:17" s="10" customFormat="1" ht="16.5">
      <c r="A18" s="87" t="s">
        <v>80</v>
      </c>
      <c r="B18" s="73" t="s">
        <v>63</v>
      </c>
      <c r="C18" s="23">
        <v>900</v>
      </c>
      <c r="D18" s="23">
        <v>900</v>
      </c>
      <c r="E18" s="60"/>
      <c r="F18" s="82"/>
      <c r="G18" s="83"/>
      <c r="H18" s="13"/>
      <c r="I18" s="7"/>
      <c r="J18" s="7"/>
      <c r="K18" s="19"/>
      <c r="L18" s="20"/>
      <c r="M18" s="21"/>
      <c r="N18" s="7"/>
      <c r="O18" s="8"/>
      <c r="Q18" s="10" t="s">
        <v>143</v>
      </c>
    </row>
    <row r="19" spans="1:17" s="10" customFormat="1" ht="16.5">
      <c r="A19" s="87" t="s">
        <v>81</v>
      </c>
      <c r="B19" s="73" t="s">
        <v>63</v>
      </c>
      <c r="C19" s="23">
        <v>900</v>
      </c>
      <c r="D19" s="23">
        <v>900</v>
      </c>
      <c r="E19" s="60"/>
      <c r="F19" s="82"/>
      <c r="G19" s="83"/>
      <c r="H19" s="13"/>
      <c r="I19" s="7"/>
      <c r="J19" s="7"/>
      <c r="K19" s="18"/>
      <c r="L19" s="18"/>
      <c r="M19" s="18"/>
      <c r="N19" s="7"/>
      <c r="O19" s="8"/>
      <c r="Q19" s="10" t="s">
        <v>144</v>
      </c>
    </row>
    <row r="20" spans="1:17" s="10" customFormat="1" ht="17.25" thickBot="1">
      <c r="A20" s="87" t="s">
        <v>82</v>
      </c>
      <c r="B20" s="73" t="s">
        <v>63</v>
      </c>
      <c r="C20" s="23">
        <v>900</v>
      </c>
      <c r="D20" s="23">
        <v>900</v>
      </c>
      <c r="E20" s="82"/>
      <c r="F20" s="82"/>
      <c r="G20" s="83"/>
      <c r="H20" s="13"/>
      <c r="I20" s="101"/>
      <c r="J20" s="157"/>
      <c r="K20" s="158"/>
      <c r="L20" s="8"/>
      <c r="M20" s="101"/>
      <c r="N20" s="157"/>
      <c r="O20" s="158"/>
      <c r="Q20" s="10" t="s">
        <v>145</v>
      </c>
    </row>
    <row r="21" spans="1:17" s="10" customFormat="1" ht="16.5">
      <c r="A21" s="87" t="s">
        <v>83</v>
      </c>
      <c r="B21" s="73" t="s">
        <v>63</v>
      </c>
      <c r="C21" s="23">
        <v>900</v>
      </c>
      <c r="D21" s="23">
        <v>900</v>
      </c>
      <c r="E21" s="60"/>
      <c r="F21" s="82"/>
      <c r="G21" s="83"/>
      <c r="H21" s="13"/>
      <c r="I21" s="7"/>
      <c r="J21" s="7"/>
      <c r="K21" s="19"/>
      <c r="L21" s="20"/>
      <c r="M21" s="21"/>
      <c r="N21" s="7"/>
      <c r="O21" s="8"/>
      <c r="Q21" s="10" t="s">
        <v>146</v>
      </c>
    </row>
    <row r="22" spans="1:17" s="10" customFormat="1" ht="16.5">
      <c r="A22" s="87" t="s">
        <v>84</v>
      </c>
      <c r="B22" s="73" t="s">
        <v>63</v>
      </c>
      <c r="C22" s="23">
        <v>900</v>
      </c>
      <c r="D22" s="23">
        <v>900</v>
      </c>
      <c r="E22" s="60"/>
      <c r="F22" s="82"/>
      <c r="G22" s="83"/>
      <c r="H22" s="13"/>
      <c r="I22" s="7"/>
      <c r="J22" s="7"/>
      <c r="K22" s="18"/>
      <c r="L22" s="18"/>
      <c r="M22" s="18"/>
      <c r="N22" s="7"/>
      <c r="O22" s="8"/>
      <c r="Q22" s="10" t="s">
        <v>147</v>
      </c>
    </row>
    <row r="23" spans="1:17" s="10" customFormat="1" ht="17.25" thickBot="1">
      <c r="A23" s="87" t="s">
        <v>85</v>
      </c>
      <c r="B23" s="73" t="s">
        <v>63</v>
      </c>
      <c r="C23" s="23">
        <v>900</v>
      </c>
      <c r="D23" s="23">
        <v>900</v>
      </c>
      <c r="E23" s="82"/>
      <c r="F23" s="82"/>
      <c r="G23" s="83"/>
      <c r="H23" s="13"/>
      <c r="I23" s="101"/>
      <c r="J23" s="157"/>
      <c r="K23" s="158"/>
      <c r="L23" s="8"/>
      <c r="M23" s="101"/>
      <c r="N23" s="157"/>
      <c r="O23" s="158"/>
      <c r="Q23" s="10" t="s">
        <v>148</v>
      </c>
    </row>
    <row r="24" spans="1:17" s="10" customFormat="1" ht="16.5">
      <c r="A24" s="87" t="s">
        <v>86</v>
      </c>
      <c r="B24" s="73" t="s">
        <v>63</v>
      </c>
      <c r="C24" s="23">
        <v>900</v>
      </c>
      <c r="D24" s="23">
        <v>900</v>
      </c>
      <c r="E24" s="60"/>
      <c r="F24" s="82"/>
      <c r="G24" s="83"/>
      <c r="H24" s="13"/>
      <c r="I24" s="7"/>
      <c r="J24" s="7"/>
      <c r="K24" s="19"/>
      <c r="L24" s="20"/>
      <c r="M24" s="21"/>
      <c r="N24" s="7"/>
      <c r="O24" s="8"/>
      <c r="Q24" s="10" t="s">
        <v>149</v>
      </c>
    </row>
    <row r="25" spans="1:17" s="10" customFormat="1" ht="16.5">
      <c r="A25" s="87" t="s">
        <v>87</v>
      </c>
      <c r="B25" s="73" t="s">
        <v>63</v>
      </c>
      <c r="C25" s="23">
        <v>900</v>
      </c>
      <c r="D25" s="23">
        <v>900</v>
      </c>
      <c r="E25" s="60"/>
      <c r="F25" s="82"/>
      <c r="G25" s="83"/>
      <c r="H25" s="13"/>
      <c r="I25" s="7"/>
      <c r="J25" s="7"/>
      <c r="K25" s="18"/>
      <c r="L25" s="18"/>
      <c r="M25" s="18"/>
      <c r="N25" s="7"/>
      <c r="O25" s="8"/>
      <c r="Q25" s="10" t="s">
        <v>150</v>
      </c>
    </row>
    <row r="26" spans="1:17" s="10" customFormat="1" ht="17.25" thickBot="1">
      <c r="A26" s="87" t="s">
        <v>88</v>
      </c>
      <c r="B26" s="73" t="s">
        <v>63</v>
      </c>
      <c r="C26" s="23">
        <v>900</v>
      </c>
      <c r="D26" s="23">
        <v>900</v>
      </c>
      <c r="E26" s="82"/>
      <c r="F26" s="82"/>
      <c r="G26" s="83"/>
      <c r="H26" s="13"/>
      <c r="I26" s="101"/>
      <c r="J26" s="157"/>
      <c r="K26" s="158"/>
      <c r="L26" s="8"/>
      <c r="M26" s="101"/>
      <c r="N26" s="157"/>
      <c r="O26" s="158"/>
      <c r="Q26" s="10" t="s">
        <v>151</v>
      </c>
    </row>
    <row r="27" spans="1:17" s="10" customFormat="1" ht="16.5">
      <c r="A27" s="87" t="s">
        <v>89</v>
      </c>
      <c r="B27" s="73" t="s">
        <v>63</v>
      </c>
      <c r="C27" s="23">
        <v>900</v>
      </c>
      <c r="D27" s="23">
        <v>900</v>
      </c>
      <c r="E27" s="60"/>
      <c r="F27" s="82"/>
      <c r="G27" s="83"/>
      <c r="H27" s="13"/>
      <c r="I27" s="7"/>
      <c r="J27" s="7"/>
      <c r="K27" s="19"/>
      <c r="L27" s="20"/>
      <c r="M27" s="21"/>
      <c r="N27" s="7"/>
      <c r="O27" s="8"/>
      <c r="Q27" s="10" t="s">
        <v>152</v>
      </c>
    </row>
    <row r="28" spans="1:17" s="10" customFormat="1" ht="16.5">
      <c r="A28" s="87" t="s">
        <v>90</v>
      </c>
      <c r="B28" s="73" t="s">
        <v>63</v>
      </c>
      <c r="C28" s="23">
        <v>900</v>
      </c>
      <c r="D28" s="23">
        <v>900</v>
      </c>
      <c r="E28" s="60"/>
      <c r="F28" s="82"/>
      <c r="G28" s="83"/>
      <c r="H28" s="13"/>
      <c r="I28" s="7"/>
      <c r="J28" s="7"/>
      <c r="K28" s="18"/>
      <c r="L28" s="18"/>
      <c r="M28" s="18"/>
      <c r="N28" s="7"/>
      <c r="O28" s="8"/>
      <c r="Q28" s="10" t="s">
        <v>153</v>
      </c>
    </row>
    <row r="29" spans="1:17" s="10" customFormat="1" ht="17.25" thickBot="1">
      <c r="A29" s="87" t="s">
        <v>91</v>
      </c>
      <c r="B29" s="73" t="s">
        <v>63</v>
      </c>
      <c r="C29" s="23">
        <v>900</v>
      </c>
      <c r="D29" s="23">
        <v>900</v>
      </c>
      <c r="E29" s="82"/>
      <c r="F29" s="82"/>
      <c r="G29" s="83"/>
      <c r="H29" s="13"/>
      <c r="I29" s="101"/>
      <c r="J29" s="157"/>
      <c r="K29" s="158"/>
      <c r="L29" s="8"/>
      <c r="M29" s="101"/>
      <c r="N29" s="157"/>
      <c r="O29" s="158"/>
      <c r="Q29" s="10" t="s">
        <v>154</v>
      </c>
    </row>
    <row r="30" spans="1:17" s="10" customFormat="1" ht="16.5">
      <c r="A30" s="87" t="s">
        <v>92</v>
      </c>
      <c r="B30" s="73" t="s">
        <v>63</v>
      </c>
      <c r="C30" s="23">
        <v>900</v>
      </c>
      <c r="D30" s="23">
        <v>900</v>
      </c>
      <c r="E30" s="60"/>
      <c r="F30" s="82"/>
      <c r="G30" s="83"/>
      <c r="H30" s="13"/>
      <c r="I30" s="7"/>
      <c r="J30" s="7"/>
      <c r="K30" s="19"/>
      <c r="L30" s="20"/>
      <c r="M30" s="21"/>
      <c r="N30" s="7"/>
      <c r="O30" s="8"/>
      <c r="Q30" s="10" t="s">
        <v>155</v>
      </c>
    </row>
    <row r="31" spans="1:17" s="10" customFormat="1" ht="16.5">
      <c r="A31" s="87" t="s">
        <v>93</v>
      </c>
      <c r="B31" s="73" t="s">
        <v>63</v>
      </c>
      <c r="C31" s="23">
        <v>900</v>
      </c>
      <c r="D31" s="23">
        <v>900</v>
      </c>
      <c r="E31" s="60"/>
      <c r="F31" s="82"/>
      <c r="G31" s="83"/>
      <c r="H31" s="13"/>
      <c r="I31" s="7"/>
      <c r="J31" s="7"/>
      <c r="K31" s="18"/>
      <c r="L31" s="18"/>
      <c r="M31" s="18"/>
      <c r="N31" s="7"/>
      <c r="O31" s="8"/>
      <c r="Q31" s="10" t="s">
        <v>156</v>
      </c>
    </row>
    <row r="32" spans="1:17" s="10" customFormat="1" ht="17.25" thickBot="1">
      <c r="A32" s="87" t="s">
        <v>94</v>
      </c>
      <c r="B32" s="73" t="s">
        <v>63</v>
      </c>
      <c r="C32" s="23">
        <v>900</v>
      </c>
      <c r="D32" s="23">
        <v>900</v>
      </c>
      <c r="E32" s="82"/>
      <c r="F32" s="82"/>
      <c r="G32" s="83"/>
      <c r="H32" s="13"/>
      <c r="I32" s="101"/>
      <c r="J32" s="157"/>
      <c r="K32" s="158"/>
      <c r="L32" s="8"/>
      <c r="M32" s="101"/>
      <c r="N32" s="157"/>
      <c r="O32" s="158"/>
      <c r="Q32" s="10" t="s">
        <v>157</v>
      </c>
    </row>
    <row r="33" spans="1:17" s="10" customFormat="1" ht="16.5">
      <c r="A33" s="87" t="s">
        <v>95</v>
      </c>
      <c r="B33" s="73" t="s">
        <v>63</v>
      </c>
      <c r="C33" s="23">
        <v>900</v>
      </c>
      <c r="D33" s="23">
        <v>900</v>
      </c>
      <c r="E33" s="60"/>
      <c r="F33" s="82"/>
      <c r="G33" s="83"/>
      <c r="H33" s="13"/>
      <c r="I33" s="7"/>
      <c r="J33" s="7"/>
      <c r="K33" s="19"/>
      <c r="L33" s="20"/>
      <c r="M33" s="21"/>
      <c r="N33" s="7"/>
      <c r="O33" s="8"/>
      <c r="Q33" s="10" t="s">
        <v>158</v>
      </c>
    </row>
    <row r="34" spans="1:17" s="10" customFormat="1" ht="16.5">
      <c r="A34" s="87" t="s">
        <v>96</v>
      </c>
      <c r="B34" s="73" t="s">
        <v>63</v>
      </c>
      <c r="C34" s="23">
        <v>900</v>
      </c>
      <c r="D34" s="23">
        <v>900</v>
      </c>
      <c r="E34" s="60"/>
      <c r="F34" s="82"/>
      <c r="G34" s="83"/>
      <c r="H34" s="13"/>
      <c r="I34" s="7"/>
      <c r="J34" s="7"/>
      <c r="K34" s="18"/>
      <c r="L34" s="18"/>
      <c r="M34" s="18"/>
      <c r="N34" s="7"/>
      <c r="O34" s="8"/>
      <c r="Q34" s="10" t="s">
        <v>159</v>
      </c>
    </row>
    <row r="35" spans="1:17" s="10" customFormat="1" ht="17.25" thickBot="1">
      <c r="A35" s="87" t="s">
        <v>97</v>
      </c>
      <c r="B35" s="73" t="s">
        <v>63</v>
      </c>
      <c r="C35" s="23">
        <v>900</v>
      </c>
      <c r="D35" s="23">
        <v>900</v>
      </c>
      <c r="E35" s="82"/>
      <c r="F35" s="82"/>
      <c r="G35" s="83"/>
      <c r="H35" s="13"/>
      <c r="I35" s="101"/>
      <c r="J35" s="157"/>
      <c r="K35" s="158"/>
      <c r="L35" s="8"/>
      <c r="M35" s="101"/>
      <c r="N35" s="157"/>
      <c r="O35" s="158"/>
      <c r="Q35" s="10" t="s">
        <v>160</v>
      </c>
    </row>
    <row r="36" spans="1:17" s="10" customFormat="1" ht="16.5">
      <c r="A36" s="87" t="s">
        <v>98</v>
      </c>
      <c r="B36" s="73" t="s">
        <v>63</v>
      </c>
      <c r="C36" s="23">
        <v>900</v>
      </c>
      <c r="D36" s="23">
        <v>900</v>
      </c>
      <c r="E36" s="60"/>
      <c r="F36" s="82"/>
      <c r="G36" s="83"/>
      <c r="H36" s="13"/>
      <c r="I36" s="7"/>
      <c r="J36" s="7"/>
      <c r="K36" s="19"/>
      <c r="L36" s="20"/>
      <c r="M36" s="21"/>
      <c r="N36" s="7"/>
      <c r="O36" s="8"/>
      <c r="Q36" s="10" t="s">
        <v>161</v>
      </c>
    </row>
    <row r="37" spans="1:17" s="10" customFormat="1" ht="16.5">
      <c r="A37" s="87" t="s">
        <v>99</v>
      </c>
      <c r="B37" s="73" t="s">
        <v>63</v>
      </c>
      <c r="C37" s="23">
        <v>900</v>
      </c>
      <c r="D37" s="23">
        <v>900</v>
      </c>
      <c r="E37" s="60"/>
      <c r="F37" s="82"/>
      <c r="G37" s="83"/>
      <c r="H37" s="13"/>
      <c r="I37" s="7"/>
      <c r="J37" s="7"/>
      <c r="K37" s="18"/>
      <c r="L37" s="18"/>
      <c r="M37" s="18"/>
      <c r="N37" s="7"/>
      <c r="O37" s="8"/>
      <c r="Q37" s="10" t="s">
        <v>162</v>
      </c>
    </row>
    <row r="38" spans="1:17" s="10" customFormat="1" ht="17.25" thickBot="1">
      <c r="A38" s="87" t="s">
        <v>100</v>
      </c>
      <c r="B38" s="73" t="s">
        <v>63</v>
      </c>
      <c r="C38" s="23">
        <v>900</v>
      </c>
      <c r="D38" s="23">
        <v>900</v>
      </c>
      <c r="E38" s="82"/>
      <c r="F38" s="82"/>
      <c r="G38" s="83"/>
      <c r="H38" s="13"/>
      <c r="I38" s="101"/>
      <c r="J38" s="157"/>
      <c r="K38" s="158"/>
      <c r="L38" s="8"/>
      <c r="M38" s="101"/>
      <c r="N38" s="157"/>
      <c r="O38" s="158"/>
      <c r="Q38" s="10" t="s">
        <v>163</v>
      </c>
    </row>
    <row r="39" spans="1:17" s="10" customFormat="1" ht="16.5">
      <c r="A39" s="87" t="s">
        <v>101</v>
      </c>
      <c r="B39" s="73" t="s">
        <v>63</v>
      </c>
      <c r="C39" s="23">
        <v>900</v>
      </c>
      <c r="D39" s="23">
        <v>900</v>
      </c>
      <c r="E39" s="60"/>
      <c r="F39" s="82"/>
      <c r="G39" s="83"/>
      <c r="H39" s="13"/>
      <c r="I39" s="7"/>
      <c r="J39" s="7"/>
      <c r="K39" s="19"/>
      <c r="L39" s="20"/>
      <c r="M39" s="21"/>
      <c r="N39" s="7"/>
      <c r="O39" s="8"/>
      <c r="Q39" s="10" t="s">
        <v>164</v>
      </c>
    </row>
    <row r="40" spans="1:17" s="10" customFormat="1" ht="16.5">
      <c r="A40" s="87" t="s">
        <v>102</v>
      </c>
      <c r="B40" s="73" t="s">
        <v>63</v>
      </c>
      <c r="C40" s="23">
        <v>900</v>
      </c>
      <c r="D40" s="23">
        <v>900</v>
      </c>
      <c r="E40" s="60"/>
      <c r="F40" s="82"/>
      <c r="G40" s="83"/>
      <c r="H40" s="13"/>
      <c r="I40" s="7"/>
      <c r="J40" s="7"/>
      <c r="K40" s="18"/>
      <c r="L40" s="18"/>
      <c r="M40" s="18"/>
      <c r="N40" s="7"/>
      <c r="O40" s="8"/>
      <c r="Q40" s="10" t="s">
        <v>165</v>
      </c>
    </row>
    <row r="41" spans="1:17" s="10" customFormat="1" ht="17.25" thickBot="1">
      <c r="A41" s="87" t="s">
        <v>103</v>
      </c>
      <c r="B41" s="73" t="s">
        <v>63</v>
      </c>
      <c r="C41" s="23">
        <v>900</v>
      </c>
      <c r="D41" s="23">
        <v>900</v>
      </c>
      <c r="E41" s="82"/>
      <c r="F41" s="82"/>
      <c r="G41" s="83"/>
      <c r="H41" s="13"/>
      <c r="I41" s="101"/>
      <c r="J41" s="157"/>
      <c r="K41" s="158"/>
      <c r="L41" s="8"/>
      <c r="M41" s="101"/>
      <c r="N41" s="157"/>
      <c r="O41" s="158"/>
      <c r="Q41" s="10" t="s">
        <v>166</v>
      </c>
    </row>
    <row r="42" spans="1:17" s="10" customFormat="1" ht="16.5">
      <c r="A42" s="87" t="s">
        <v>104</v>
      </c>
      <c r="B42" s="73" t="s">
        <v>63</v>
      </c>
      <c r="C42" s="23">
        <v>900</v>
      </c>
      <c r="D42" s="23">
        <v>900</v>
      </c>
      <c r="E42" s="60"/>
      <c r="F42" s="82"/>
      <c r="G42" s="83"/>
      <c r="H42" s="13"/>
      <c r="I42" s="7"/>
      <c r="J42" s="7"/>
      <c r="K42" s="19"/>
      <c r="L42" s="20"/>
      <c r="M42" s="21"/>
      <c r="N42" s="7"/>
      <c r="O42" s="8"/>
      <c r="Q42" s="10" t="s">
        <v>167</v>
      </c>
    </row>
    <row r="43" spans="1:17" s="10" customFormat="1" ht="16.5">
      <c r="A43" s="87" t="s">
        <v>105</v>
      </c>
      <c r="B43" s="73" t="s">
        <v>63</v>
      </c>
      <c r="C43" s="23">
        <v>900</v>
      </c>
      <c r="D43" s="23">
        <v>900</v>
      </c>
      <c r="E43" s="60"/>
      <c r="F43" s="82"/>
      <c r="G43" s="83"/>
      <c r="H43" s="13"/>
      <c r="I43" s="7"/>
      <c r="J43" s="7"/>
      <c r="K43" s="18"/>
      <c r="L43" s="18"/>
      <c r="M43" s="18"/>
      <c r="N43" s="7"/>
      <c r="O43" s="8"/>
      <c r="Q43" s="10" t="s">
        <v>168</v>
      </c>
    </row>
    <row r="44" spans="1:17" s="10" customFormat="1" ht="17.25" thickBot="1">
      <c r="A44" s="87" t="s">
        <v>106</v>
      </c>
      <c r="B44" s="73" t="s">
        <v>63</v>
      </c>
      <c r="C44" s="23">
        <v>900</v>
      </c>
      <c r="D44" s="23">
        <v>900</v>
      </c>
      <c r="E44" s="82"/>
      <c r="F44" s="82"/>
      <c r="G44" s="83"/>
      <c r="H44" s="13"/>
      <c r="I44" s="101"/>
      <c r="J44" s="157"/>
      <c r="K44" s="158"/>
      <c r="L44" s="8"/>
      <c r="M44" s="101"/>
      <c r="N44" s="157"/>
      <c r="O44" s="158"/>
      <c r="Q44" s="10" t="s">
        <v>169</v>
      </c>
    </row>
    <row r="45" spans="1:17" s="10" customFormat="1" ht="16.5">
      <c r="A45" s="87" t="s">
        <v>107</v>
      </c>
      <c r="B45" s="73" t="s">
        <v>63</v>
      </c>
      <c r="C45" s="23">
        <v>900</v>
      </c>
      <c r="D45" s="23">
        <v>900</v>
      </c>
      <c r="E45" s="60"/>
      <c r="F45" s="82"/>
      <c r="G45" s="83"/>
      <c r="H45" s="13"/>
      <c r="I45" s="7"/>
      <c r="J45" s="7"/>
      <c r="K45" s="19"/>
      <c r="L45" s="20"/>
      <c r="M45" s="21"/>
      <c r="N45" s="7"/>
      <c r="O45" s="8"/>
      <c r="Q45" s="10" t="s">
        <v>170</v>
      </c>
    </row>
    <row r="46" spans="1:17" s="10" customFormat="1" ht="16.5">
      <c r="A46" s="87" t="s">
        <v>108</v>
      </c>
      <c r="B46" s="73" t="s">
        <v>63</v>
      </c>
      <c r="C46" s="23">
        <v>900</v>
      </c>
      <c r="D46" s="23">
        <v>900</v>
      </c>
      <c r="E46" s="60"/>
      <c r="F46" s="82"/>
      <c r="G46" s="83"/>
      <c r="H46" s="13"/>
      <c r="I46" s="7"/>
      <c r="J46" s="7"/>
      <c r="K46" s="18"/>
      <c r="L46" s="18"/>
      <c r="M46" s="18"/>
      <c r="N46" s="7"/>
      <c r="O46" s="8"/>
      <c r="Q46" s="10" t="s">
        <v>171</v>
      </c>
    </row>
    <row r="47" spans="1:17" s="10" customFormat="1" ht="17.25" thickBot="1">
      <c r="A47" s="87" t="s">
        <v>109</v>
      </c>
      <c r="B47" s="73" t="s">
        <v>63</v>
      </c>
      <c r="C47" s="23">
        <v>900</v>
      </c>
      <c r="D47" s="23">
        <v>900</v>
      </c>
      <c r="E47" s="82"/>
      <c r="F47" s="82"/>
      <c r="G47" s="83"/>
      <c r="H47" s="13"/>
      <c r="I47" s="101"/>
      <c r="J47" s="157"/>
      <c r="K47" s="158"/>
      <c r="L47" s="8"/>
      <c r="M47" s="101"/>
      <c r="N47" s="157"/>
      <c r="O47" s="158"/>
      <c r="Q47" s="10" t="s">
        <v>172</v>
      </c>
    </row>
    <row r="48" spans="1:17" s="10" customFormat="1" ht="16.5">
      <c r="A48" s="87" t="s">
        <v>110</v>
      </c>
      <c r="B48" s="73" t="s">
        <v>63</v>
      </c>
      <c r="C48" s="23">
        <v>900</v>
      </c>
      <c r="D48" s="23">
        <v>900</v>
      </c>
      <c r="E48" s="60"/>
      <c r="F48" s="82"/>
      <c r="G48" s="83"/>
      <c r="H48" s="13"/>
      <c r="I48" s="7"/>
      <c r="J48" s="7"/>
      <c r="K48" s="19"/>
      <c r="L48" s="20"/>
      <c r="M48" s="21"/>
      <c r="N48" s="7"/>
      <c r="O48" s="8"/>
      <c r="Q48" s="10" t="s">
        <v>173</v>
      </c>
    </row>
    <row r="49" spans="1:17" s="10" customFormat="1" ht="16.5">
      <c r="A49" s="87" t="s">
        <v>111</v>
      </c>
      <c r="B49" s="73" t="s">
        <v>63</v>
      </c>
      <c r="C49" s="23">
        <v>900</v>
      </c>
      <c r="D49" s="23">
        <v>900</v>
      </c>
      <c r="E49" s="60"/>
      <c r="F49" s="82"/>
      <c r="G49" s="83"/>
      <c r="H49" s="13"/>
      <c r="I49" s="7"/>
      <c r="J49" s="7"/>
      <c r="K49" s="18"/>
      <c r="L49" s="18"/>
      <c r="M49" s="18"/>
      <c r="N49" s="7"/>
      <c r="O49" s="8"/>
      <c r="Q49" s="10" t="s">
        <v>174</v>
      </c>
    </row>
    <row r="50" spans="1:17" s="10" customFormat="1" ht="17.25" thickBot="1">
      <c r="A50" s="87" t="s">
        <v>112</v>
      </c>
      <c r="B50" s="73" t="s">
        <v>63</v>
      </c>
      <c r="C50" s="23">
        <v>900</v>
      </c>
      <c r="D50" s="23">
        <v>900</v>
      </c>
      <c r="E50" s="82"/>
      <c r="F50" s="82"/>
      <c r="G50" s="83"/>
      <c r="H50" s="13"/>
      <c r="I50" s="101"/>
      <c r="J50" s="157"/>
      <c r="K50" s="158"/>
      <c r="L50" s="8"/>
      <c r="M50" s="101"/>
      <c r="N50" s="157"/>
      <c r="O50" s="158"/>
      <c r="Q50" s="10" t="s">
        <v>175</v>
      </c>
    </row>
    <row r="51" spans="1:17" s="10" customFormat="1" ht="16.5">
      <c r="A51" s="87" t="s">
        <v>113</v>
      </c>
      <c r="B51" s="73" t="s">
        <v>63</v>
      </c>
      <c r="C51" s="23">
        <v>900</v>
      </c>
      <c r="D51" s="23">
        <v>900</v>
      </c>
      <c r="E51" s="60"/>
      <c r="F51" s="82"/>
      <c r="G51" s="83"/>
      <c r="H51" s="13"/>
      <c r="I51" s="7"/>
      <c r="J51" s="7"/>
      <c r="K51" s="19"/>
      <c r="L51" s="20"/>
      <c r="M51" s="21"/>
      <c r="N51" s="7"/>
      <c r="O51" s="8"/>
      <c r="Q51" s="10" t="s">
        <v>176</v>
      </c>
    </row>
    <row r="52" spans="1:17" s="10" customFormat="1" ht="16.5">
      <c r="A52" s="87" t="s">
        <v>114</v>
      </c>
      <c r="B52" s="73" t="s">
        <v>63</v>
      </c>
      <c r="C52" s="23">
        <v>900</v>
      </c>
      <c r="D52" s="23">
        <v>900</v>
      </c>
      <c r="E52" s="60"/>
      <c r="F52" s="82"/>
      <c r="G52" s="83"/>
      <c r="H52" s="13"/>
      <c r="I52" s="7"/>
      <c r="J52" s="7"/>
      <c r="K52" s="18"/>
      <c r="L52" s="18"/>
      <c r="M52" s="18"/>
      <c r="N52" s="7"/>
      <c r="O52" s="8"/>
      <c r="Q52" s="10" t="s">
        <v>177</v>
      </c>
    </row>
    <row r="53" spans="1:17" s="10" customFormat="1" ht="17.25" thickBot="1">
      <c r="A53" s="87" t="s">
        <v>115</v>
      </c>
      <c r="B53" s="73" t="s">
        <v>63</v>
      </c>
      <c r="C53" s="23">
        <v>900</v>
      </c>
      <c r="D53" s="23">
        <v>900</v>
      </c>
      <c r="E53" s="82"/>
      <c r="F53" s="82"/>
      <c r="G53" s="83"/>
      <c r="H53" s="13"/>
      <c r="I53" s="101"/>
      <c r="J53" s="157"/>
      <c r="K53" s="158"/>
      <c r="L53" s="8"/>
      <c r="M53" s="101"/>
      <c r="N53" s="157"/>
      <c r="O53" s="158"/>
      <c r="Q53" s="10" t="s">
        <v>178</v>
      </c>
    </row>
    <row r="54" spans="1:17" s="10" customFormat="1" ht="16.5">
      <c r="A54" s="87" t="s">
        <v>116</v>
      </c>
      <c r="B54" s="73" t="s">
        <v>63</v>
      </c>
      <c r="C54" s="23">
        <v>900</v>
      </c>
      <c r="D54" s="23">
        <v>900</v>
      </c>
      <c r="E54" s="60"/>
      <c r="F54" s="82"/>
      <c r="G54" s="83"/>
      <c r="H54" s="13"/>
      <c r="I54" s="7"/>
      <c r="J54" s="7"/>
      <c r="K54" s="19"/>
      <c r="L54" s="20"/>
      <c r="M54" s="21"/>
      <c r="N54" s="7"/>
      <c r="O54" s="8"/>
      <c r="Q54" s="10" t="s">
        <v>179</v>
      </c>
    </row>
    <row r="55" spans="1:17" s="10" customFormat="1" ht="16.5">
      <c r="A55" s="87" t="s">
        <v>117</v>
      </c>
      <c r="B55" s="73" t="s">
        <v>63</v>
      </c>
      <c r="C55" s="23">
        <v>900</v>
      </c>
      <c r="D55" s="23">
        <v>900</v>
      </c>
      <c r="E55" s="60"/>
      <c r="F55" s="82"/>
      <c r="G55" s="83"/>
      <c r="H55" s="13"/>
      <c r="I55" s="7"/>
      <c r="J55" s="7"/>
      <c r="K55" s="18"/>
      <c r="L55" s="18"/>
      <c r="M55" s="18"/>
      <c r="N55" s="7"/>
      <c r="O55" s="8"/>
      <c r="Q55" s="10" t="s">
        <v>180</v>
      </c>
    </row>
    <row r="56" spans="1:17" s="10" customFormat="1" ht="17.25" thickBot="1">
      <c r="A56" s="87" t="s">
        <v>118</v>
      </c>
      <c r="B56" s="73" t="s">
        <v>63</v>
      </c>
      <c r="C56" s="23">
        <v>900</v>
      </c>
      <c r="D56" s="23">
        <v>900</v>
      </c>
      <c r="E56" s="82"/>
      <c r="F56" s="82"/>
      <c r="G56" s="83"/>
      <c r="H56" s="13"/>
      <c r="I56" s="101"/>
      <c r="J56" s="157"/>
      <c r="K56" s="158"/>
      <c r="L56" s="8"/>
      <c r="M56" s="101"/>
      <c r="N56" s="157"/>
      <c r="O56" s="158"/>
      <c r="Q56" s="10" t="s">
        <v>181</v>
      </c>
    </row>
    <row r="57" spans="1:17" s="10" customFormat="1" ht="16.5">
      <c r="A57" s="87" t="s">
        <v>119</v>
      </c>
      <c r="B57" s="73" t="s">
        <v>63</v>
      </c>
      <c r="C57" s="23">
        <v>900</v>
      </c>
      <c r="D57" s="23">
        <v>900</v>
      </c>
      <c r="E57" s="60"/>
      <c r="F57" s="82"/>
      <c r="G57" s="83"/>
      <c r="H57" s="13"/>
      <c r="I57" s="7"/>
      <c r="J57" s="7"/>
      <c r="K57" s="19"/>
      <c r="L57" s="20"/>
      <c r="M57" s="21"/>
      <c r="N57" s="7"/>
      <c r="O57" s="8"/>
      <c r="Q57" s="10" t="s">
        <v>182</v>
      </c>
    </row>
    <row r="58" spans="1:17" s="10" customFormat="1" ht="16.5">
      <c r="A58" s="87" t="s">
        <v>120</v>
      </c>
      <c r="B58" s="73" t="s">
        <v>63</v>
      </c>
      <c r="C58" s="23">
        <v>900</v>
      </c>
      <c r="D58" s="23">
        <v>900</v>
      </c>
      <c r="E58" s="60"/>
      <c r="F58" s="82"/>
      <c r="G58" s="83"/>
      <c r="H58" s="13"/>
      <c r="I58" s="7"/>
      <c r="J58" s="7"/>
      <c r="K58" s="18"/>
      <c r="L58" s="18"/>
      <c r="M58" s="18"/>
      <c r="N58" s="7"/>
      <c r="O58" s="8"/>
      <c r="Q58" s="10" t="s">
        <v>183</v>
      </c>
    </row>
    <row r="59" spans="1:17" s="10" customFormat="1" ht="17.25" thickBot="1">
      <c r="A59" s="87" t="s">
        <v>121</v>
      </c>
      <c r="B59" s="73" t="s">
        <v>63</v>
      </c>
      <c r="C59" s="23">
        <v>900</v>
      </c>
      <c r="D59" s="23">
        <v>900</v>
      </c>
      <c r="E59" s="82"/>
      <c r="F59" s="82"/>
      <c r="G59" s="83"/>
      <c r="H59" s="13"/>
      <c r="I59" s="101"/>
      <c r="J59" s="157"/>
      <c r="K59" s="158"/>
      <c r="L59" s="8"/>
      <c r="M59" s="101"/>
      <c r="N59" s="157"/>
      <c r="O59" s="158"/>
      <c r="Q59" s="10" t="s">
        <v>184</v>
      </c>
    </row>
    <row r="60" spans="1:17" s="10" customFormat="1" ht="16.5">
      <c r="A60" s="87" t="s">
        <v>122</v>
      </c>
      <c r="B60" s="73" t="s">
        <v>63</v>
      </c>
      <c r="C60" s="23">
        <v>900</v>
      </c>
      <c r="D60" s="23">
        <v>900</v>
      </c>
      <c r="E60" s="60"/>
      <c r="F60" s="82"/>
      <c r="G60" s="83"/>
      <c r="H60" s="13"/>
      <c r="I60" s="7"/>
      <c r="J60" s="7"/>
      <c r="K60" s="19"/>
      <c r="L60" s="20"/>
      <c r="M60" s="21"/>
      <c r="N60" s="7"/>
      <c r="O60" s="8"/>
      <c r="Q60" s="10" t="s">
        <v>185</v>
      </c>
    </row>
    <row r="61" spans="1:17" s="10" customFormat="1" ht="16.5">
      <c r="A61" s="87" t="s">
        <v>123</v>
      </c>
      <c r="B61" s="73" t="s">
        <v>63</v>
      </c>
      <c r="C61" s="23">
        <v>900</v>
      </c>
      <c r="D61" s="23">
        <v>900</v>
      </c>
      <c r="E61" s="60"/>
      <c r="F61" s="82"/>
      <c r="G61" s="83"/>
      <c r="H61" s="13"/>
      <c r="I61" s="7"/>
      <c r="J61" s="7"/>
      <c r="K61" s="18"/>
      <c r="L61" s="18"/>
      <c r="M61" s="18"/>
      <c r="N61" s="7"/>
      <c r="O61" s="8"/>
      <c r="Q61" s="10" t="s">
        <v>186</v>
      </c>
    </row>
    <row r="62" spans="1:17" s="10" customFormat="1" ht="17.25" thickBot="1">
      <c r="A62" s="87" t="s">
        <v>124</v>
      </c>
      <c r="B62" s="73" t="s">
        <v>63</v>
      </c>
      <c r="C62" s="23">
        <v>900</v>
      </c>
      <c r="D62" s="23">
        <v>900</v>
      </c>
      <c r="E62" s="82"/>
      <c r="F62" s="82"/>
      <c r="G62" s="83"/>
      <c r="H62" s="13"/>
      <c r="I62" s="101"/>
      <c r="J62" s="157"/>
      <c r="K62" s="158"/>
      <c r="L62" s="8"/>
      <c r="M62" s="101"/>
      <c r="N62" s="157"/>
      <c r="O62" s="158"/>
      <c r="Q62" s="10" t="s">
        <v>187</v>
      </c>
    </row>
    <row r="63" spans="1:17" s="10" customFormat="1" ht="16.5">
      <c r="A63" s="87" t="s">
        <v>125</v>
      </c>
      <c r="B63" s="73" t="s">
        <v>63</v>
      </c>
      <c r="C63" s="23">
        <v>900</v>
      </c>
      <c r="D63" s="23">
        <v>900</v>
      </c>
      <c r="E63" s="60"/>
      <c r="F63" s="82"/>
      <c r="G63" s="83"/>
      <c r="H63" s="13"/>
      <c r="I63" s="7"/>
      <c r="J63" s="7"/>
      <c r="K63" s="19"/>
      <c r="L63" s="20"/>
      <c r="M63" s="21"/>
      <c r="N63" s="7"/>
      <c r="O63" s="8"/>
      <c r="Q63" s="10" t="s">
        <v>188</v>
      </c>
    </row>
    <row r="64" spans="1:17" s="10" customFormat="1" ht="16.5">
      <c r="A64" s="87" t="s">
        <v>126</v>
      </c>
      <c r="B64" s="73" t="s">
        <v>63</v>
      </c>
      <c r="C64" s="23">
        <v>900</v>
      </c>
      <c r="D64" s="23">
        <v>900</v>
      </c>
      <c r="E64" s="60"/>
      <c r="F64" s="82"/>
      <c r="G64" s="83"/>
      <c r="H64" s="13"/>
      <c r="I64" s="7"/>
      <c r="J64" s="7"/>
      <c r="K64" s="18"/>
      <c r="L64" s="18"/>
      <c r="M64" s="18"/>
      <c r="N64" s="7"/>
      <c r="O64" s="8"/>
      <c r="Q64" s="10" t="s">
        <v>189</v>
      </c>
    </row>
    <row r="65" spans="1:17" s="10" customFormat="1" ht="17.25" thickBot="1">
      <c r="A65" s="87" t="s">
        <v>127</v>
      </c>
      <c r="B65" s="73" t="s">
        <v>63</v>
      </c>
      <c r="C65" s="23">
        <v>900</v>
      </c>
      <c r="D65" s="23">
        <v>900</v>
      </c>
      <c r="E65" s="82"/>
      <c r="F65" s="82"/>
      <c r="G65" s="83"/>
      <c r="H65" s="13"/>
      <c r="I65" s="101"/>
      <c r="J65" s="157"/>
      <c r="K65" s="158"/>
      <c r="L65" s="8"/>
      <c r="M65" s="101"/>
      <c r="N65" s="157"/>
      <c r="O65" s="158"/>
      <c r="Q65" s="10" t="s">
        <v>190</v>
      </c>
    </row>
    <row r="66" spans="1:17" s="10" customFormat="1" ht="16.5">
      <c r="A66" s="87" t="s">
        <v>128</v>
      </c>
      <c r="B66" s="73" t="s">
        <v>63</v>
      </c>
      <c r="C66" s="23">
        <v>900</v>
      </c>
      <c r="D66" s="23">
        <v>900</v>
      </c>
      <c r="E66" s="60"/>
      <c r="F66" s="82"/>
      <c r="G66" s="83"/>
      <c r="H66" s="13"/>
      <c r="I66" s="7"/>
      <c r="J66" s="7"/>
      <c r="K66" s="19"/>
      <c r="L66" s="20"/>
      <c r="M66" s="21"/>
      <c r="N66" s="7"/>
      <c r="O66" s="8"/>
      <c r="Q66" s="10" t="s">
        <v>191</v>
      </c>
    </row>
    <row r="67" spans="1:17" s="10" customFormat="1" ht="16.5">
      <c r="A67" s="87" t="s">
        <v>129</v>
      </c>
      <c r="B67" s="73" t="s">
        <v>63</v>
      </c>
      <c r="C67" s="23">
        <v>900</v>
      </c>
      <c r="D67" s="23">
        <v>900</v>
      </c>
      <c r="E67" s="60"/>
      <c r="F67" s="82"/>
      <c r="G67" s="83"/>
      <c r="H67" s="13"/>
      <c r="I67" s="7"/>
      <c r="J67" s="7"/>
      <c r="K67" s="18"/>
      <c r="L67" s="18"/>
      <c r="M67" s="18"/>
      <c r="N67" s="7"/>
      <c r="O67" s="8"/>
      <c r="Q67" s="10" t="s">
        <v>192</v>
      </c>
    </row>
    <row r="68" spans="1:17" s="10" customFormat="1" ht="16.5">
      <c r="A68" s="87" t="s">
        <v>130</v>
      </c>
      <c r="B68" s="73" t="s">
        <v>63</v>
      </c>
      <c r="C68" s="23">
        <v>900</v>
      </c>
      <c r="D68" s="23">
        <v>900</v>
      </c>
      <c r="E68" s="82"/>
      <c r="F68" s="82"/>
      <c r="G68" s="83"/>
      <c r="H68" s="13"/>
      <c r="I68" s="101"/>
      <c r="J68" s="157"/>
      <c r="K68" s="158"/>
      <c r="L68" s="8"/>
      <c r="M68" s="101"/>
      <c r="N68" s="157"/>
      <c r="O68" s="158"/>
      <c r="Q68" s="10" t="s">
        <v>193</v>
      </c>
    </row>
  </sheetData>
  <mergeCells count="51">
    <mergeCell ref="I68:K68"/>
    <mergeCell ref="M68:O68"/>
    <mergeCell ref="I59:K59"/>
    <mergeCell ref="M59:O59"/>
    <mergeCell ref="I62:K62"/>
    <mergeCell ref="M62:O62"/>
    <mergeCell ref="I65:K65"/>
    <mergeCell ref="M65:O65"/>
    <mergeCell ref="I50:K50"/>
    <mergeCell ref="M50:O50"/>
    <mergeCell ref="I53:K53"/>
    <mergeCell ref="M53:O53"/>
    <mergeCell ref="I56:K56"/>
    <mergeCell ref="M56:O56"/>
    <mergeCell ref="I41:K41"/>
    <mergeCell ref="M41:O41"/>
    <mergeCell ref="I44:K44"/>
    <mergeCell ref="M44:O44"/>
    <mergeCell ref="I47:K47"/>
    <mergeCell ref="M47:O47"/>
    <mergeCell ref="I32:K32"/>
    <mergeCell ref="M32:O32"/>
    <mergeCell ref="I35:K35"/>
    <mergeCell ref="M35:O35"/>
    <mergeCell ref="I38:K38"/>
    <mergeCell ref="M38:O38"/>
    <mergeCell ref="I23:K23"/>
    <mergeCell ref="M23:O23"/>
    <mergeCell ref="I26:K26"/>
    <mergeCell ref="M26:O26"/>
    <mergeCell ref="I29:K29"/>
    <mergeCell ref="M29:O29"/>
    <mergeCell ref="I14:K14"/>
    <mergeCell ref="M14:O14"/>
    <mergeCell ref="I17:K17"/>
    <mergeCell ref="M17:O17"/>
    <mergeCell ref="I20:K20"/>
    <mergeCell ref="M20:O20"/>
    <mergeCell ref="I6:N6"/>
    <mergeCell ref="C7:C8"/>
    <mergeCell ref="D7:D8"/>
    <mergeCell ref="I11:K11"/>
    <mergeCell ref="M11:O11"/>
    <mergeCell ref="A1:C4"/>
    <mergeCell ref="D1:G4"/>
    <mergeCell ref="A6:A8"/>
    <mergeCell ref="B6:B8"/>
    <mergeCell ref="C6:D6"/>
    <mergeCell ref="E6:E8"/>
    <mergeCell ref="F6:F8"/>
    <mergeCell ref="G6:G8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Q75"/>
  <sheetViews>
    <sheetView zoomScaleNormal="100" zoomScaleSheetLayoutView="100" workbookViewId="0">
      <selection activeCell="W65" sqref="W65"/>
    </sheetView>
  </sheetViews>
  <sheetFormatPr defaultColWidth="9" defaultRowHeight="16.5"/>
  <cols>
    <col min="1" max="1" width="3.625" customWidth="1"/>
    <col min="2" max="2" width="9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11" width="2.75" style="5" customWidth="1"/>
    <col min="12" max="12" width="8" style="5" customWidth="1"/>
    <col min="13" max="13" width="7.375" customWidth="1"/>
    <col min="14" max="14" width="5.875" customWidth="1"/>
    <col min="15" max="15" width="7.125" customWidth="1"/>
    <col min="16" max="16" width="6.25" customWidth="1"/>
    <col min="17" max="17" width="20.375" customWidth="1"/>
  </cols>
  <sheetData>
    <row r="1" spans="1:17" ht="16.5" customHeight="1">
      <c r="A1" s="101"/>
      <c r="B1" s="101"/>
      <c r="C1" s="101"/>
      <c r="D1" s="101"/>
      <c r="E1" s="89" t="s">
        <v>67</v>
      </c>
      <c r="F1" s="90"/>
      <c r="G1" s="90"/>
      <c r="H1" s="95" t="str">
        <f>'1. 소켓인수검사'!R2</f>
        <v>26.06.16 웰스홈_우리이앤씨_LT삼보_LX판토스 신항에코 물류센터</v>
      </c>
      <c r="I1" s="95"/>
      <c r="J1" s="95"/>
      <c r="K1" s="95"/>
      <c r="L1" s="95"/>
      <c r="M1" s="95"/>
      <c r="N1" s="95"/>
      <c r="O1" s="95"/>
      <c r="P1" s="95"/>
      <c r="Q1" s="96"/>
    </row>
    <row r="2" spans="1:17" ht="38.25" customHeight="1">
      <c r="A2" s="101"/>
      <c r="B2" s="101"/>
      <c r="C2" s="101"/>
      <c r="D2" s="101"/>
      <c r="E2" s="91"/>
      <c r="F2" s="92"/>
      <c r="G2" s="92"/>
      <c r="H2" s="97"/>
      <c r="I2" s="97"/>
      <c r="J2" s="97"/>
      <c r="K2" s="97"/>
      <c r="L2" s="97"/>
      <c r="M2" s="97"/>
      <c r="N2" s="97"/>
      <c r="O2" s="97"/>
      <c r="P2" s="97"/>
      <c r="Q2" s="98"/>
    </row>
    <row r="3" spans="1:17" ht="38.25" customHeight="1">
      <c r="A3" s="101"/>
      <c r="B3" s="101"/>
      <c r="C3" s="101"/>
      <c r="D3" s="101"/>
      <c r="E3" s="93"/>
      <c r="F3" s="94"/>
      <c r="G3" s="94"/>
      <c r="H3" s="99"/>
      <c r="I3" s="99"/>
      <c r="J3" s="99"/>
      <c r="K3" s="99"/>
      <c r="L3" s="99"/>
      <c r="M3" s="99"/>
      <c r="N3" s="99"/>
      <c r="O3" s="99"/>
      <c r="P3" s="99"/>
      <c r="Q3" s="100"/>
    </row>
    <row r="4" spans="1:17" ht="8.1" customHeight="1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4"/>
      <c r="Q4" s="15"/>
    </row>
    <row r="5" spans="1:17" s="16" customFormat="1" ht="26.45" customHeight="1">
      <c r="A5" s="105" t="s">
        <v>51</v>
      </c>
      <c r="B5" s="106" t="s">
        <v>61</v>
      </c>
      <c r="C5" s="109" t="s">
        <v>4</v>
      </c>
      <c r="D5" s="110"/>
      <c r="E5" s="109" t="s">
        <v>44</v>
      </c>
      <c r="F5" s="111" t="s">
        <v>49</v>
      </c>
      <c r="G5" s="110" t="s">
        <v>18</v>
      </c>
      <c r="H5" s="114"/>
      <c r="I5" s="114"/>
      <c r="J5" s="114"/>
      <c r="K5" s="114"/>
      <c r="L5" s="115"/>
      <c r="M5" s="110" t="s">
        <v>33</v>
      </c>
      <c r="N5" s="114"/>
      <c r="O5" s="114"/>
      <c r="P5" s="115"/>
      <c r="Q5" s="111" t="s">
        <v>2</v>
      </c>
    </row>
    <row r="6" spans="1:17" s="16" customFormat="1" ht="16.5" customHeight="1">
      <c r="A6" s="105"/>
      <c r="B6" s="107"/>
      <c r="C6" s="109" t="s">
        <v>58</v>
      </c>
      <c r="D6" s="110" t="s">
        <v>56</v>
      </c>
      <c r="E6" s="109"/>
      <c r="F6" s="112"/>
      <c r="G6" s="116" t="s">
        <v>64</v>
      </c>
      <c r="H6" s="116"/>
      <c r="I6" s="116" t="s">
        <v>65</v>
      </c>
      <c r="J6" s="116"/>
      <c r="K6" s="116"/>
      <c r="L6" s="116"/>
      <c r="M6" s="109" t="s">
        <v>60</v>
      </c>
      <c r="N6" s="109"/>
      <c r="O6" s="109" t="s">
        <v>57</v>
      </c>
      <c r="P6" s="109"/>
      <c r="Q6" s="112"/>
    </row>
    <row r="7" spans="1:17" s="16" customFormat="1" ht="16.5" customHeight="1">
      <c r="A7" s="105"/>
      <c r="B7" s="108"/>
      <c r="C7" s="109"/>
      <c r="D7" s="110"/>
      <c r="E7" s="109"/>
      <c r="F7" s="113"/>
      <c r="G7" s="65" t="s">
        <v>4</v>
      </c>
      <c r="H7" s="65" t="s">
        <v>29</v>
      </c>
      <c r="I7" s="117" t="s">
        <v>4</v>
      </c>
      <c r="J7" s="118"/>
      <c r="K7" s="119"/>
      <c r="L7" s="17" t="s">
        <v>29</v>
      </c>
      <c r="M7" s="64" t="s">
        <v>4</v>
      </c>
      <c r="N7" s="64" t="s">
        <v>49</v>
      </c>
      <c r="O7" s="64" t="s">
        <v>4</v>
      </c>
      <c r="P7" s="64" t="s">
        <v>49</v>
      </c>
      <c r="Q7" s="113"/>
    </row>
    <row r="8" spans="1:17">
      <c r="A8" s="40" t="str">
        <f>'1. 소켓인수검사'!A9</f>
        <v>01</v>
      </c>
      <c r="B8" s="68" t="s">
        <v>63</v>
      </c>
      <c r="C8" s="41">
        <f>'1. 소켓인수검사'!C9</f>
        <v>900</v>
      </c>
      <c r="D8" s="41">
        <f>'1. 소켓인수검사'!D9</f>
        <v>900</v>
      </c>
      <c r="E8" s="42" t="s">
        <v>43</v>
      </c>
      <c r="F8" s="43">
        <v>1</v>
      </c>
      <c r="G8" s="46">
        <f>(C8)-5</f>
        <v>895</v>
      </c>
      <c r="H8" s="44">
        <v>6</v>
      </c>
      <c r="I8" s="120">
        <f t="shared" ref="I8:I39" si="0">(C8-E850)-5</f>
        <v>895</v>
      </c>
      <c r="J8" s="120">
        <f>(F8-60)/2-5</f>
        <v>-34.5</v>
      </c>
      <c r="K8" s="120">
        <f>(G8-60)/2-5</f>
        <v>412.5</v>
      </c>
      <c r="L8" s="44">
        <f>F8*2</f>
        <v>2</v>
      </c>
      <c r="M8" s="47">
        <f t="shared" ref="M8:M67" si="1">C8+60</f>
        <v>960</v>
      </c>
      <c r="N8" s="48">
        <v>2</v>
      </c>
      <c r="O8" s="47">
        <f>D8</f>
        <v>900</v>
      </c>
      <c r="P8" s="48">
        <v>2</v>
      </c>
      <c r="Q8" s="49"/>
    </row>
    <row r="9" spans="1:17">
      <c r="A9" s="45" t="str">
        <f>'1. 소켓인수검사'!A10</f>
        <v>02</v>
      </c>
      <c r="B9" s="69" t="s">
        <v>63</v>
      </c>
      <c r="C9" s="29">
        <f>'1. 소켓인수검사'!C10</f>
        <v>900</v>
      </c>
      <c r="D9" s="29">
        <f>'1. 소켓인수검사'!D10</f>
        <v>900</v>
      </c>
      <c r="E9" s="30" t="s">
        <v>43</v>
      </c>
      <c r="F9" s="23">
        <v>1</v>
      </c>
      <c r="G9" s="50">
        <f>(C9)-5</f>
        <v>895</v>
      </c>
      <c r="H9" s="24">
        <v>6</v>
      </c>
      <c r="I9" s="121">
        <f t="shared" si="0"/>
        <v>895</v>
      </c>
      <c r="J9" s="121">
        <f t="shared" ref="J9" si="2">(F9-60)/2-5</f>
        <v>-34.5</v>
      </c>
      <c r="K9" s="121">
        <f t="shared" ref="K9" si="3">(G9-60)/2-5</f>
        <v>412.5</v>
      </c>
      <c r="L9" s="24">
        <f>F9*2</f>
        <v>2</v>
      </c>
      <c r="M9" s="51">
        <f t="shared" si="1"/>
        <v>960</v>
      </c>
      <c r="N9" s="52">
        <v>2</v>
      </c>
      <c r="O9" s="51">
        <f t="shared" ref="O9:O67" si="4">D9</f>
        <v>900</v>
      </c>
      <c r="P9" s="52">
        <v>2</v>
      </c>
      <c r="Q9" s="25"/>
    </row>
    <row r="10" spans="1:17">
      <c r="A10" s="45" t="str">
        <f>'1. 소켓인수검사'!A11</f>
        <v>03</v>
      </c>
      <c r="B10" s="69" t="s">
        <v>63</v>
      </c>
      <c r="C10" s="29">
        <f>'1. 소켓인수검사'!C11</f>
        <v>900</v>
      </c>
      <c r="D10" s="29">
        <f>'1. 소켓인수검사'!D11</f>
        <v>900</v>
      </c>
      <c r="E10" s="30" t="s">
        <v>43</v>
      </c>
      <c r="F10" s="23">
        <v>1</v>
      </c>
      <c r="G10" s="50">
        <f t="shared" ref="G10:G67" si="5">(C10)-5</f>
        <v>895</v>
      </c>
      <c r="H10" s="24">
        <v>6</v>
      </c>
      <c r="I10" s="121">
        <f t="shared" si="0"/>
        <v>895</v>
      </c>
      <c r="J10" s="121">
        <f t="shared" ref="J10:J67" si="6">(F10-60)/2-5</f>
        <v>-34.5</v>
      </c>
      <c r="K10" s="121">
        <f t="shared" ref="K10:K67" si="7">(G10-60)/2-5</f>
        <v>412.5</v>
      </c>
      <c r="L10" s="24">
        <f t="shared" ref="L10:L67" si="8">F10*2</f>
        <v>2</v>
      </c>
      <c r="M10" s="51">
        <f t="shared" si="1"/>
        <v>960</v>
      </c>
      <c r="N10" s="52">
        <v>2</v>
      </c>
      <c r="O10" s="51">
        <f t="shared" si="4"/>
        <v>900</v>
      </c>
      <c r="P10" s="52">
        <v>2</v>
      </c>
      <c r="Q10" s="25"/>
    </row>
    <row r="11" spans="1:17">
      <c r="A11" s="45" t="str">
        <f>'1. 소켓인수검사'!A12</f>
        <v>04</v>
      </c>
      <c r="B11" s="68" t="s">
        <v>63</v>
      </c>
      <c r="C11" s="29">
        <f>'1. 소켓인수검사'!C12</f>
        <v>900</v>
      </c>
      <c r="D11" s="29">
        <f>'1. 소켓인수검사'!D12</f>
        <v>900</v>
      </c>
      <c r="E11" s="30" t="s">
        <v>43</v>
      </c>
      <c r="F11" s="23">
        <v>1</v>
      </c>
      <c r="G11" s="50">
        <f t="shared" si="5"/>
        <v>895</v>
      </c>
      <c r="H11" s="24">
        <v>6</v>
      </c>
      <c r="I11" s="121">
        <f t="shared" si="0"/>
        <v>895</v>
      </c>
      <c r="J11" s="121">
        <f t="shared" si="6"/>
        <v>-34.5</v>
      </c>
      <c r="K11" s="121">
        <f t="shared" si="7"/>
        <v>412.5</v>
      </c>
      <c r="L11" s="24">
        <f t="shared" si="8"/>
        <v>2</v>
      </c>
      <c r="M11" s="51">
        <f t="shared" si="1"/>
        <v>960</v>
      </c>
      <c r="N11" s="52">
        <v>2</v>
      </c>
      <c r="O11" s="51">
        <f t="shared" si="4"/>
        <v>900</v>
      </c>
      <c r="P11" s="52">
        <v>2</v>
      </c>
      <c r="Q11" s="25"/>
    </row>
    <row r="12" spans="1:17">
      <c r="A12" s="45" t="str">
        <f>'1. 소켓인수검사'!A13</f>
        <v>05</v>
      </c>
      <c r="B12" s="69" t="s">
        <v>63</v>
      </c>
      <c r="C12" s="29">
        <f>'1. 소켓인수검사'!C13</f>
        <v>900</v>
      </c>
      <c r="D12" s="29">
        <f>'1. 소켓인수검사'!D13</f>
        <v>900</v>
      </c>
      <c r="E12" s="30" t="s">
        <v>43</v>
      </c>
      <c r="F12" s="23">
        <v>1</v>
      </c>
      <c r="G12" s="50">
        <f t="shared" si="5"/>
        <v>895</v>
      </c>
      <c r="H12" s="24">
        <v>6</v>
      </c>
      <c r="I12" s="121">
        <f t="shared" si="0"/>
        <v>895</v>
      </c>
      <c r="J12" s="121">
        <f t="shared" si="6"/>
        <v>-34.5</v>
      </c>
      <c r="K12" s="121">
        <f t="shared" si="7"/>
        <v>412.5</v>
      </c>
      <c r="L12" s="24">
        <f t="shared" si="8"/>
        <v>2</v>
      </c>
      <c r="M12" s="51">
        <f t="shared" si="1"/>
        <v>960</v>
      </c>
      <c r="N12" s="52">
        <v>2</v>
      </c>
      <c r="O12" s="51">
        <f t="shared" si="4"/>
        <v>900</v>
      </c>
      <c r="P12" s="52">
        <v>2</v>
      </c>
      <c r="Q12" s="25"/>
    </row>
    <row r="13" spans="1:17">
      <c r="A13" s="45" t="str">
        <f>'1. 소켓인수검사'!A14</f>
        <v>06</v>
      </c>
      <c r="B13" s="69" t="s">
        <v>63</v>
      </c>
      <c r="C13" s="29">
        <f>'1. 소켓인수검사'!C14</f>
        <v>900</v>
      </c>
      <c r="D13" s="29">
        <f>'1. 소켓인수검사'!D14</f>
        <v>900</v>
      </c>
      <c r="E13" s="30" t="s">
        <v>43</v>
      </c>
      <c r="F13" s="23">
        <v>1</v>
      </c>
      <c r="G13" s="50">
        <f t="shared" si="5"/>
        <v>895</v>
      </c>
      <c r="H13" s="24">
        <v>6</v>
      </c>
      <c r="I13" s="121">
        <f t="shared" si="0"/>
        <v>895</v>
      </c>
      <c r="J13" s="121">
        <f t="shared" si="6"/>
        <v>-34.5</v>
      </c>
      <c r="K13" s="121">
        <f t="shared" si="7"/>
        <v>412.5</v>
      </c>
      <c r="L13" s="24">
        <f t="shared" si="8"/>
        <v>2</v>
      </c>
      <c r="M13" s="51">
        <f t="shared" si="1"/>
        <v>960</v>
      </c>
      <c r="N13" s="52">
        <v>2</v>
      </c>
      <c r="O13" s="51">
        <f t="shared" si="4"/>
        <v>900</v>
      </c>
      <c r="P13" s="52">
        <v>2</v>
      </c>
      <c r="Q13" s="25"/>
    </row>
    <row r="14" spans="1:17">
      <c r="A14" s="45" t="str">
        <f>'1. 소켓인수검사'!A15</f>
        <v>07</v>
      </c>
      <c r="B14" s="68" t="s">
        <v>63</v>
      </c>
      <c r="C14" s="29">
        <f>'1. 소켓인수검사'!C15</f>
        <v>900</v>
      </c>
      <c r="D14" s="29">
        <f>'1. 소켓인수검사'!D15</f>
        <v>900</v>
      </c>
      <c r="E14" s="30" t="s">
        <v>43</v>
      </c>
      <c r="F14" s="23">
        <v>1</v>
      </c>
      <c r="G14" s="50">
        <f t="shared" si="5"/>
        <v>895</v>
      </c>
      <c r="H14" s="24">
        <v>6</v>
      </c>
      <c r="I14" s="121">
        <f t="shared" si="0"/>
        <v>895</v>
      </c>
      <c r="J14" s="121">
        <f t="shared" si="6"/>
        <v>-34.5</v>
      </c>
      <c r="K14" s="121">
        <f t="shared" si="7"/>
        <v>412.5</v>
      </c>
      <c r="L14" s="24">
        <f t="shared" si="8"/>
        <v>2</v>
      </c>
      <c r="M14" s="51">
        <f t="shared" si="1"/>
        <v>960</v>
      </c>
      <c r="N14" s="52">
        <v>2</v>
      </c>
      <c r="O14" s="51">
        <f t="shared" si="4"/>
        <v>900</v>
      </c>
      <c r="P14" s="52">
        <v>2</v>
      </c>
      <c r="Q14" s="25"/>
    </row>
    <row r="15" spans="1:17">
      <c r="A15" s="45" t="str">
        <f>'1. 소켓인수검사'!A16</f>
        <v>08</v>
      </c>
      <c r="B15" s="69" t="s">
        <v>63</v>
      </c>
      <c r="C15" s="29">
        <f>'1. 소켓인수검사'!C16</f>
        <v>900</v>
      </c>
      <c r="D15" s="29">
        <f>'1. 소켓인수검사'!D16</f>
        <v>900</v>
      </c>
      <c r="E15" s="30" t="s">
        <v>43</v>
      </c>
      <c r="F15" s="23">
        <v>1</v>
      </c>
      <c r="G15" s="50">
        <f t="shared" si="5"/>
        <v>895</v>
      </c>
      <c r="H15" s="24">
        <v>6</v>
      </c>
      <c r="I15" s="121">
        <f t="shared" si="0"/>
        <v>895</v>
      </c>
      <c r="J15" s="121">
        <f t="shared" si="6"/>
        <v>-34.5</v>
      </c>
      <c r="K15" s="121">
        <f t="shared" si="7"/>
        <v>412.5</v>
      </c>
      <c r="L15" s="24">
        <f t="shared" si="8"/>
        <v>2</v>
      </c>
      <c r="M15" s="51">
        <f t="shared" si="1"/>
        <v>960</v>
      </c>
      <c r="N15" s="52">
        <v>2</v>
      </c>
      <c r="O15" s="51">
        <f t="shared" si="4"/>
        <v>900</v>
      </c>
      <c r="P15" s="52">
        <v>2</v>
      </c>
      <c r="Q15" s="25"/>
    </row>
    <row r="16" spans="1:17">
      <c r="A16" s="45" t="str">
        <f>'1. 소켓인수검사'!A17</f>
        <v>09</v>
      </c>
      <c r="B16" s="69" t="s">
        <v>63</v>
      </c>
      <c r="C16" s="29">
        <f>'1. 소켓인수검사'!C17</f>
        <v>900</v>
      </c>
      <c r="D16" s="29">
        <f>'1. 소켓인수검사'!D17</f>
        <v>900</v>
      </c>
      <c r="E16" s="30" t="s">
        <v>43</v>
      </c>
      <c r="F16" s="23">
        <v>1</v>
      </c>
      <c r="G16" s="50">
        <f t="shared" si="5"/>
        <v>895</v>
      </c>
      <c r="H16" s="24">
        <v>6</v>
      </c>
      <c r="I16" s="121">
        <f t="shared" si="0"/>
        <v>895</v>
      </c>
      <c r="J16" s="121">
        <f t="shared" si="6"/>
        <v>-34.5</v>
      </c>
      <c r="K16" s="121">
        <f t="shared" si="7"/>
        <v>412.5</v>
      </c>
      <c r="L16" s="24">
        <f t="shared" si="8"/>
        <v>2</v>
      </c>
      <c r="M16" s="51">
        <f t="shared" si="1"/>
        <v>960</v>
      </c>
      <c r="N16" s="52">
        <v>2</v>
      </c>
      <c r="O16" s="51">
        <f t="shared" si="4"/>
        <v>900</v>
      </c>
      <c r="P16" s="52">
        <v>2</v>
      </c>
      <c r="Q16" s="25"/>
    </row>
    <row r="17" spans="1:17">
      <c r="A17" s="45" t="str">
        <f>'1. 소켓인수검사'!A18</f>
        <v>10</v>
      </c>
      <c r="B17" s="68" t="s">
        <v>63</v>
      </c>
      <c r="C17" s="29">
        <f>'1. 소켓인수검사'!C18</f>
        <v>900</v>
      </c>
      <c r="D17" s="29">
        <f>'1. 소켓인수검사'!D18</f>
        <v>900</v>
      </c>
      <c r="E17" s="30" t="s">
        <v>43</v>
      </c>
      <c r="F17" s="23">
        <v>1</v>
      </c>
      <c r="G17" s="50">
        <f t="shared" si="5"/>
        <v>895</v>
      </c>
      <c r="H17" s="24">
        <v>6</v>
      </c>
      <c r="I17" s="121">
        <f t="shared" si="0"/>
        <v>895</v>
      </c>
      <c r="J17" s="121">
        <f t="shared" si="6"/>
        <v>-34.5</v>
      </c>
      <c r="K17" s="121">
        <f t="shared" si="7"/>
        <v>412.5</v>
      </c>
      <c r="L17" s="24">
        <f t="shared" si="8"/>
        <v>2</v>
      </c>
      <c r="M17" s="51">
        <f t="shared" si="1"/>
        <v>960</v>
      </c>
      <c r="N17" s="52">
        <v>2</v>
      </c>
      <c r="O17" s="51">
        <f t="shared" si="4"/>
        <v>900</v>
      </c>
      <c r="P17" s="52">
        <v>2</v>
      </c>
      <c r="Q17" s="25"/>
    </row>
    <row r="18" spans="1:17">
      <c r="A18" s="45" t="str">
        <f>'1. 소켓인수검사'!A19</f>
        <v>11</v>
      </c>
      <c r="B18" s="69" t="s">
        <v>63</v>
      </c>
      <c r="C18" s="29">
        <f>'1. 소켓인수검사'!C19</f>
        <v>900</v>
      </c>
      <c r="D18" s="29">
        <f>'1. 소켓인수검사'!D19</f>
        <v>900</v>
      </c>
      <c r="E18" s="30" t="s">
        <v>43</v>
      </c>
      <c r="F18" s="23">
        <v>1</v>
      </c>
      <c r="G18" s="50">
        <f t="shared" si="5"/>
        <v>895</v>
      </c>
      <c r="H18" s="24">
        <v>6</v>
      </c>
      <c r="I18" s="121">
        <f t="shared" si="0"/>
        <v>895</v>
      </c>
      <c r="J18" s="121">
        <f t="shared" si="6"/>
        <v>-34.5</v>
      </c>
      <c r="K18" s="121">
        <f t="shared" si="7"/>
        <v>412.5</v>
      </c>
      <c r="L18" s="24">
        <f t="shared" si="8"/>
        <v>2</v>
      </c>
      <c r="M18" s="51">
        <f t="shared" si="1"/>
        <v>960</v>
      </c>
      <c r="N18" s="52">
        <v>2</v>
      </c>
      <c r="O18" s="51">
        <f t="shared" si="4"/>
        <v>900</v>
      </c>
      <c r="P18" s="52">
        <v>2</v>
      </c>
      <c r="Q18" s="25"/>
    </row>
    <row r="19" spans="1:17">
      <c r="A19" s="45" t="str">
        <f>'1. 소켓인수검사'!A20</f>
        <v>12</v>
      </c>
      <c r="B19" s="69" t="s">
        <v>63</v>
      </c>
      <c r="C19" s="29">
        <f>'1. 소켓인수검사'!C20</f>
        <v>900</v>
      </c>
      <c r="D19" s="29">
        <f>'1. 소켓인수검사'!D20</f>
        <v>900</v>
      </c>
      <c r="E19" s="30" t="s">
        <v>43</v>
      </c>
      <c r="F19" s="23">
        <v>1</v>
      </c>
      <c r="G19" s="50">
        <f t="shared" si="5"/>
        <v>895</v>
      </c>
      <c r="H19" s="24">
        <v>6</v>
      </c>
      <c r="I19" s="121">
        <f t="shared" si="0"/>
        <v>895</v>
      </c>
      <c r="J19" s="121">
        <f t="shared" si="6"/>
        <v>-34.5</v>
      </c>
      <c r="K19" s="121">
        <f t="shared" si="7"/>
        <v>412.5</v>
      </c>
      <c r="L19" s="24">
        <f t="shared" si="8"/>
        <v>2</v>
      </c>
      <c r="M19" s="51">
        <f t="shared" si="1"/>
        <v>960</v>
      </c>
      <c r="N19" s="52">
        <v>2</v>
      </c>
      <c r="O19" s="51">
        <f t="shared" si="4"/>
        <v>900</v>
      </c>
      <c r="P19" s="52">
        <v>2</v>
      </c>
      <c r="Q19" s="25"/>
    </row>
    <row r="20" spans="1:17">
      <c r="A20" s="45" t="str">
        <f>'1. 소켓인수검사'!A21</f>
        <v>13</v>
      </c>
      <c r="B20" s="68" t="s">
        <v>63</v>
      </c>
      <c r="C20" s="29">
        <f>'1. 소켓인수검사'!C21</f>
        <v>900</v>
      </c>
      <c r="D20" s="29">
        <f>'1. 소켓인수검사'!D21</f>
        <v>900</v>
      </c>
      <c r="E20" s="30" t="s">
        <v>43</v>
      </c>
      <c r="F20" s="23">
        <v>1</v>
      </c>
      <c r="G20" s="50">
        <f t="shared" si="5"/>
        <v>895</v>
      </c>
      <c r="H20" s="24">
        <v>6</v>
      </c>
      <c r="I20" s="121">
        <f t="shared" si="0"/>
        <v>895</v>
      </c>
      <c r="J20" s="121">
        <f t="shared" si="6"/>
        <v>-34.5</v>
      </c>
      <c r="K20" s="121">
        <f t="shared" si="7"/>
        <v>412.5</v>
      </c>
      <c r="L20" s="24">
        <f t="shared" si="8"/>
        <v>2</v>
      </c>
      <c r="M20" s="51">
        <f t="shared" si="1"/>
        <v>960</v>
      </c>
      <c r="N20" s="52">
        <v>2</v>
      </c>
      <c r="O20" s="51">
        <f t="shared" si="4"/>
        <v>900</v>
      </c>
      <c r="P20" s="52">
        <v>2</v>
      </c>
      <c r="Q20" s="25"/>
    </row>
    <row r="21" spans="1:17">
      <c r="A21" s="45" t="str">
        <f>'1. 소켓인수검사'!A22</f>
        <v>14</v>
      </c>
      <c r="B21" s="69" t="s">
        <v>63</v>
      </c>
      <c r="C21" s="29">
        <f>'1. 소켓인수검사'!C22</f>
        <v>900</v>
      </c>
      <c r="D21" s="29">
        <f>'1. 소켓인수검사'!D22</f>
        <v>900</v>
      </c>
      <c r="E21" s="30" t="s">
        <v>43</v>
      </c>
      <c r="F21" s="23">
        <v>1</v>
      </c>
      <c r="G21" s="50">
        <f t="shared" si="5"/>
        <v>895</v>
      </c>
      <c r="H21" s="24">
        <v>6</v>
      </c>
      <c r="I21" s="121">
        <f t="shared" si="0"/>
        <v>895</v>
      </c>
      <c r="J21" s="121">
        <f t="shared" si="6"/>
        <v>-34.5</v>
      </c>
      <c r="K21" s="121">
        <f t="shared" si="7"/>
        <v>412.5</v>
      </c>
      <c r="L21" s="24">
        <f t="shared" si="8"/>
        <v>2</v>
      </c>
      <c r="M21" s="51">
        <f t="shared" si="1"/>
        <v>960</v>
      </c>
      <c r="N21" s="52">
        <v>2</v>
      </c>
      <c r="O21" s="51">
        <f t="shared" si="4"/>
        <v>900</v>
      </c>
      <c r="P21" s="52">
        <v>2</v>
      </c>
      <c r="Q21" s="25"/>
    </row>
    <row r="22" spans="1:17">
      <c r="A22" s="45" t="str">
        <f>'1. 소켓인수검사'!A23</f>
        <v>15</v>
      </c>
      <c r="B22" s="69" t="s">
        <v>63</v>
      </c>
      <c r="C22" s="29">
        <f>'1. 소켓인수검사'!C23</f>
        <v>900</v>
      </c>
      <c r="D22" s="29">
        <f>'1. 소켓인수검사'!D23</f>
        <v>900</v>
      </c>
      <c r="E22" s="30" t="s">
        <v>43</v>
      </c>
      <c r="F22" s="23">
        <v>1</v>
      </c>
      <c r="G22" s="50">
        <f t="shared" si="5"/>
        <v>895</v>
      </c>
      <c r="H22" s="24">
        <v>6</v>
      </c>
      <c r="I22" s="121">
        <f t="shared" si="0"/>
        <v>895</v>
      </c>
      <c r="J22" s="121">
        <f t="shared" si="6"/>
        <v>-34.5</v>
      </c>
      <c r="K22" s="121">
        <f t="shared" si="7"/>
        <v>412.5</v>
      </c>
      <c r="L22" s="24">
        <f t="shared" si="8"/>
        <v>2</v>
      </c>
      <c r="M22" s="51">
        <f t="shared" si="1"/>
        <v>960</v>
      </c>
      <c r="N22" s="52">
        <v>2</v>
      </c>
      <c r="O22" s="51">
        <f t="shared" si="4"/>
        <v>900</v>
      </c>
      <c r="P22" s="52">
        <v>2</v>
      </c>
      <c r="Q22" s="25"/>
    </row>
    <row r="23" spans="1:17">
      <c r="A23" s="45" t="str">
        <f>'1. 소켓인수검사'!A24</f>
        <v>16</v>
      </c>
      <c r="B23" s="68" t="s">
        <v>63</v>
      </c>
      <c r="C23" s="29">
        <f>'1. 소켓인수검사'!C24</f>
        <v>900</v>
      </c>
      <c r="D23" s="29">
        <f>'1. 소켓인수검사'!D24</f>
        <v>900</v>
      </c>
      <c r="E23" s="30" t="s">
        <v>43</v>
      </c>
      <c r="F23" s="23">
        <v>1</v>
      </c>
      <c r="G23" s="50">
        <f t="shared" si="5"/>
        <v>895</v>
      </c>
      <c r="H23" s="24">
        <v>6</v>
      </c>
      <c r="I23" s="121">
        <f t="shared" si="0"/>
        <v>895</v>
      </c>
      <c r="J23" s="121">
        <f t="shared" si="6"/>
        <v>-34.5</v>
      </c>
      <c r="K23" s="121">
        <f t="shared" si="7"/>
        <v>412.5</v>
      </c>
      <c r="L23" s="24">
        <f t="shared" si="8"/>
        <v>2</v>
      </c>
      <c r="M23" s="51">
        <f t="shared" si="1"/>
        <v>960</v>
      </c>
      <c r="N23" s="52">
        <v>2</v>
      </c>
      <c r="O23" s="51">
        <f t="shared" si="4"/>
        <v>900</v>
      </c>
      <c r="P23" s="52">
        <v>2</v>
      </c>
      <c r="Q23" s="25"/>
    </row>
    <row r="24" spans="1:17">
      <c r="A24" s="45" t="str">
        <f>'1. 소켓인수검사'!A25</f>
        <v>17</v>
      </c>
      <c r="B24" s="69" t="s">
        <v>63</v>
      </c>
      <c r="C24" s="29">
        <f>'1. 소켓인수검사'!C25</f>
        <v>900</v>
      </c>
      <c r="D24" s="29">
        <f>'1. 소켓인수검사'!D25</f>
        <v>900</v>
      </c>
      <c r="E24" s="30" t="s">
        <v>43</v>
      </c>
      <c r="F24" s="23">
        <v>1</v>
      </c>
      <c r="G24" s="50">
        <f t="shared" si="5"/>
        <v>895</v>
      </c>
      <c r="H24" s="24">
        <v>6</v>
      </c>
      <c r="I24" s="121">
        <f t="shared" si="0"/>
        <v>895</v>
      </c>
      <c r="J24" s="121">
        <f t="shared" si="6"/>
        <v>-34.5</v>
      </c>
      <c r="K24" s="121">
        <f t="shared" si="7"/>
        <v>412.5</v>
      </c>
      <c r="L24" s="24">
        <f t="shared" si="8"/>
        <v>2</v>
      </c>
      <c r="M24" s="51">
        <f t="shared" si="1"/>
        <v>960</v>
      </c>
      <c r="N24" s="52">
        <v>2</v>
      </c>
      <c r="O24" s="51">
        <f t="shared" si="4"/>
        <v>900</v>
      </c>
      <c r="P24" s="52">
        <v>2</v>
      </c>
      <c r="Q24" s="25"/>
    </row>
    <row r="25" spans="1:17">
      <c r="A25" s="45" t="str">
        <f>'1. 소켓인수검사'!A26</f>
        <v>18</v>
      </c>
      <c r="B25" s="69" t="s">
        <v>63</v>
      </c>
      <c r="C25" s="29">
        <f>'1. 소켓인수검사'!C26</f>
        <v>900</v>
      </c>
      <c r="D25" s="29">
        <f>'1. 소켓인수검사'!D26</f>
        <v>900</v>
      </c>
      <c r="E25" s="30" t="s">
        <v>43</v>
      </c>
      <c r="F25" s="23">
        <v>1</v>
      </c>
      <c r="G25" s="50">
        <f t="shared" si="5"/>
        <v>895</v>
      </c>
      <c r="H25" s="24">
        <v>6</v>
      </c>
      <c r="I25" s="121">
        <f t="shared" si="0"/>
        <v>895</v>
      </c>
      <c r="J25" s="121">
        <f t="shared" si="6"/>
        <v>-34.5</v>
      </c>
      <c r="K25" s="121">
        <f t="shared" si="7"/>
        <v>412.5</v>
      </c>
      <c r="L25" s="24">
        <f t="shared" si="8"/>
        <v>2</v>
      </c>
      <c r="M25" s="51">
        <f t="shared" si="1"/>
        <v>960</v>
      </c>
      <c r="N25" s="52">
        <v>2</v>
      </c>
      <c r="O25" s="51">
        <f t="shared" si="4"/>
        <v>900</v>
      </c>
      <c r="P25" s="52">
        <v>2</v>
      </c>
      <c r="Q25" s="25"/>
    </row>
    <row r="26" spans="1:17">
      <c r="A26" s="45" t="str">
        <f>'1. 소켓인수검사'!A27</f>
        <v>19</v>
      </c>
      <c r="B26" s="68" t="s">
        <v>63</v>
      </c>
      <c r="C26" s="29">
        <f>'1. 소켓인수검사'!C27</f>
        <v>900</v>
      </c>
      <c r="D26" s="29">
        <f>'1. 소켓인수검사'!D27</f>
        <v>900</v>
      </c>
      <c r="E26" s="30" t="s">
        <v>43</v>
      </c>
      <c r="F26" s="23">
        <v>1</v>
      </c>
      <c r="G26" s="50">
        <f t="shared" si="5"/>
        <v>895</v>
      </c>
      <c r="H26" s="24">
        <v>6</v>
      </c>
      <c r="I26" s="121">
        <f t="shared" si="0"/>
        <v>895</v>
      </c>
      <c r="J26" s="121">
        <f t="shared" si="6"/>
        <v>-34.5</v>
      </c>
      <c r="K26" s="121">
        <f t="shared" si="7"/>
        <v>412.5</v>
      </c>
      <c r="L26" s="24">
        <f t="shared" si="8"/>
        <v>2</v>
      </c>
      <c r="M26" s="51">
        <f t="shared" si="1"/>
        <v>960</v>
      </c>
      <c r="N26" s="52">
        <v>2</v>
      </c>
      <c r="O26" s="51">
        <f t="shared" si="4"/>
        <v>900</v>
      </c>
      <c r="P26" s="52">
        <v>2</v>
      </c>
      <c r="Q26" s="25"/>
    </row>
    <row r="27" spans="1:17">
      <c r="A27" s="45" t="str">
        <f>'1. 소켓인수검사'!A28</f>
        <v>20</v>
      </c>
      <c r="B27" s="69" t="s">
        <v>63</v>
      </c>
      <c r="C27" s="29">
        <f>'1. 소켓인수검사'!C28</f>
        <v>900</v>
      </c>
      <c r="D27" s="29">
        <f>'1. 소켓인수검사'!D28</f>
        <v>900</v>
      </c>
      <c r="E27" s="30" t="s">
        <v>43</v>
      </c>
      <c r="F27" s="23">
        <v>1</v>
      </c>
      <c r="G27" s="50">
        <f t="shared" si="5"/>
        <v>895</v>
      </c>
      <c r="H27" s="24">
        <v>6</v>
      </c>
      <c r="I27" s="121">
        <f t="shared" si="0"/>
        <v>895</v>
      </c>
      <c r="J27" s="121">
        <f t="shared" si="6"/>
        <v>-34.5</v>
      </c>
      <c r="K27" s="121">
        <f t="shared" si="7"/>
        <v>412.5</v>
      </c>
      <c r="L27" s="24">
        <f t="shared" si="8"/>
        <v>2</v>
      </c>
      <c r="M27" s="51">
        <f t="shared" si="1"/>
        <v>960</v>
      </c>
      <c r="N27" s="52">
        <v>2</v>
      </c>
      <c r="O27" s="51">
        <f t="shared" si="4"/>
        <v>900</v>
      </c>
      <c r="P27" s="52">
        <v>2</v>
      </c>
      <c r="Q27" s="25"/>
    </row>
    <row r="28" spans="1:17">
      <c r="A28" s="45" t="str">
        <f>'1. 소켓인수검사'!A29</f>
        <v>21</v>
      </c>
      <c r="B28" s="69" t="s">
        <v>63</v>
      </c>
      <c r="C28" s="29">
        <f>'1. 소켓인수검사'!C29</f>
        <v>900</v>
      </c>
      <c r="D28" s="29">
        <f>'1. 소켓인수검사'!D29</f>
        <v>900</v>
      </c>
      <c r="E28" s="30" t="s">
        <v>43</v>
      </c>
      <c r="F28" s="23">
        <v>1</v>
      </c>
      <c r="G28" s="50">
        <f t="shared" si="5"/>
        <v>895</v>
      </c>
      <c r="H28" s="24">
        <v>6</v>
      </c>
      <c r="I28" s="121">
        <f t="shared" si="0"/>
        <v>895</v>
      </c>
      <c r="J28" s="121">
        <f t="shared" si="6"/>
        <v>-34.5</v>
      </c>
      <c r="K28" s="121">
        <f t="shared" si="7"/>
        <v>412.5</v>
      </c>
      <c r="L28" s="24">
        <f t="shared" si="8"/>
        <v>2</v>
      </c>
      <c r="M28" s="51">
        <f t="shared" si="1"/>
        <v>960</v>
      </c>
      <c r="N28" s="52">
        <v>2</v>
      </c>
      <c r="O28" s="51">
        <f t="shared" si="4"/>
        <v>900</v>
      </c>
      <c r="P28" s="52">
        <v>2</v>
      </c>
      <c r="Q28" s="25"/>
    </row>
    <row r="29" spans="1:17">
      <c r="A29" s="45" t="str">
        <f>'1. 소켓인수검사'!A30</f>
        <v>22</v>
      </c>
      <c r="B29" s="68" t="s">
        <v>63</v>
      </c>
      <c r="C29" s="29">
        <f>'1. 소켓인수검사'!C30</f>
        <v>900</v>
      </c>
      <c r="D29" s="29">
        <f>'1. 소켓인수검사'!D30</f>
        <v>900</v>
      </c>
      <c r="E29" s="30" t="s">
        <v>43</v>
      </c>
      <c r="F29" s="23">
        <v>1</v>
      </c>
      <c r="G29" s="50">
        <f t="shared" si="5"/>
        <v>895</v>
      </c>
      <c r="H29" s="24">
        <v>6</v>
      </c>
      <c r="I29" s="121">
        <f t="shared" si="0"/>
        <v>895</v>
      </c>
      <c r="J29" s="121">
        <f t="shared" si="6"/>
        <v>-34.5</v>
      </c>
      <c r="K29" s="121">
        <f t="shared" si="7"/>
        <v>412.5</v>
      </c>
      <c r="L29" s="24">
        <f t="shared" si="8"/>
        <v>2</v>
      </c>
      <c r="M29" s="51">
        <f t="shared" si="1"/>
        <v>960</v>
      </c>
      <c r="N29" s="52">
        <v>2</v>
      </c>
      <c r="O29" s="51">
        <f t="shared" si="4"/>
        <v>900</v>
      </c>
      <c r="P29" s="52">
        <v>2</v>
      </c>
      <c r="Q29" s="25"/>
    </row>
    <row r="30" spans="1:17">
      <c r="A30" s="45" t="str">
        <f>'1. 소켓인수검사'!A31</f>
        <v>23</v>
      </c>
      <c r="B30" s="69" t="s">
        <v>63</v>
      </c>
      <c r="C30" s="29">
        <f>'1. 소켓인수검사'!C31</f>
        <v>900</v>
      </c>
      <c r="D30" s="29">
        <f>'1. 소켓인수검사'!D31</f>
        <v>900</v>
      </c>
      <c r="E30" s="30" t="s">
        <v>43</v>
      </c>
      <c r="F30" s="23">
        <v>1</v>
      </c>
      <c r="G30" s="50">
        <f t="shared" si="5"/>
        <v>895</v>
      </c>
      <c r="H30" s="24">
        <v>6</v>
      </c>
      <c r="I30" s="121">
        <f t="shared" si="0"/>
        <v>895</v>
      </c>
      <c r="J30" s="121">
        <f t="shared" si="6"/>
        <v>-34.5</v>
      </c>
      <c r="K30" s="121">
        <f t="shared" si="7"/>
        <v>412.5</v>
      </c>
      <c r="L30" s="24">
        <f t="shared" si="8"/>
        <v>2</v>
      </c>
      <c r="M30" s="51">
        <f t="shared" si="1"/>
        <v>960</v>
      </c>
      <c r="N30" s="52">
        <v>2</v>
      </c>
      <c r="O30" s="51">
        <f t="shared" si="4"/>
        <v>900</v>
      </c>
      <c r="P30" s="52">
        <v>2</v>
      </c>
      <c r="Q30" s="25"/>
    </row>
    <row r="31" spans="1:17">
      <c r="A31" s="45" t="str">
        <f>'1. 소켓인수검사'!A32</f>
        <v>24</v>
      </c>
      <c r="B31" s="69" t="s">
        <v>63</v>
      </c>
      <c r="C31" s="29">
        <f>'1. 소켓인수검사'!C32</f>
        <v>900</v>
      </c>
      <c r="D31" s="29">
        <f>'1. 소켓인수검사'!D32</f>
        <v>900</v>
      </c>
      <c r="E31" s="30" t="s">
        <v>43</v>
      </c>
      <c r="F31" s="23">
        <v>1</v>
      </c>
      <c r="G31" s="50">
        <f t="shared" si="5"/>
        <v>895</v>
      </c>
      <c r="H31" s="24">
        <v>6</v>
      </c>
      <c r="I31" s="121">
        <f t="shared" si="0"/>
        <v>895</v>
      </c>
      <c r="J31" s="121">
        <f t="shared" si="6"/>
        <v>-34.5</v>
      </c>
      <c r="K31" s="121">
        <f t="shared" si="7"/>
        <v>412.5</v>
      </c>
      <c r="L31" s="24">
        <f t="shared" si="8"/>
        <v>2</v>
      </c>
      <c r="M31" s="51">
        <f t="shared" si="1"/>
        <v>960</v>
      </c>
      <c r="N31" s="52">
        <v>2</v>
      </c>
      <c r="O31" s="51">
        <f t="shared" si="4"/>
        <v>900</v>
      </c>
      <c r="P31" s="52">
        <v>2</v>
      </c>
      <c r="Q31" s="25"/>
    </row>
    <row r="32" spans="1:17">
      <c r="A32" s="45" t="str">
        <f>'1. 소켓인수검사'!A33</f>
        <v>25</v>
      </c>
      <c r="B32" s="68" t="s">
        <v>63</v>
      </c>
      <c r="C32" s="29">
        <f>'1. 소켓인수검사'!C33</f>
        <v>900</v>
      </c>
      <c r="D32" s="29">
        <f>'1. 소켓인수검사'!D33</f>
        <v>900</v>
      </c>
      <c r="E32" s="30" t="s">
        <v>43</v>
      </c>
      <c r="F32" s="23">
        <v>1</v>
      </c>
      <c r="G32" s="50">
        <f t="shared" si="5"/>
        <v>895</v>
      </c>
      <c r="H32" s="24">
        <v>6</v>
      </c>
      <c r="I32" s="121">
        <f t="shared" si="0"/>
        <v>895</v>
      </c>
      <c r="J32" s="121">
        <f t="shared" si="6"/>
        <v>-34.5</v>
      </c>
      <c r="K32" s="121">
        <f t="shared" si="7"/>
        <v>412.5</v>
      </c>
      <c r="L32" s="24">
        <f t="shared" si="8"/>
        <v>2</v>
      </c>
      <c r="M32" s="51">
        <f t="shared" si="1"/>
        <v>960</v>
      </c>
      <c r="N32" s="52">
        <v>2</v>
      </c>
      <c r="O32" s="51">
        <f t="shared" si="4"/>
        <v>900</v>
      </c>
      <c r="P32" s="52">
        <v>2</v>
      </c>
      <c r="Q32" s="25"/>
    </row>
    <row r="33" spans="1:17">
      <c r="A33" s="45" t="str">
        <f>'1. 소켓인수검사'!A34</f>
        <v>26</v>
      </c>
      <c r="B33" s="69" t="s">
        <v>63</v>
      </c>
      <c r="C33" s="29">
        <f>'1. 소켓인수검사'!C34</f>
        <v>900</v>
      </c>
      <c r="D33" s="29">
        <f>'1. 소켓인수검사'!D34</f>
        <v>900</v>
      </c>
      <c r="E33" s="30" t="s">
        <v>43</v>
      </c>
      <c r="F33" s="23">
        <v>1</v>
      </c>
      <c r="G33" s="50">
        <f t="shared" si="5"/>
        <v>895</v>
      </c>
      <c r="H33" s="24">
        <v>6</v>
      </c>
      <c r="I33" s="121">
        <f t="shared" si="0"/>
        <v>895</v>
      </c>
      <c r="J33" s="121">
        <f t="shared" si="6"/>
        <v>-34.5</v>
      </c>
      <c r="K33" s="121">
        <f t="shared" si="7"/>
        <v>412.5</v>
      </c>
      <c r="L33" s="24">
        <f t="shared" si="8"/>
        <v>2</v>
      </c>
      <c r="M33" s="51">
        <f t="shared" si="1"/>
        <v>960</v>
      </c>
      <c r="N33" s="52">
        <v>2</v>
      </c>
      <c r="O33" s="51">
        <f t="shared" si="4"/>
        <v>900</v>
      </c>
      <c r="P33" s="52">
        <v>2</v>
      </c>
      <c r="Q33" s="25"/>
    </row>
    <row r="34" spans="1:17">
      <c r="A34" s="45" t="str">
        <f>'1. 소켓인수검사'!A35</f>
        <v>27</v>
      </c>
      <c r="B34" s="69" t="s">
        <v>63</v>
      </c>
      <c r="C34" s="29">
        <f>'1. 소켓인수검사'!C35</f>
        <v>900</v>
      </c>
      <c r="D34" s="29">
        <f>'1. 소켓인수검사'!D35</f>
        <v>900</v>
      </c>
      <c r="E34" s="30" t="s">
        <v>43</v>
      </c>
      <c r="F34" s="23">
        <v>1</v>
      </c>
      <c r="G34" s="50">
        <f t="shared" si="5"/>
        <v>895</v>
      </c>
      <c r="H34" s="24">
        <v>6</v>
      </c>
      <c r="I34" s="121">
        <f t="shared" si="0"/>
        <v>895</v>
      </c>
      <c r="J34" s="121">
        <f t="shared" si="6"/>
        <v>-34.5</v>
      </c>
      <c r="K34" s="121">
        <f t="shared" si="7"/>
        <v>412.5</v>
      </c>
      <c r="L34" s="24">
        <f t="shared" si="8"/>
        <v>2</v>
      </c>
      <c r="M34" s="51">
        <f t="shared" si="1"/>
        <v>960</v>
      </c>
      <c r="N34" s="52">
        <v>2</v>
      </c>
      <c r="O34" s="51">
        <f t="shared" si="4"/>
        <v>900</v>
      </c>
      <c r="P34" s="52">
        <v>2</v>
      </c>
      <c r="Q34" s="25"/>
    </row>
    <row r="35" spans="1:17">
      <c r="A35" s="45" t="str">
        <f>'1. 소켓인수검사'!A36</f>
        <v>28</v>
      </c>
      <c r="B35" s="68" t="s">
        <v>63</v>
      </c>
      <c r="C35" s="29">
        <f>'1. 소켓인수검사'!C36</f>
        <v>900</v>
      </c>
      <c r="D35" s="29">
        <f>'1. 소켓인수검사'!D36</f>
        <v>900</v>
      </c>
      <c r="E35" s="30" t="s">
        <v>43</v>
      </c>
      <c r="F35" s="23">
        <v>1</v>
      </c>
      <c r="G35" s="50">
        <f t="shared" si="5"/>
        <v>895</v>
      </c>
      <c r="H35" s="24">
        <v>6</v>
      </c>
      <c r="I35" s="121">
        <f t="shared" si="0"/>
        <v>895</v>
      </c>
      <c r="J35" s="121">
        <f t="shared" si="6"/>
        <v>-34.5</v>
      </c>
      <c r="K35" s="121">
        <f t="shared" si="7"/>
        <v>412.5</v>
      </c>
      <c r="L35" s="24">
        <f t="shared" si="8"/>
        <v>2</v>
      </c>
      <c r="M35" s="51">
        <f t="shared" si="1"/>
        <v>960</v>
      </c>
      <c r="N35" s="52">
        <v>2</v>
      </c>
      <c r="O35" s="51">
        <f t="shared" si="4"/>
        <v>900</v>
      </c>
      <c r="P35" s="52">
        <v>2</v>
      </c>
      <c r="Q35" s="25"/>
    </row>
    <row r="36" spans="1:17">
      <c r="A36" s="45" t="str">
        <f>'1. 소켓인수검사'!A37</f>
        <v>29</v>
      </c>
      <c r="B36" s="69" t="s">
        <v>63</v>
      </c>
      <c r="C36" s="29">
        <f>'1. 소켓인수검사'!C37</f>
        <v>900</v>
      </c>
      <c r="D36" s="29">
        <f>'1. 소켓인수검사'!D37</f>
        <v>900</v>
      </c>
      <c r="E36" s="30" t="s">
        <v>43</v>
      </c>
      <c r="F36" s="23">
        <v>1</v>
      </c>
      <c r="G36" s="50">
        <f t="shared" si="5"/>
        <v>895</v>
      </c>
      <c r="H36" s="24">
        <v>6</v>
      </c>
      <c r="I36" s="121">
        <f t="shared" si="0"/>
        <v>895</v>
      </c>
      <c r="J36" s="121">
        <f t="shared" si="6"/>
        <v>-34.5</v>
      </c>
      <c r="K36" s="121">
        <f t="shared" si="7"/>
        <v>412.5</v>
      </c>
      <c r="L36" s="24">
        <f t="shared" si="8"/>
        <v>2</v>
      </c>
      <c r="M36" s="51">
        <f t="shared" si="1"/>
        <v>960</v>
      </c>
      <c r="N36" s="52">
        <v>2</v>
      </c>
      <c r="O36" s="51">
        <f t="shared" si="4"/>
        <v>900</v>
      </c>
      <c r="P36" s="52">
        <v>2</v>
      </c>
      <c r="Q36" s="25"/>
    </row>
    <row r="37" spans="1:17">
      <c r="A37" s="45" t="str">
        <f>'1. 소켓인수검사'!A38</f>
        <v>30</v>
      </c>
      <c r="B37" s="69" t="s">
        <v>63</v>
      </c>
      <c r="C37" s="29">
        <f>'1. 소켓인수검사'!C38</f>
        <v>900</v>
      </c>
      <c r="D37" s="29">
        <f>'1. 소켓인수검사'!D38</f>
        <v>900</v>
      </c>
      <c r="E37" s="30" t="s">
        <v>43</v>
      </c>
      <c r="F37" s="23">
        <v>1</v>
      </c>
      <c r="G37" s="50">
        <f t="shared" si="5"/>
        <v>895</v>
      </c>
      <c r="H37" s="24">
        <v>6</v>
      </c>
      <c r="I37" s="121">
        <f t="shared" si="0"/>
        <v>895</v>
      </c>
      <c r="J37" s="121">
        <f t="shared" si="6"/>
        <v>-34.5</v>
      </c>
      <c r="K37" s="121">
        <f t="shared" si="7"/>
        <v>412.5</v>
      </c>
      <c r="L37" s="24">
        <f t="shared" si="8"/>
        <v>2</v>
      </c>
      <c r="M37" s="51">
        <f t="shared" si="1"/>
        <v>960</v>
      </c>
      <c r="N37" s="52">
        <v>2</v>
      </c>
      <c r="O37" s="51">
        <f t="shared" si="4"/>
        <v>900</v>
      </c>
      <c r="P37" s="52">
        <v>2</v>
      </c>
      <c r="Q37" s="25"/>
    </row>
    <row r="38" spans="1:17">
      <c r="A38" s="45" t="str">
        <f>'1. 소켓인수검사'!A39</f>
        <v>31</v>
      </c>
      <c r="B38" s="68" t="s">
        <v>63</v>
      </c>
      <c r="C38" s="29">
        <f>'1. 소켓인수검사'!C39</f>
        <v>900</v>
      </c>
      <c r="D38" s="29">
        <f>'1. 소켓인수검사'!D39</f>
        <v>900</v>
      </c>
      <c r="E38" s="30" t="s">
        <v>43</v>
      </c>
      <c r="F38" s="23">
        <v>1</v>
      </c>
      <c r="G38" s="50">
        <f t="shared" si="5"/>
        <v>895</v>
      </c>
      <c r="H38" s="24">
        <v>6</v>
      </c>
      <c r="I38" s="121">
        <f t="shared" si="0"/>
        <v>895</v>
      </c>
      <c r="J38" s="121">
        <f t="shared" si="6"/>
        <v>-34.5</v>
      </c>
      <c r="K38" s="121">
        <f t="shared" si="7"/>
        <v>412.5</v>
      </c>
      <c r="L38" s="24">
        <f t="shared" si="8"/>
        <v>2</v>
      </c>
      <c r="M38" s="51">
        <f t="shared" si="1"/>
        <v>960</v>
      </c>
      <c r="N38" s="52">
        <v>2</v>
      </c>
      <c r="O38" s="51">
        <f t="shared" si="4"/>
        <v>900</v>
      </c>
      <c r="P38" s="52">
        <v>2</v>
      </c>
      <c r="Q38" s="25"/>
    </row>
    <row r="39" spans="1:17">
      <c r="A39" s="45" t="str">
        <f>'1. 소켓인수검사'!A40</f>
        <v>32</v>
      </c>
      <c r="B39" s="69" t="s">
        <v>63</v>
      </c>
      <c r="C39" s="29">
        <f>'1. 소켓인수검사'!C40</f>
        <v>900</v>
      </c>
      <c r="D39" s="29">
        <f>'1. 소켓인수검사'!D40</f>
        <v>900</v>
      </c>
      <c r="E39" s="30" t="s">
        <v>43</v>
      </c>
      <c r="F39" s="23">
        <v>1</v>
      </c>
      <c r="G39" s="50">
        <f t="shared" si="5"/>
        <v>895</v>
      </c>
      <c r="H39" s="24">
        <v>6</v>
      </c>
      <c r="I39" s="121">
        <f t="shared" si="0"/>
        <v>895</v>
      </c>
      <c r="J39" s="121">
        <f t="shared" si="6"/>
        <v>-34.5</v>
      </c>
      <c r="K39" s="121">
        <f t="shared" si="7"/>
        <v>412.5</v>
      </c>
      <c r="L39" s="24">
        <f t="shared" si="8"/>
        <v>2</v>
      </c>
      <c r="M39" s="51">
        <f t="shared" si="1"/>
        <v>960</v>
      </c>
      <c r="N39" s="52">
        <v>2</v>
      </c>
      <c r="O39" s="51">
        <f t="shared" si="4"/>
        <v>900</v>
      </c>
      <c r="P39" s="52">
        <v>2</v>
      </c>
      <c r="Q39" s="25"/>
    </row>
    <row r="40" spans="1:17">
      <c r="A40" s="45" t="str">
        <f>'1. 소켓인수검사'!A41</f>
        <v>33</v>
      </c>
      <c r="B40" s="69" t="s">
        <v>63</v>
      </c>
      <c r="C40" s="29">
        <f>'1. 소켓인수검사'!C41</f>
        <v>900</v>
      </c>
      <c r="D40" s="29">
        <f>'1. 소켓인수검사'!D41</f>
        <v>900</v>
      </c>
      <c r="E40" s="30" t="s">
        <v>43</v>
      </c>
      <c r="F40" s="23">
        <v>1</v>
      </c>
      <c r="G40" s="50">
        <f t="shared" si="5"/>
        <v>895</v>
      </c>
      <c r="H40" s="24">
        <v>6</v>
      </c>
      <c r="I40" s="121">
        <f t="shared" ref="I40:I67" si="9">(C40-E882)-5</f>
        <v>895</v>
      </c>
      <c r="J40" s="121">
        <f t="shared" si="6"/>
        <v>-34.5</v>
      </c>
      <c r="K40" s="121">
        <f t="shared" si="7"/>
        <v>412.5</v>
      </c>
      <c r="L40" s="24">
        <f t="shared" si="8"/>
        <v>2</v>
      </c>
      <c r="M40" s="51">
        <f t="shared" si="1"/>
        <v>960</v>
      </c>
      <c r="N40" s="52">
        <v>2</v>
      </c>
      <c r="O40" s="51">
        <f t="shared" si="4"/>
        <v>900</v>
      </c>
      <c r="P40" s="52">
        <v>2</v>
      </c>
      <c r="Q40" s="25"/>
    </row>
    <row r="41" spans="1:17">
      <c r="A41" s="45" t="str">
        <f>'1. 소켓인수검사'!A42</f>
        <v>34</v>
      </c>
      <c r="B41" s="68" t="s">
        <v>63</v>
      </c>
      <c r="C41" s="29">
        <f>'1. 소켓인수검사'!C42</f>
        <v>900</v>
      </c>
      <c r="D41" s="29">
        <f>'1. 소켓인수검사'!D42</f>
        <v>900</v>
      </c>
      <c r="E41" s="30" t="s">
        <v>43</v>
      </c>
      <c r="F41" s="23">
        <v>1</v>
      </c>
      <c r="G41" s="50">
        <f t="shared" si="5"/>
        <v>895</v>
      </c>
      <c r="H41" s="24">
        <v>6</v>
      </c>
      <c r="I41" s="121">
        <f t="shared" si="9"/>
        <v>895</v>
      </c>
      <c r="J41" s="121">
        <f t="shared" si="6"/>
        <v>-34.5</v>
      </c>
      <c r="K41" s="121">
        <f t="shared" si="7"/>
        <v>412.5</v>
      </c>
      <c r="L41" s="24">
        <f t="shared" si="8"/>
        <v>2</v>
      </c>
      <c r="M41" s="51">
        <f t="shared" si="1"/>
        <v>960</v>
      </c>
      <c r="N41" s="52">
        <v>2</v>
      </c>
      <c r="O41" s="51">
        <f t="shared" si="4"/>
        <v>900</v>
      </c>
      <c r="P41" s="52">
        <v>2</v>
      </c>
      <c r="Q41" s="25"/>
    </row>
    <row r="42" spans="1:17">
      <c r="A42" s="45" t="str">
        <f>'1. 소켓인수검사'!A43</f>
        <v>35</v>
      </c>
      <c r="B42" s="69" t="s">
        <v>63</v>
      </c>
      <c r="C42" s="29">
        <f>'1. 소켓인수검사'!C43</f>
        <v>900</v>
      </c>
      <c r="D42" s="29">
        <f>'1. 소켓인수검사'!D43</f>
        <v>900</v>
      </c>
      <c r="E42" s="30" t="s">
        <v>43</v>
      </c>
      <c r="F42" s="23">
        <v>1</v>
      </c>
      <c r="G42" s="50">
        <f t="shared" si="5"/>
        <v>895</v>
      </c>
      <c r="H42" s="24">
        <v>6</v>
      </c>
      <c r="I42" s="121">
        <f t="shared" si="9"/>
        <v>895</v>
      </c>
      <c r="J42" s="121">
        <f t="shared" si="6"/>
        <v>-34.5</v>
      </c>
      <c r="K42" s="121">
        <f t="shared" si="7"/>
        <v>412.5</v>
      </c>
      <c r="L42" s="24">
        <f t="shared" si="8"/>
        <v>2</v>
      </c>
      <c r="M42" s="51">
        <f t="shared" si="1"/>
        <v>960</v>
      </c>
      <c r="N42" s="52">
        <v>2</v>
      </c>
      <c r="O42" s="51">
        <f t="shared" si="4"/>
        <v>900</v>
      </c>
      <c r="P42" s="52">
        <v>2</v>
      </c>
      <c r="Q42" s="25"/>
    </row>
    <row r="43" spans="1:17">
      <c r="A43" s="45" t="str">
        <f>'1. 소켓인수검사'!A44</f>
        <v>36</v>
      </c>
      <c r="B43" s="69" t="s">
        <v>63</v>
      </c>
      <c r="C43" s="29">
        <f>'1. 소켓인수검사'!C44</f>
        <v>900</v>
      </c>
      <c r="D43" s="29">
        <f>'1. 소켓인수검사'!D44</f>
        <v>900</v>
      </c>
      <c r="E43" s="30" t="s">
        <v>43</v>
      </c>
      <c r="F43" s="23">
        <v>1</v>
      </c>
      <c r="G43" s="50">
        <f t="shared" si="5"/>
        <v>895</v>
      </c>
      <c r="H43" s="24">
        <v>6</v>
      </c>
      <c r="I43" s="121">
        <f t="shared" si="9"/>
        <v>895</v>
      </c>
      <c r="J43" s="121">
        <f t="shared" si="6"/>
        <v>-34.5</v>
      </c>
      <c r="K43" s="121">
        <f t="shared" si="7"/>
        <v>412.5</v>
      </c>
      <c r="L43" s="24">
        <f t="shared" si="8"/>
        <v>2</v>
      </c>
      <c r="M43" s="51">
        <f t="shared" si="1"/>
        <v>960</v>
      </c>
      <c r="N43" s="52">
        <v>2</v>
      </c>
      <c r="O43" s="51">
        <f t="shared" si="4"/>
        <v>900</v>
      </c>
      <c r="P43" s="52">
        <v>2</v>
      </c>
      <c r="Q43" s="25"/>
    </row>
    <row r="44" spans="1:17">
      <c r="A44" s="45" t="str">
        <f>'1. 소켓인수검사'!A45</f>
        <v>37</v>
      </c>
      <c r="B44" s="68" t="s">
        <v>63</v>
      </c>
      <c r="C44" s="29">
        <f>'1. 소켓인수검사'!C45</f>
        <v>900</v>
      </c>
      <c r="D44" s="29">
        <f>'1. 소켓인수검사'!D45</f>
        <v>900</v>
      </c>
      <c r="E44" s="30" t="s">
        <v>43</v>
      </c>
      <c r="F44" s="23">
        <v>1</v>
      </c>
      <c r="G44" s="50">
        <f t="shared" si="5"/>
        <v>895</v>
      </c>
      <c r="H44" s="24">
        <v>6</v>
      </c>
      <c r="I44" s="121">
        <f t="shared" si="9"/>
        <v>895</v>
      </c>
      <c r="J44" s="121">
        <f t="shared" si="6"/>
        <v>-34.5</v>
      </c>
      <c r="K44" s="121">
        <f t="shared" si="7"/>
        <v>412.5</v>
      </c>
      <c r="L44" s="24">
        <f t="shared" si="8"/>
        <v>2</v>
      </c>
      <c r="M44" s="51">
        <f t="shared" si="1"/>
        <v>960</v>
      </c>
      <c r="N44" s="52">
        <v>2</v>
      </c>
      <c r="O44" s="51">
        <f t="shared" si="4"/>
        <v>900</v>
      </c>
      <c r="P44" s="52">
        <v>2</v>
      </c>
      <c r="Q44" s="25"/>
    </row>
    <row r="45" spans="1:17">
      <c r="A45" s="45" t="str">
        <f>'1. 소켓인수검사'!A46</f>
        <v>38</v>
      </c>
      <c r="B45" s="69" t="s">
        <v>63</v>
      </c>
      <c r="C45" s="29">
        <f>'1. 소켓인수검사'!C46</f>
        <v>900</v>
      </c>
      <c r="D45" s="29">
        <f>'1. 소켓인수검사'!D46</f>
        <v>900</v>
      </c>
      <c r="E45" s="30" t="s">
        <v>43</v>
      </c>
      <c r="F45" s="23">
        <v>1</v>
      </c>
      <c r="G45" s="50">
        <f t="shared" si="5"/>
        <v>895</v>
      </c>
      <c r="H45" s="24">
        <v>6</v>
      </c>
      <c r="I45" s="121">
        <f t="shared" si="9"/>
        <v>895</v>
      </c>
      <c r="J45" s="121">
        <f t="shared" si="6"/>
        <v>-34.5</v>
      </c>
      <c r="K45" s="121">
        <f t="shared" si="7"/>
        <v>412.5</v>
      </c>
      <c r="L45" s="24">
        <f t="shared" si="8"/>
        <v>2</v>
      </c>
      <c r="M45" s="51">
        <f t="shared" si="1"/>
        <v>960</v>
      </c>
      <c r="N45" s="52">
        <v>2</v>
      </c>
      <c r="O45" s="51">
        <f t="shared" si="4"/>
        <v>900</v>
      </c>
      <c r="P45" s="52">
        <v>2</v>
      </c>
      <c r="Q45" s="25"/>
    </row>
    <row r="46" spans="1:17">
      <c r="A46" s="45" t="str">
        <f>'1. 소켓인수검사'!A47</f>
        <v>39</v>
      </c>
      <c r="B46" s="69" t="s">
        <v>63</v>
      </c>
      <c r="C46" s="29">
        <f>'1. 소켓인수검사'!C47</f>
        <v>900</v>
      </c>
      <c r="D46" s="29">
        <f>'1. 소켓인수검사'!D47</f>
        <v>900</v>
      </c>
      <c r="E46" s="30" t="s">
        <v>43</v>
      </c>
      <c r="F46" s="23">
        <v>1</v>
      </c>
      <c r="G46" s="50">
        <f t="shared" si="5"/>
        <v>895</v>
      </c>
      <c r="H46" s="24">
        <v>6</v>
      </c>
      <c r="I46" s="121">
        <f t="shared" si="9"/>
        <v>895</v>
      </c>
      <c r="J46" s="121">
        <f t="shared" si="6"/>
        <v>-34.5</v>
      </c>
      <c r="K46" s="121">
        <f t="shared" si="7"/>
        <v>412.5</v>
      </c>
      <c r="L46" s="24">
        <f t="shared" si="8"/>
        <v>2</v>
      </c>
      <c r="M46" s="51">
        <f t="shared" si="1"/>
        <v>960</v>
      </c>
      <c r="N46" s="52">
        <v>2</v>
      </c>
      <c r="O46" s="51">
        <f t="shared" si="4"/>
        <v>900</v>
      </c>
      <c r="P46" s="52">
        <v>2</v>
      </c>
      <c r="Q46" s="25"/>
    </row>
    <row r="47" spans="1:17">
      <c r="A47" s="45" t="str">
        <f>'1. 소켓인수검사'!A48</f>
        <v>40</v>
      </c>
      <c r="B47" s="68" t="s">
        <v>63</v>
      </c>
      <c r="C47" s="29">
        <f>'1. 소켓인수검사'!C48</f>
        <v>900</v>
      </c>
      <c r="D47" s="29">
        <f>'1. 소켓인수검사'!D48</f>
        <v>900</v>
      </c>
      <c r="E47" s="30" t="s">
        <v>43</v>
      </c>
      <c r="F47" s="23">
        <v>1</v>
      </c>
      <c r="G47" s="50">
        <f t="shared" si="5"/>
        <v>895</v>
      </c>
      <c r="H47" s="24">
        <v>6</v>
      </c>
      <c r="I47" s="121">
        <f t="shared" si="9"/>
        <v>895</v>
      </c>
      <c r="J47" s="121">
        <f t="shared" si="6"/>
        <v>-34.5</v>
      </c>
      <c r="K47" s="121">
        <f t="shared" si="7"/>
        <v>412.5</v>
      </c>
      <c r="L47" s="24">
        <f t="shared" si="8"/>
        <v>2</v>
      </c>
      <c r="M47" s="51">
        <f t="shared" si="1"/>
        <v>960</v>
      </c>
      <c r="N47" s="52">
        <v>2</v>
      </c>
      <c r="O47" s="51">
        <f t="shared" si="4"/>
        <v>900</v>
      </c>
      <c r="P47" s="52">
        <v>2</v>
      </c>
      <c r="Q47" s="25"/>
    </row>
    <row r="48" spans="1:17">
      <c r="A48" s="45" t="str">
        <f>'1. 소켓인수검사'!A49</f>
        <v>41</v>
      </c>
      <c r="B48" s="69" t="s">
        <v>63</v>
      </c>
      <c r="C48" s="29">
        <f>'1. 소켓인수검사'!C49</f>
        <v>900</v>
      </c>
      <c r="D48" s="29">
        <f>'1. 소켓인수검사'!D49</f>
        <v>900</v>
      </c>
      <c r="E48" s="30" t="s">
        <v>43</v>
      </c>
      <c r="F48" s="23">
        <v>1</v>
      </c>
      <c r="G48" s="50">
        <f t="shared" si="5"/>
        <v>895</v>
      </c>
      <c r="H48" s="24">
        <v>6</v>
      </c>
      <c r="I48" s="121">
        <f t="shared" si="9"/>
        <v>895</v>
      </c>
      <c r="J48" s="121">
        <f t="shared" si="6"/>
        <v>-34.5</v>
      </c>
      <c r="K48" s="121">
        <f t="shared" si="7"/>
        <v>412.5</v>
      </c>
      <c r="L48" s="24">
        <f t="shared" si="8"/>
        <v>2</v>
      </c>
      <c r="M48" s="51">
        <f t="shared" si="1"/>
        <v>960</v>
      </c>
      <c r="N48" s="52">
        <v>2</v>
      </c>
      <c r="O48" s="51">
        <f t="shared" si="4"/>
        <v>900</v>
      </c>
      <c r="P48" s="52">
        <v>2</v>
      </c>
      <c r="Q48" s="25"/>
    </row>
    <row r="49" spans="1:17">
      <c r="A49" s="45" t="str">
        <f>'1. 소켓인수검사'!A50</f>
        <v>42</v>
      </c>
      <c r="B49" s="69" t="s">
        <v>63</v>
      </c>
      <c r="C49" s="29">
        <f>'1. 소켓인수검사'!C50</f>
        <v>900</v>
      </c>
      <c r="D49" s="29">
        <f>'1. 소켓인수검사'!D50</f>
        <v>900</v>
      </c>
      <c r="E49" s="30" t="s">
        <v>43</v>
      </c>
      <c r="F49" s="23">
        <v>1</v>
      </c>
      <c r="G49" s="50">
        <f t="shared" si="5"/>
        <v>895</v>
      </c>
      <c r="H49" s="24">
        <v>6</v>
      </c>
      <c r="I49" s="121">
        <f t="shared" si="9"/>
        <v>895</v>
      </c>
      <c r="J49" s="121">
        <f t="shared" si="6"/>
        <v>-34.5</v>
      </c>
      <c r="K49" s="121">
        <f t="shared" si="7"/>
        <v>412.5</v>
      </c>
      <c r="L49" s="24">
        <f t="shared" si="8"/>
        <v>2</v>
      </c>
      <c r="M49" s="51">
        <f t="shared" si="1"/>
        <v>960</v>
      </c>
      <c r="N49" s="52">
        <v>2</v>
      </c>
      <c r="O49" s="51">
        <f t="shared" si="4"/>
        <v>900</v>
      </c>
      <c r="P49" s="52">
        <v>2</v>
      </c>
      <c r="Q49" s="25"/>
    </row>
    <row r="50" spans="1:17">
      <c r="A50" s="45" t="str">
        <f>'1. 소켓인수검사'!A51</f>
        <v>43</v>
      </c>
      <c r="B50" s="68" t="s">
        <v>63</v>
      </c>
      <c r="C50" s="29">
        <f>'1. 소켓인수검사'!C51</f>
        <v>900</v>
      </c>
      <c r="D50" s="29">
        <f>'1. 소켓인수검사'!D51</f>
        <v>900</v>
      </c>
      <c r="E50" s="30" t="s">
        <v>43</v>
      </c>
      <c r="F50" s="23">
        <v>1</v>
      </c>
      <c r="G50" s="50">
        <f t="shared" si="5"/>
        <v>895</v>
      </c>
      <c r="H50" s="24">
        <v>6</v>
      </c>
      <c r="I50" s="121">
        <f t="shared" si="9"/>
        <v>895</v>
      </c>
      <c r="J50" s="121">
        <f t="shared" si="6"/>
        <v>-34.5</v>
      </c>
      <c r="K50" s="121">
        <f t="shared" si="7"/>
        <v>412.5</v>
      </c>
      <c r="L50" s="24">
        <f t="shared" si="8"/>
        <v>2</v>
      </c>
      <c r="M50" s="51">
        <f t="shared" si="1"/>
        <v>960</v>
      </c>
      <c r="N50" s="52">
        <v>2</v>
      </c>
      <c r="O50" s="51">
        <f t="shared" si="4"/>
        <v>900</v>
      </c>
      <c r="P50" s="52">
        <v>2</v>
      </c>
      <c r="Q50" s="25"/>
    </row>
    <row r="51" spans="1:17">
      <c r="A51" s="45" t="str">
        <f>'1. 소켓인수검사'!A52</f>
        <v>44</v>
      </c>
      <c r="B51" s="69" t="s">
        <v>63</v>
      </c>
      <c r="C51" s="29">
        <f>'1. 소켓인수검사'!C52</f>
        <v>900</v>
      </c>
      <c r="D51" s="29">
        <f>'1. 소켓인수검사'!D52</f>
        <v>900</v>
      </c>
      <c r="E51" s="30" t="s">
        <v>43</v>
      </c>
      <c r="F51" s="23">
        <v>1</v>
      </c>
      <c r="G51" s="50">
        <f t="shared" si="5"/>
        <v>895</v>
      </c>
      <c r="H51" s="24">
        <v>6</v>
      </c>
      <c r="I51" s="121">
        <f t="shared" si="9"/>
        <v>895</v>
      </c>
      <c r="J51" s="121">
        <f t="shared" si="6"/>
        <v>-34.5</v>
      </c>
      <c r="K51" s="121">
        <f t="shared" si="7"/>
        <v>412.5</v>
      </c>
      <c r="L51" s="24">
        <f t="shared" si="8"/>
        <v>2</v>
      </c>
      <c r="M51" s="51">
        <f t="shared" si="1"/>
        <v>960</v>
      </c>
      <c r="N51" s="52">
        <v>2</v>
      </c>
      <c r="O51" s="51">
        <f t="shared" si="4"/>
        <v>900</v>
      </c>
      <c r="P51" s="52">
        <v>2</v>
      </c>
      <c r="Q51" s="25"/>
    </row>
    <row r="52" spans="1:17">
      <c r="A52" s="45" t="str">
        <f>'1. 소켓인수검사'!A53</f>
        <v>45</v>
      </c>
      <c r="B52" s="69" t="s">
        <v>63</v>
      </c>
      <c r="C52" s="29">
        <f>'1. 소켓인수검사'!C53</f>
        <v>900</v>
      </c>
      <c r="D52" s="29">
        <f>'1. 소켓인수검사'!D53</f>
        <v>900</v>
      </c>
      <c r="E52" s="30" t="s">
        <v>43</v>
      </c>
      <c r="F52" s="23">
        <v>1</v>
      </c>
      <c r="G52" s="50">
        <f t="shared" si="5"/>
        <v>895</v>
      </c>
      <c r="H52" s="24">
        <v>6</v>
      </c>
      <c r="I52" s="121">
        <f t="shared" si="9"/>
        <v>895</v>
      </c>
      <c r="J52" s="121">
        <f t="shared" si="6"/>
        <v>-34.5</v>
      </c>
      <c r="K52" s="121">
        <f t="shared" si="7"/>
        <v>412.5</v>
      </c>
      <c r="L52" s="24">
        <f t="shared" si="8"/>
        <v>2</v>
      </c>
      <c r="M52" s="51">
        <f t="shared" si="1"/>
        <v>960</v>
      </c>
      <c r="N52" s="52">
        <v>2</v>
      </c>
      <c r="O52" s="51">
        <f t="shared" si="4"/>
        <v>900</v>
      </c>
      <c r="P52" s="52">
        <v>2</v>
      </c>
      <c r="Q52" s="25"/>
    </row>
    <row r="53" spans="1:17">
      <c r="A53" s="45" t="str">
        <f>'1. 소켓인수검사'!A54</f>
        <v>46</v>
      </c>
      <c r="B53" s="68" t="s">
        <v>63</v>
      </c>
      <c r="C53" s="29">
        <f>'1. 소켓인수검사'!C54</f>
        <v>900</v>
      </c>
      <c r="D53" s="29">
        <f>'1. 소켓인수검사'!D54</f>
        <v>900</v>
      </c>
      <c r="E53" s="30" t="s">
        <v>43</v>
      </c>
      <c r="F53" s="23">
        <v>1</v>
      </c>
      <c r="G53" s="50">
        <f t="shared" si="5"/>
        <v>895</v>
      </c>
      <c r="H53" s="24">
        <v>6</v>
      </c>
      <c r="I53" s="121">
        <f t="shared" si="9"/>
        <v>895</v>
      </c>
      <c r="J53" s="121">
        <f t="shared" si="6"/>
        <v>-34.5</v>
      </c>
      <c r="K53" s="121">
        <f t="shared" si="7"/>
        <v>412.5</v>
      </c>
      <c r="L53" s="24">
        <f t="shared" si="8"/>
        <v>2</v>
      </c>
      <c r="M53" s="51">
        <f t="shared" si="1"/>
        <v>960</v>
      </c>
      <c r="N53" s="52">
        <v>2</v>
      </c>
      <c r="O53" s="51">
        <f t="shared" si="4"/>
        <v>900</v>
      </c>
      <c r="P53" s="52">
        <v>2</v>
      </c>
      <c r="Q53" s="25"/>
    </row>
    <row r="54" spans="1:17">
      <c r="A54" s="45" t="str">
        <f>'1. 소켓인수검사'!A55</f>
        <v>47</v>
      </c>
      <c r="B54" s="69" t="s">
        <v>63</v>
      </c>
      <c r="C54" s="29">
        <f>'1. 소켓인수검사'!C55</f>
        <v>900</v>
      </c>
      <c r="D54" s="29">
        <f>'1. 소켓인수검사'!D55</f>
        <v>900</v>
      </c>
      <c r="E54" s="30" t="s">
        <v>43</v>
      </c>
      <c r="F54" s="23">
        <v>1</v>
      </c>
      <c r="G54" s="50">
        <f t="shared" si="5"/>
        <v>895</v>
      </c>
      <c r="H54" s="24">
        <v>6</v>
      </c>
      <c r="I54" s="121">
        <f t="shared" si="9"/>
        <v>895</v>
      </c>
      <c r="J54" s="121">
        <f t="shared" si="6"/>
        <v>-34.5</v>
      </c>
      <c r="K54" s="121">
        <f t="shared" si="7"/>
        <v>412.5</v>
      </c>
      <c r="L54" s="24">
        <f t="shared" si="8"/>
        <v>2</v>
      </c>
      <c r="M54" s="51">
        <f t="shared" si="1"/>
        <v>960</v>
      </c>
      <c r="N54" s="52">
        <v>2</v>
      </c>
      <c r="O54" s="51">
        <f t="shared" si="4"/>
        <v>900</v>
      </c>
      <c r="P54" s="52">
        <v>2</v>
      </c>
      <c r="Q54" s="25"/>
    </row>
    <row r="55" spans="1:17">
      <c r="A55" s="45" t="str">
        <f>'1. 소켓인수검사'!A56</f>
        <v>48</v>
      </c>
      <c r="B55" s="69" t="s">
        <v>63</v>
      </c>
      <c r="C55" s="29">
        <f>'1. 소켓인수검사'!C56</f>
        <v>900</v>
      </c>
      <c r="D55" s="29">
        <f>'1. 소켓인수검사'!D56</f>
        <v>900</v>
      </c>
      <c r="E55" s="30" t="s">
        <v>43</v>
      </c>
      <c r="F55" s="23">
        <v>1</v>
      </c>
      <c r="G55" s="50">
        <f t="shared" si="5"/>
        <v>895</v>
      </c>
      <c r="H55" s="24">
        <v>6</v>
      </c>
      <c r="I55" s="121">
        <f t="shared" si="9"/>
        <v>895</v>
      </c>
      <c r="J55" s="121">
        <f t="shared" si="6"/>
        <v>-34.5</v>
      </c>
      <c r="K55" s="121">
        <f t="shared" si="7"/>
        <v>412.5</v>
      </c>
      <c r="L55" s="24">
        <f t="shared" si="8"/>
        <v>2</v>
      </c>
      <c r="M55" s="51">
        <f t="shared" si="1"/>
        <v>960</v>
      </c>
      <c r="N55" s="52">
        <v>2</v>
      </c>
      <c r="O55" s="51">
        <f t="shared" si="4"/>
        <v>900</v>
      </c>
      <c r="P55" s="52">
        <v>2</v>
      </c>
      <c r="Q55" s="25"/>
    </row>
    <row r="56" spans="1:17">
      <c r="A56" s="45" t="str">
        <f>'1. 소켓인수검사'!A57</f>
        <v>49</v>
      </c>
      <c r="B56" s="68" t="s">
        <v>63</v>
      </c>
      <c r="C56" s="29">
        <f>'1. 소켓인수검사'!C57</f>
        <v>900</v>
      </c>
      <c r="D56" s="29">
        <f>'1. 소켓인수검사'!D57</f>
        <v>900</v>
      </c>
      <c r="E56" s="30" t="s">
        <v>43</v>
      </c>
      <c r="F56" s="23">
        <v>1</v>
      </c>
      <c r="G56" s="50">
        <f t="shared" si="5"/>
        <v>895</v>
      </c>
      <c r="H56" s="24">
        <v>6</v>
      </c>
      <c r="I56" s="121">
        <f t="shared" si="9"/>
        <v>895</v>
      </c>
      <c r="J56" s="121">
        <f t="shared" si="6"/>
        <v>-34.5</v>
      </c>
      <c r="K56" s="121">
        <f t="shared" si="7"/>
        <v>412.5</v>
      </c>
      <c r="L56" s="24">
        <f t="shared" si="8"/>
        <v>2</v>
      </c>
      <c r="M56" s="51">
        <f t="shared" si="1"/>
        <v>960</v>
      </c>
      <c r="N56" s="52">
        <v>2</v>
      </c>
      <c r="O56" s="51">
        <f t="shared" si="4"/>
        <v>900</v>
      </c>
      <c r="P56" s="52">
        <v>2</v>
      </c>
      <c r="Q56" s="25"/>
    </row>
    <row r="57" spans="1:17">
      <c r="A57" s="45" t="str">
        <f>'1. 소켓인수검사'!A58</f>
        <v>50</v>
      </c>
      <c r="B57" s="69" t="s">
        <v>63</v>
      </c>
      <c r="C57" s="29">
        <f>'1. 소켓인수검사'!C58</f>
        <v>900</v>
      </c>
      <c r="D57" s="29">
        <f>'1. 소켓인수검사'!D58</f>
        <v>900</v>
      </c>
      <c r="E57" s="30" t="s">
        <v>43</v>
      </c>
      <c r="F57" s="23">
        <v>1</v>
      </c>
      <c r="G57" s="50">
        <f t="shared" si="5"/>
        <v>895</v>
      </c>
      <c r="H57" s="24">
        <v>6</v>
      </c>
      <c r="I57" s="121">
        <f t="shared" si="9"/>
        <v>895</v>
      </c>
      <c r="J57" s="121">
        <f t="shared" si="6"/>
        <v>-34.5</v>
      </c>
      <c r="K57" s="121">
        <f t="shared" si="7"/>
        <v>412.5</v>
      </c>
      <c r="L57" s="24">
        <f t="shared" si="8"/>
        <v>2</v>
      </c>
      <c r="M57" s="51">
        <f t="shared" si="1"/>
        <v>960</v>
      </c>
      <c r="N57" s="52">
        <v>2</v>
      </c>
      <c r="O57" s="51">
        <f t="shared" si="4"/>
        <v>900</v>
      </c>
      <c r="P57" s="52">
        <v>2</v>
      </c>
      <c r="Q57" s="25"/>
    </row>
    <row r="58" spans="1:17">
      <c r="A58" s="45" t="str">
        <f>'1. 소켓인수검사'!A59</f>
        <v>51</v>
      </c>
      <c r="B58" s="69" t="s">
        <v>63</v>
      </c>
      <c r="C58" s="29">
        <f>'1. 소켓인수검사'!C59</f>
        <v>900</v>
      </c>
      <c r="D58" s="29">
        <f>'1. 소켓인수검사'!D59</f>
        <v>900</v>
      </c>
      <c r="E58" s="30" t="s">
        <v>43</v>
      </c>
      <c r="F58" s="23">
        <v>1</v>
      </c>
      <c r="G58" s="50">
        <f t="shared" si="5"/>
        <v>895</v>
      </c>
      <c r="H58" s="24">
        <v>6</v>
      </c>
      <c r="I58" s="121">
        <f t="shared" si="9"/>
        <v>895</v>
      </c>
      <c r="J58" s="121">
        <f t="shared" si="6"/>
        <v>-34.5</v>
      </c>
      <c r="K58" s="121">
        <f t="shared" si="7"/>
        <v>412.5</v>
      </c>
      <c r="L58" s="24">
        <f t="shared" si="8"/>
        <v>2</v>
      </c>
      <c r="M58" s="51">
        <f t="shared" si="1"/>
        <v>960</v>
      </c>
      <c r="N58" s="52">
        <v>2</v>
      </c>
      <c r="O58" s="51">
        <f t="shared" si="4"/>
        <v>900</v>
      </c>
      <c r="P58" s="52">
        <v>2</v>
      </c>
      <c r="Q58" s="25"/>
    </row>
    <row r="59" spans="1:17">
      <c r="A59" s="45" t="str">
        <f>'1. 소켓인수검사'!A60</f>
        <v>52</v>
      </c>
      <c r="B59" s="68" t="s">
        <v>63</v>
      </c>
      <c r="C59" s="29">
        <f>'1. 소켓인수검사'!C60</f>
        <v>900</v>
      </c>
      <c r="D59" s="29">
        <f>'1. 소켓인수검사'!D60</f>
        <v>900</v>
      </c>
      <c r="E59" s="30" t="s">
        <v>43</v>
      </c>
      <c r="F59" s="23">
        <v>1</v>
      </c>
      <c r="G59" s="50">
        <f t="shared" si="5"/>
        <v>895</v>
      </c>
      <c r="H59" s="24">
        <v>6</v>
      </c>
      <c r="I59" s="121">
        <f t="shared" si="9"/>
        <v>895</v>
      </c>
      <c r="J59" s="121">
        <f t="shared" si="6"/>
        <v>-34.5</v>
      </c>
      <c r="K59" s="121">
        <f t="shared" si="7"/>
        <v>412.5</v>
      </c>
      <c r="L59" s="24">
        <f t="shared" si="8"/>
        <v>2</v>
      </c>
      <c r="M59" s="51">
        <f t="shared" si="1"/>
        <v>960</v>
      </c>
      <c r="N59" s="52">
        <v>2</v>
      </c>
      <c r="O59" s="51">
        <f t="shared" si="4"/>
        <v>900</v>
      </c>
      <c r="P59" s="52">
        <v>2</v>
      </c>
      <c r="Q59" s="25"/>
    </row>
    <row r="60" spans="1:17">
      <c r="A60" s="45" t="str">
        <f>'1. 소켓인수검사'!A61</f>
        <v>53</v>
      </c>
      <c r="B60" s="69" t="s">
        <v>63</v>
      </c>
      <c r="C60" s="29">
        <f>'1. 소켓인수검사'!C61</f>
        <v>900</v>
      </c>
      <c r="D60" s="29">
        <f>'1. 소켓인수검사'!D61</f>
        <v>900</v>
      </c>
      <c r="E60" s="30" t="s">
        <v>43</v>
      </c>
      <c r="F60" s="23">
        <v>1</v>
      </c>
      <c r="G60" s="50">
        <f t="shared" si="5"/>
        <v>895</v>
      </c>
      <c r="H60" s="24">
        <v>6</v>
      </c>
      <c r="I60" s="121">
        <f t="shared" si="9"/>
        <v>895</v>
      </c>
      <c r="J60" s="121">
        <f t="shared" si="6"/>
        <v>-34.5</v>
      </c>
      <c r="K60" s="121">
        <f t="shared" si="7"/>
        <v>412.5</v>
      </c>
      <c r="L60" s="24">
        <f t="shared" si="8"/>
        <v>2</v>
      </c>
      <c r="M60" s="51">
        <f t="shared" si="1"/>
        <v>960</v>
      </c>
      <c r="N60" s="52">
        <v>2</v>
      </c>
      <c r="O60" s="51">
        <f t="shared" si="4"/>
        <v>900</v>
      </c>
      <c r="P60" s="52">
        <v>2</v>
      </c>
      <c r="Q60" s="25"/>
    </row>
    <row r="61" spans="1:17">
      <c r="A61" s="45" t="str">
        <f>'1. 소켓인수검사'!A62</f>
        <v>54</v>
      </c>
      <c r="B61" s="69" t="s">
        <v>63</v>
      </c>
      <c r="C61" s="29">
        <f>'1. 소켓인수검사'!C62</f>
        <v>900</v>
      </c>
      <c r="D61" s="29">
        <f>'1. 소켓인수검사'!D62</f>
        <v>900</v>
      </c>
      <c r="E61" s="30" t="s">
        <v>43</v>
      </c>
      <c r="F61" s="23">
        <v>1</v>
      </c>
      <c r="G61" s="50">
        <f t="shared" si="5"/>
        <v>895</v>
      </c>
      <c r="H61" s="24">
        <v>6</v>
      </c>
      <c r="I61" s="121">
        <f t="shared" si="9"/>
        <v>895</v>
      </c>
      <c r="J61" s="121">
        <f t="shared" si="6"/>
        <v>-34.5</v>
      </c>
      <c r="K61" s="121">
        <f t="shared" si="7"/>
        <v>412.5</v>
      </c>
      <c r="L61" s="24">
        <f t="shared" si="8"/>
        <v>2</v>
      </c>
      <c r="M61" s="51">
        <f t="shared" si="1"/>
        <v>960</v>
      </c>
      <c r="N61" s="52">
        <v>2</v>
      </c>
      <c r="O61" s="51">
        <f t="shared" si="4"/>
        <v>900</v>
      </c>
      <c r="P61" s="52">
        <v>2</v>
      </c>
      <c r="Q61" s="25"/>
    </row>
    <row r="62" spans="1:17">
      <c r="A62" s="45" t="str">
        <f>'1. 소켓인수검사'!A63</f>
        <v>55</v>
      </c>
      <c r="B62" s="68" t="s">
        <v>63</v>
      </c>
      <c r="C62" s="29">
        <f>'1. 소켓인수검사'!C63</f>
        <v>900</v>
      </c>
      <c r="D62" s="29">
        <f>'1. 소켓인수검사'!D63</f>
        <v>900</v>
      </c>
      <c r="E62" s="30" t="s">
        <v>43</v>
      </c>
      <c r="F62" s="23">
        <v>1</v>
      </c>
      <c r="G62" s="50">
        <f t="shared" si="5"/>
        <v>895</v>
      </c>
      <c r="H62" s="24">
        <v>6</v>
      </c>
      <c r="I62" s="121">
        <f t="shared" si="9"/>
        <v>895</v>
      </c>
      <c r="J62" s="121">
        <f t="shared" si="6"/>
        <v>-34.5</v>
      </c>
      <c r="K62" s="121">
        <f t="shared" si="7"/>
        <v>412.5</v>
      </c>
      <c r="L62" s="24">
        <f t="shared" si="8"/>
        <v>2</v>
      </c>
      <c r="M62" s="51">
        <f t="shared" si="1"/>
        <v>960</v>
      </c>
      <c r="N62" s="52">
        <v>2</v>
      </c>
      <c r="O62" s="51">
        <f t="shared" si="4"/>
        <v>900</v>
      </c>
      <c r="P62" s="52">
        <v>2</v>
      </c>
      <c r="Q62" s="25"/>
    </row>
    <row r="63" spans="1:17">
      <c r="A63" s="45" t="str">
        <f>'1. 소켓인수검사'!A64</f>
        <v>56</v>
      </c>
      <c r="B63" s="69" t="s">
        <v>63</v>
      </c>
      <c r="C63" s="29">
        <f>'1. 소켓인수검사'!C64</f>
        <v>900</v>
      </c>
      <c r="D63" s="29">
        <f>'1. 소켓인수검사'!D64</f>
        <v>900</v>
      </c>
      <c r="E63" s="30" t="s">
        <v>43</v>
      </c>
      <c r="F63" s="23">
        <v>1</v>
      </c>
      <c r="G63" s="50">
        <f t="shared" si="5"/>
        <v>895</v>
      </c>
      <c r="H63" s="24">
        <v>6</v>
      </c>
      <c r="I63" s="121">
        <f t="shared" si="9"/>
        <v>895</v>
      </c>
      <c r="J63" s="121">
        <f t="shared" si="6"/>
        <v>-34.5</v>
      </c>
      <c r="K63" s="121">
        <f t="shared" si="7"/>
        <v>412.5</v>
      </c>
      <c r="L63" s="24">
        <f t="shared" si="8"/>
        <v>2</v>
      </c>
      <c r="M63" s="51">
        <f t="shared" si="1"/>
        <v>960</v>
      </c>
      <c r="N63" s="52">
        <v>2</v>
      </c>
      <c r="O63" s="51">
        <f t="shared" si="4"/>
        <v>900</v>
      </c>
      <c r="P63" s="52">
        <v>2</v>
      </c>
      <c r="Q63" s="25"/>
    </row>
    <row r="64" spans="1:17">
      <c r="A64" s="45" t="str">
        <f>'1. 소켓인수검사'!A65</f>
        <v>57</v>
      </c>
      <c r="B64" s="69" t="s">
        <v>63</v>
      </c>
      <c r="C64" s="29">
        <f>'1. 소켓인수검사'!C65</f>
        <v>900</v>
      </c>
      <c r="D64" s="29">
        <f>'1. 소켓인수검사'!D65</f>
        <v>900</v>
      </c>
      <c r="E64" s="30" t="s">
        <v>43</v>
      </c>
      <c r="F64" s="23">
        <v>1</v>
      </c>
      <c r="G64" s="50">
        <f t="shared" si="5"/>
        <v>895</v>
      </c>
      <c r="H64" s="24">
        <v>6</v>
      </c>
      <c r="I64" s="121">
        <f t="shared" si="9"/>
        <v>895</v>
      </c>
      <c r="J64" s="121">
        <f t="shared" si="6"/>
        <v>-34.5</v>
      </c>
      <c r="K64" s="121">
        <f t="shared" si="7"/>
        <v>412.5</v>
      </c>
      <c r="L64" s="24">
        <f t="shared" si="8"/>
        <v>2</v>
      </c>
      <c r="M64" s="51">
        <f t="shared" si="1"/>
        <v>960</v>
      </c>
      <c r="N64" s="52">
        <v>2</v>
      </c>
      <c r="O64" s="51">
        <f t="shared" si="4"/>
        <v>900</v>
      </c>
      <c r="P64" s="52">
        <v>2</v>
      </c>
      <c r="Q64" s="25"/>
    </row>
    <row r="65" spans="1:17">
      <c r="A65" s="45" t="str">
        <f>'1. 소켓인수검사'!A66</f>
        <v>58</v>
      </c>
      <c r="B65" s="68" t="s">
        <v>63</v>
      </c>
      <c r="C65" s="29">
        <f>'1. 소켓인수검사'!C66</f>
        <v>900</v>
      </c>
      <c r="D65" s="29">
        <f>'1. 소켓인수검사'!D66</f>
        <v>900</v>
      </c>
      <c r="E65" s="30" t="s">
        <v>43</v>
      </c>
      <c r="F65" s="23">
        <v>1</v>
      </c>
      <c r="G65" s="50">
        <f t="shared" si="5"/>
        <v>895</v>
      </c>
      <c r="H65" s="24">
        <v>6</v>
      </c>
      <c r="I65" s="121">
        <f t="shared" si="9"/>
        <v>895</v>
      </c>
      <c r="J65" s="121">
        <f t="shared" si="6"/>
        <v>-34.5</v>
      </c>
      <c r="K65" s="121">
        <f t="shared" si="7"/>
        <v>412.5</v>
      </c>
      <c r="L65" s="24">
        <f t="shared" si="8"/>
        <v>2</v>
      </c>
      <c r="M65" s="51">
        <f t="shared" si="1"/>
        <v>960</v>
      </c>
      <c r="N65" s="52">
        <v>2</v>
      </c>
      <c r="O65" s="51">
        <f t="shared" si="4"/>
        <v>900</v>
      </c>
      <c r="P65" s="52">
        <v>2</v>
      </c>
      <c r="Q65" s="25"/>
    </row>
    <row r="66" spans="1:17">
      <c r="A66" s="45" t="str">
        <f>'1. 소켓인수검사'!A67</f>
        <v>59</v>
      </c>
      <c r="B66" s="69" t="s">
        <v>63</v>
      </c>
      <c r="C66" s="29">
        <f>'1. 소켓인수검사'!C67</f>
        <v>900</v>
      </c>
      <c r="D66" s="29">
        <f>'1. 소켓인수검사'!D67</f>
        <v>900</v>
      </c>
      <c r="E66" s="30" t="s">
        <v>43</v>
      </c>
      <c r="F66" s="23">
        <v>1</v>
      </c>
      <c r="G66" s="50">
        <f t="shared" si="5"/>
        <v>895</v>
      </c>
      <c r="H66" s="24">
        <v>6</v>
      </c>
      <c r="I66" s="121">
        <f t="shared" si="9"/>
        <v>895</v>
      </c>
      <c r="J66" s="121">
        <f t="shared" si="6"/>
        <v>-34.5</v>
      </c>
      <c r="K66" s="121">
        <f t="shared" si="7"/>
        <v>412.5</v>
      </c>
      <c r="L66" s="24">
        <f t="shared" si="8"/>
        <v>2</v>
      </c>
      <c r="M66" s="51">
        <f t="shared" si="1"/>
        <v>960</v>
      </c>
      <c r="N66" s="52">
        <v>2</v>
      </c>
      <c r="O66" s="51">
        <f t="shared" si="4"/>
        <v>900</v>
      </c>
      <c r="P66" s="52">
        <v>2</v>
      </c>
      <c r="Q66" s="25"/>
    </row>
    <row r="67" spans="1:17">
      <c r="A67" s="45" t="str">
        <f>'1. 소켓인수검사'!A68</f>
        <v>60</v>
      </c>
      <c r="B67" s="69" t="s">
        <v>63</v>
      </c>
      <c r="C67" s="29">
        <f>'1. 소켓인수검사'!C68</f>
        <v>900</v>
      </c>
      <c r="D67" s="29">
        <f>'1. 소켓인수검사'!D68</f>
        <v>900</v>
      </c>
      <c r="E67" s="30" t="s">
        <v>43</v>
      </c>
      <c r="F67" s="23">
        <v>1</v>
      </c>
      <c r="G67" s="50">
        <f t="shared" si="5"/>
        <v>895</v>
      </c>
      <c r="H67" s="24">
        <v>6</v>
      </c>
      <c r="I67" s="121">
        <f t="shared" si="9"/>
        <v>895</v>
      </c>
      <c r="J67" s="121">
        <f t="shared" si="6"/>
        <v>-34.5</v>
      </c>
      <c r="K67" s="121">
        <f t="shared" si="7"/>
        <v>412.5</v>
      </c>
      <c r="L67" s="24">
        <f t="shared" si="8"/>
        <v>2</v>
      </c>
      <c r="M67" s="51">
        <f t="shared" si="1"/>
        <v>960</v>
      </c>
      <c r="N67" s="52">
        <v>2</v>
      </c>
      <c r="O67" s="51">
        <f t="shared" si="4"/>
        <v>900</v>
      </c>
      <c r="P67" s="52">
        <v>2</v>
      </c>
      <c r="Q67" s="25"/>
    </row>
    <row r="68" spans="1:17">
      <c r="A68" s="131"/>
      <c r="B68" s="132"/>
      <c r="C68" s="132"/>
      <c r="D68" s="66"/>
      <c r="E68" s="39"/>
      <c r="F68" s="39"/>
      <c r="G68" s="53"/>
      <c r="H68" s="54">
        <f>SUM(H8:H67)</f>
        <v>360</v>
      </c>
      <c r="I68" s="136"/>
      <c r="J68" s="137"/>
      <c r="K68" s="138"/>
      <c r="L68" s="54">
        <f>SUM(L8:L67)</f>
        <v>120</v>
      </c>
      <c r="M68" s="66"/>
      <c r="N68" s="54">
        <f>SUM(N8:N67)</f>
        <v>120</v>
      </c>
      <c r="O68" s="66"/>
      <c r="P68" s="54">
        <f>SUM(P8:P67)</f>
        <v>120</v>
      </c>
      <c r="Q68" s="55"/>
    </row>
    <row r="69" spans="1:17" ht="8.1" customHeight="1">
      <c r="A69" s="133"/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5"/>
      <c r="Q69" s="4"/>
    </row>
    <row r="70" spans="1:17">
      <c r="A70" s="101" t="s">
        <v>14</v>
      </c>
      <c r="B70" s="101"/>
      <c r="C70" s="101"/>
      <c r="D70" s="122" t="s">
        <v>197</v>
      </c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4"/>
    </row>
    <row r="71" spans="1:17">
      <c r="A71" s="101"/>
      <c r="B71" s="101"/>
      <c r="C71" s="101"/>
      <c r="D71" s="125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7"/>
    </row>
    <row r="72" spans="1:17">
      <c r="A72" s="101"/>
      <c r="B72" s="101"/>
      <c r="C72" s="101"/>
      <c r="D72" s="125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7"/>
    </row>
    <row r="73" spans="1:17">
      <c r="A73" s="101"/>
      <c r="B73" s="101"/>
      <c r="C73" s="101"/>
      <c r="D73" s="125"/>
      <c r="E73" s="126"/>
      <c r="F73" s="126"/>
      <c r="G73" s="126"/>
      <c r="H73" s="126"/>
      <c r="I73" s="126"/>
      <c r="J73" s="126"/>
      <c r="K73" s="126"/>
      <c r="L73" s="126"/>
      <c r="M73" s="126"/>
      <c r="N73" s="126"/>
      <c r="O73" s="126"/>
      <c r="P73" s="126"/>
      <c r="Q73" s="127"/>
    </row>
    <row r="74" spans="1:17">
      <c r="A74" s="101"/>
      <c r="B74" s="101"/>
      <c r="C74" s="101"/>
      <c r="D74" s="125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7"/>
    </row>
    <row r="75" spans="1:17">
      <c r="A75" s="101"/>
      <c r="B75" s="101"/>
      <c r="C75" s="101"/>
      <c r="D75" s="128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30"/>
    </row>
  </sheetData>
  <mergeCells count="84">
    <mergeCell ref="A70:C75"/>
    <mergeCell ref="D70:Q75"/>
    <mergeCell ref="A68:C68"/>
    <mergeCell ref="A69:P69"/>
    <mergeCell ref="I68:K68"/>
    <mergeCell ref="I65:K65"/>
    <mergeCell ref="I66:K66"/>
    <mergeCell ref="I67:K67"/>
    <mergeCell ref="I60:K60"/>
    <mergeCell ref="I61:K61"/>
    <mergeCell ref="I62:K62"/>
    <mergeCell ref="I63:K63"/>
    <mergeCell ref="I64:K64"/>
    <mergeCell ref="I55:K55"/>
    <mergeCell ref="I56:K56"/>
    <mergeCell ref="I57:K57"/>
    <mergeCell ref="I58:K58"/>
    <mergeCell ref="I59:K59"/>
    <mergeCell ref="I50:K50"/>
    <mergeCell ref="I51:K51"/>
    <mergeCell ref="I52:K52"/>
    <mergeCell ref="I53:K53"/>
    <mergeCell ref="I54:K54"/>
    <mergeCell ref="I45:K45"/>
    <mergeCell ref="I46:K46"/>
    <mergeCell ref="I47:K47"/>
    <mergeCell ref="I48:K48"/>
    <mergeCell ref="I49:K49"/>
    <mergeCell ref="I40:K40"/>
    <mergeCell ref="I41:K41"/>
    <mergeCell ref="I42:K42"/>
    <mergeCell ref="I43:K43"/>
    <mergeCell ref="I44:K44"/>
    <mergeCell ref="I35:K35"/>
    <mergeCell ref="I36:K36"/>
    <mergeCell ref="I37:K37"/>
    <mergeCell ref="I38:K38"/>
    <mergeCell ref="I39:K39"/>
    <mergeCell ref="I30:K30"/>
    <mergeCell ref="I31:K31"/>
    <mergeCell ref="I32:K32"/>
    <mergeCell ref="I33:K33"/>
    <mergeCell ref="I34:K34"/>
    <mergeCell ref="I25:K25"/>
    <mergeCell ref="I26:K26"/>
    <mergeCell ref="I27:K27"/>
    <mergeCell ref="I28:K28"/>
    <mergeCell ref="I29:K29"/>
    <mergeCell ref="I20:K20"/>
    <mergeCell ref="I21:K21"/>
    <mergeCell ref="I22:K22"/>
    <mergeCell ref="I23:K23"/>
    <mergeCell ref="I24:K24"/>
    <mergeCell ref="I15:K15"/>
    <mergeCell ref="I16:K16"/>
    <mergeCell ref="I17:K17"/>
    <mergeCell ref="I18:K18"/>
    <mergeCell ref="I19:K19"/>
    <mergeCell ref="I10:K10"/>
    <mergeCell ref="I11:K11"/>
    <mergeCell ref="I12:K12"/>
    <mergeCell ref="I13:K13"/>
    <mergeCell ref="I14:K14"/>
    <mergeCell ref="M6:N6"/>
    <mergeCell ref="O6:P6"/>
    <mergeCell ref="I7:K7"/>
    <mergeCell ref="I8:K8"/>
    <mergeCell ref="I9:K9"/>
    <mergeCell ref="E1:G3"/>
    <mergeCell ref="H1:Q3"/>
    <mergeCell ref="A1:D3"/>
    <mergeCell ref="A4:P4"/>
    <mergeCell ref="A5:A7"/>
    <mergeCell ref="B5:B7"/>
    <mergeCell ref="C5:D5"/>
    <mergeCell ref="E5:E7"/>
    <mergeCell ref="F5:F7"/>
    <mergeCell ref="G5:L5"/>
    <mergeCell ref="M5:P5"/>
    <mergeCell ref="Q5:Q7"/>
    <mergeCell ref="C6:C7"/>
    <mergeCell ref="D6:D7"/>
    <mergeCell ref="G6:H6"/>
    <mergeCell ref="I6:L6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A1:X77"/>
  <sheetViews>
    <sheetView showGridLines="0" zoomScaleNormal="100" zoomScaleSheetLayoutView="100" workbookViewId="0">
      <selection activeCell="O9" sqref="O9:O10"/>
    </sheetView>
  </sheetViews>
  <sheetFormatPr defaultColWidth="9" defaultRowHeight="16.5"/>
  <cols>
    <col min="1" max="1" width="3.625" style="5" customWidth="1"/>
    <col min="2" max="3" width="7.625" style="5" customWidth="1"/>
    <col min="4" max="4" width="4.625" style="5" customWidth="1"/>
    <col min="5" max="5" width="4.25" style="5" customWidth="1"/>
    <col min="6" max="6" width="6.125" style="5" customWidth="1"/>
    <col min="7" max="7" width="7.25" style="5" customWidth="1"/>
    <col min="8" max="9" width="5.125" style="5" customWidth="1"/>
    <col min="10" max="10" width="6.125" style="5" customWidth="1"/>
    <col min="11" max="13" width="2.5" style="5" customWidth="1"/>
    <col min="14" max="15" width="5.125" style="5" customWidth="1"/>
    <col min="16" max="16" width="6.125" style="5" customWidth="1"/>
    <col min="17" max="18" width="6.375" style="5" customWidth="1"/>
    <col min="19" max="19" width="5.125" style="5" customWidth="1"/>
    <col min="20" max="20" width="6.125" style="5" customWidth="1"/>
    <col min="21" max="23" width="5.125" style="5" customWidth="1"/>
    <col min="24" max="24" width="9.75" style="5" customWidth="1"/>
    <col min="25" max="16384" width="9" style="5"/>
  </cols>
  <sheetData>
    <row r="1" spans="1:24" ht="16.5" customHeight="1">
      <c r="A1" s="101"/>
      <c r="B1" s="101"/>
      <c r="C1" s="101"/>
      <c r="D1" s="101"/>
      <c r="E1" s="168" t="s">
        <v>69</v>
      </c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Q1" s="169"/>
      <c r="R1" s="169"/>
      <c r="S1" s="169"/>
      <c r="T1" s="169"/>
      <c r="U1" s="169"/>
      <c r="V1" s="169"/>
      <c r="W1" s="169"/>
      <c r="X1" s="170"/>
    </row>
    <row r="2" spans="1:24" ht="16.5" customHeight="1">
      <c r="A2" s="101"/>
      <c r="B2" s="101"/>
      <c r="C2" s="101"/>
      <c r="D2" s="101"/>
      <c r="E2" s="171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3"/>
    </row>
    <row r="3" spans="1:24" ht="16.5" customHeight="1">
      <c r="A3" s="101"/>
      <c r="B3" s="101"/>
      <c r="C3" s="101"/>
      <c r="D3" s="101"/>
      <c r="E3" s="171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3"/>
    </row>
    <row r="4" spans="1:24" ht="16.5" customHeight="1">
      <c r="A4" s="101" t="s">
        <v>15</v>
      </c>
      <c r="B4" s="101"/>
      <c r="C4" s="101"/>
      <c r="D4" s="101"/>
      <c r="E4" s="174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6"/>
    </row>
    <row r="5" spans="1:24" ht="16.5" customHeight="1">
      <c r="A5" s="101" t="s">
        <v>24</v>
      </c>
      <c r="B5" s="101"/>
      <c r="C5" s="101"/>
      <c r="D5" s="101"/>
      <c r="E5" s="70" t="s">
        <v>30</v>
      </c>
      <c r="F5" s="6"/>
      <c r="G5" s="101" t="s">
        <v>54</v>
      </c>
      <c r="H5" s="177"/>
      <c r="I5" s="101"/>
      <c r="J5" s="178"/>
      <c r="K5" s="101" t="s">
        <v>70</v>
      </c>
      <c r="L5" s="101"/>
      <c r="M5" s="101"/>
      <c r="N5" s="182" t="str">
        <f>'1. 소켓인수검사'!R2</f>
        <v>26.06.16 웰스홈_우리이앤씨_LT삼보_LX판토스 신항에코 물류센터</v>
      </c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>
      <c r="A6" s="101"/>
      <c r="B6" s="101"/>
      <c r="C6" s="101"/>
      <c r="D6" s="101"/>
      <c r="E6" s="70" t="s">
        <v>27</v>
      </c>
      <c r="F6" s="6"/>
      <c r="G6" s="101"/>
      <c r="H6" s="179"/>
      <c r="I6" s="180"/>
      <c r="J6" s="181"/>
      <c r="K6" s="101"/>
      <c r="L6" s="101"/>
      <c r="M6" s="101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ht="8.1" customHeight="1">
      <c r="A7" s="179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1"/>
    </row>
    <row r="8" spans="1:24" ht="21" customHeight="1">
      <c r="A8" s="101" t="s">
        <v>51</v>
      </c>
      <c r="B8" s="159" t="s">
        <v>4</v>
      </c>
      <c r="C8" s="159"/>
      <c r="D8" s="159" t="s">
        <v>26</v>
      </c>
      <c r="E8" s="159" t="s">
        <v>55</v>
      </c>
      <c r="F8" s="185" t="s">
        <v>25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7"/>
      <c r="X8" s="164" t="s">
        <v>62</v>
      </c>
    </row>
    <row r="9" spans="1:24" ht="21" customHeight="1">
      <c r="A9" s="101"/>
      <c r="B9" s="185" t="s">
        <v>58</v>
      </c>
      <c r="C9" s="159" t="s">
        <v>56</v>
      </c>
      <c r="D9" s="159"/>
      <c r="E9" s="159"/>
      <c r="F9" s="163" t="s">
        <v>52</v>
      </c>
      <c r="G9" s="159" t="s">
        <v>60</v>
      </c>
      <c r="H9" s="159"/>
      <c r="I9" s="160" t="s">
        <v>10</v>
      </c>
      <c r="J9" s="163" t="s">
        <v>52</v>
      </c>
      <c r="K9" s="159" t="s">
        <v>60</v>
      </c>
      <c r="L9" s="159"/>
      <c r="M9" s="159"/>
      <c r="N9" s="159"/>
      <c r="O9" s="160" t="s">
        <v>10</v>
      </c>
      <c r="P9" s="163" t="s">
        <v>52</v>
      </c>
      <c r="Q9" s="159" t="s">
        <v>194</v>
      </c>
      <c r="R9" s="159"/>
      <c r="S9" s="160" t="s">
        <v>10</v>
      </c>
      <c r="T9" s="163" t="s">
        <v>52</v>
      </c>
      <c r="U9" s="159" t="s">
        <v>195</v>
      </c>
      <c r="V9" s="159"/>
      <c r="W9" s="160" t="s">
        <v>10</v>
      </c>
      <c r="X9" s="188"/>
    </row>
    <row r="10" spans="1:24" ht="21" customHeight="1">
      <c r="A10" s="184"/>
      <c r="B10" s="190"/>
      <c r="C10" s="160"/>
      <c r="D10" s="160"/>
      <c r="E10" s="160"/>
      <c r="F10" s="164"/>
      <c r="G10" s="22" t="s">
        <v>4</v>
      </c>
      <c r="H10" s="71" t="s">
        <v>29</v>
      </c>
      <c r="I10" s="161"/>
      <c r="J10" s="164"/>
      <c r="K10" s="165" t="s">
        <v>4</v>
      </c>
      <c r="L10" s="166"/>
      <c r="M10" s="167"/>
      <c r="N10" s="72" t="s">
        <v>29</v>
      </c>
      <c r="O10" s="162"/>
      <c r="P10" s="164"/>
      <c r="Q10" s="22" t="s">
        <v>4</v>
      </c>
      <c r="R10" s="71" t="s">
        <v>29</v>
      </c>
      <c r="S10" s="161"/>
      <c r="T10" s="164"/>
      <c r="U10" s="22" t="s">
        <v>4</v>
      </c>
      <c r="V10" s="71" t="s">
        <v>29</v>
      </c>
      <c r="W10" s="161"/>
      <c r="X10" s="189"/>
    </row>
    <row r="11" spans="1:24" ht="16.5" customHeight="1">
      <c r="A11" s="40" t="str">
        <f>'1. 소켓인수검사'!A9</f>
        <v>01</v>
      </c>
      <c r="B11" s="41">
        <f>'1. 소켓인수검사'!C9</f>
        <v>900</v>
      </c>
      <c r="C11" s="41">
        <f>'1. 소켓인수검사'!D9</f>
        <v>900</v>
      </c>
      <c r="D11" s="44">
        <v>1</v>
      </c>
      <c r="E11" s="44">
        <v>0.6</v>
      </c>
      <c r="F11" s="44">
        <v>60</v>
      </c>
      <c r="G11" s="56">
        <f>(B11)-5</f>
        <v>895</v>
      </c>
      <c r="H11" s="44">
        <v>2</v>
      </c>
      <c r="I11" s="44"/>
      <c r="J11" s="44">
        <v>204</v>
      </c>
      <c r="K11" s="191">
        <f>(B11)-5</f>
        <v>895</v>
      </c>
      <c r="L11" s="191">
        <f>(G11-60)/2-5</f>
        <v>412.5</v>
      </c>
      <c r="M11" s="191">
        <f>(H11-60)/2-5</f>
        <v>-34</v>
      </c>
      <c r="N11" s="44">
        <v>2</v>
      </c>
      <c r="O11" s="44"/>
      <c r="P11" s="44">
        <v>235</v>
      </c>
      <c r="Q11" s="56">
        <f>(B11)-1</f>
        <v>899</v>
      </c>
      <c r="R11" s="24">
        <f>D11*2</f>
        <v>2</v>
      </c>
      <c r="S11" s="44"/>
      <c r="T11" s="44">
        <v>190</v>
      </c>
      <c r="U11" s="56">
        <f>(B11)-1</f>
        <v>899</v>
      </c>
      <c r="V11" s="24">
        <f>D11*2</f>
        <v>2</v>
      </c>
      <c r="W11" s="44"/>
      <c r="X11" s="57">
        <v>0</v>
      </c>
    </row>
    <row r="12" spans="1:24">
      <c r="A12" s="45" t="str">
        <f>'1. 소켓인수검사'!A10</f>
        <v>02</v>
      </c>
      <c r="B12" s="29">
        <f>'1. 소켓인수검사'!C10</f>
        <v>900</v>
      </c>
      <c r="C12" s="29">
        <f>'1. 소켓인수검사'!D10</f>
        <v>900</v>
      </c>
      <c r="D12" s="24">
        <v>1</v>
      </c>
      <c r="E12" s="59"/>
      <c r="F12" s="24">
        <v>60</v>
      </c>
      <c r="G12" s="58">
        <f>(B12)-5</f>
        <v>895</v>
      </c>
      <c r="H12" s="24">
        <v>2</v>
      </c>
      <c r="I12" s="24"/>
      <c r="J12" s="24">
        <v>204</v>
      </c>
      <c r="K12" s="183">
        <f>(B12)-5</f>
        <v>895</v>
      </c>
      <c r="L12" s="183">
        <f t="shared" ref="L12:L70" si="0">(G12-60)/2-5</f>
        <v>412.5</v>
      </c>
      <c r="M12" s="183">
        <f t="shared" ref="M12:M70" si="1">(H12-60)/2-5</f>
        <v>-34</v>
      </c>
      <c r="N12" s="24">
        <v>2</v>
      </c>
      <c r="O12" s="24"/>
      <c r="P12" s="24">
        <v>235</v>
      </c>
      <c r="Q12" s="58">
        <f>(B12)-1</f>
        <v>899</v>
      </c>
      <c r="R12" s="24">
        <f>D12*2</f>
        <v>2</v>
      </c>
      <c r="S12" s="24"/>
      <c r="T12" s="24">
        <v>190</v>
      </c>
      <c r="U12" s="58">
        <f>(B12)-1</f>
        <v>899</v>
      </c>
      <c r="V12" s="24">
        <f>D12*2</f>
        <v>2</v>
      </c>
      <c r="W12" s="24"/>
      <c r="X12" s="26">
        <v>0</v>
      </c>
    </row>
    <row r="13" spans="1:24">
      <c r="A13" s="45" t="str">
        <f>'1. 소켓인수검사'!A11</f>
        <v>03</v>
      </c>
      <c r="B13" s="29">
        <f>'1. 소켓인수검사'!C11</f>
        <v>900</v>
      </c>
      <c r="C13" s="29">
        <f>'1. 소켓인수검사'!D11</f>
        <v>900</v>
      </c>
      <c r="D13" s="24">
        <v>1</v>
      </c>
      <c r="E13" s="59"/>
      <c r="F13" s="24">
        <v>60</v>
      </c>
      <c r="G13" s="58">
        <f t="shared" ref="G13:G70" si="2">(B13)-5</f>
        <v>895</v>
      </c>
      <c r="H13" s="24">
        <v>2</v>
      </c>
      <c r="I13" s="24"/>
      <c r="J13" s="24">
        <v>204</v>
      </c>
      <c r="K13" s="183">
        <f t="shared" ref="K13:K69" si="3">(B13)-5</f>
        <v>895</v>
      </c>
      <c r="L13" s="183">
        <f t="shared" ref="L13:L69" si="4">(G13-60)/2-5</f>
        <v>412.5</v>
      </c>
      <c r="M13" s="183">
        <f t="shared" ref="M13:M69" si="5">(H13-60)/2-5</f>
        <v>-34</v>
      </c>
      <c r="N13" s="24">
        <v>2</v>
      </c>
      <c r="O13" s="24"/>
      <c r="P13" s="24">
        <v>235</v>
      </c>
      <c r="Q13" s="58">
        <f t="shared" ref="Q13:Q69" si="6">(B13)-1</f>
        <v>899</v>
      </c>
      <c r="R13" s="24">
        <f t="shared" ref="R13:R69" si="7">D13*2</f>
        <v>2</v>
      </c>
      <c r="S13" s="24"/>
      <c r="T13" s="24">
        <v>190</v>
      </c>
      <c r="U13" s="58">
        <f t="shared" ref="U13:U69" si="8">(B13)-1</f>
        <v>899</v>
      </c>
      <c r="V13" s="24">
        <f t="shared" ref="V13:V69" si="9">D13*2</f>
        <v>2</v>
      </c>
      <c r="W13" s="24"/>
      <c r="X13" s="26">
        <v>0</v>
      </c>
    </row>
    <row r="14" spans="1:24">
      <c r="A14" s="45" t="str">
        <f>'1. 소켓인수검사'!A12</f>
        <v>04</v>
      </c>
      <c r="B14" s="29">
        <f>'1. 소켓인수검사'!C12</f>
        <v>900</v>
      </c>
      <c r="C14" s="29">
        <f>'1. 소켓인수검사'!D12</f>
        <v>900</v>
      </c>
      <c r="D14" s="24">
        <v>1</v>
      </c>
      <c r="E14" s="59"/>
      <c r="F14" s="24">
        <v>60</v>
      </c>
      <c r="G14" s="58">
        <f t="shared" si="2"/>
        <v>895</v>
      </c>
      <c r="H14" s="24">
        <v>2</v>
      </c>
      <c r="I14" s="24"/>
      <c r="J14" s="24">
        <v>204</v>
      </c>
      <c r="K14" s="183">
        <f t="shared" si="3"/>
        <v>895</v>
      </c>
      <c r="L14" s="183">
        <f t="shared" si="4"/>
        <v>412.5</v>
      </c>
      <c r="M14" s="183">
        <f t="shared" si="5"/>
        <v>-34</v>
      </c>
      <c r="N14" s="24">
        <v>2</v>
      </c>
      <c r="O14" s="24"/>
      <c r="P14" s="24">
        <v>235</v>
      </c>
      <c r="Q14" s="58">
        <f t="shared" si="6"/>
        <v>899</v>
      </c>
      <c r="R14" s="24">
        <f t="shared" si="7"/>
        <v>2</v>
      </c>
      <c r="S14" s="24"/>
      <c r="T14" s="24">
        <v>190</v>
      </c>
      <c r="U14" s="58">
        <f t="shared" si="8"/>
        <v>899</v>
      </c>
      <c r="V14" s="24">
        <f t="shared" si="9"/>
        <v>2</v>
      </c>
      <c r="W14" s="24"/>
      <c r="X14" s="26">
        <v>0</v>
      </c>
    </row>
    <row r="15" spans="1:24">
      <c r="A15" s="45" t="str">
        <f>'1. 소켓인수검사'!A13</f>
        <v>05</v>
      </c>
      <c r="B15" s="29">
        <f>'1. 소켓인수검사'!C13</f>
        <v>900</v>
      </c>
      <c r="C15" s="29">
        <f>'1. 소켓인수검사'!D13</f>
        <v>900</v>
      </c>
      <c r="D15" s="24">
        <v>1</v>
      </c>
      <c r="E15" s="59"/>
      <c r="F15" s="24">
        <v>60</v>
      </c>
      <c r="G15" s="58">
        <f t="shared" si="2"/>
        <v>895</v>
      </c>
      <c r="H15" s="24">
        <v>2</v>
      </c>
      <c r="I15" s="24"/>
      <c r="J15" s="24">
        <v>204</v>
      </c>
      <c r="K15" s="183">
        <f t="shared" si="3"/>
        <v>895</v>
      </c>
      <c r="L15" s="183">
        <f t="shared" si="4"/>
        <v>412.5</v>
      </c>
      <c r="M15" s="183">
        <f t="shared" si="5"/>
        <v>-34</v>
      </c>
      <c r="N15" s="24">
        <v>2</v>
      </c>
      <c r="O15" s="24"/>
      <c r="P15" s="24">
        <v>235</v>
      </c>
      <c r="Q15" s="58">
        <f t="shared" si="6"/>
        <v>899</v>
      </c>
      <c r="R15" s="24">
        <f t="shared" si="7"/>
        <v>2</v>
      </c>
      <c r="S15" s="24"/>
      <c r="T15" s="24">
        <v>190</v>
      </c>
      <c r="U15" s="58">
        <f t="shared" si="8"/>
        <v>899</v>
      </c>
      <c r="V15" s="24">
        <f t="shared" si="9"/>
        <v>2</v>
      </c>
      <c r="W15" s="24"/>
      <c r="X15" s="26">
        <v>0</v>
      </c>
    </row>
    <row r="16" spans="1:24">
      <c r="A16" s="45" t="str">
        <f>'1. 소켓인수검사'!A14</f>
        <v>06</v>
      </c>
      <c r="B16" s="29">
        <f>'1. 소켓인수검사'!C14</f>
        <v>900</v>
      </c>
      <c r="C16" s="29">
        <f>'1. 소켓인수검사'!D14</f>
        <v>900</v>
      </c>
      <c r="D16" s="24">
        <v>1</v>
      </c>
      <c r="E16" s="59"/>
      <c r="F16" s="24">
        <v>60</v>
      </c>
      <c r="G16" s="58">
        <f t="shared" si="2"/>
        <v>895</v>
      </c>
      <c r="H16" s="24">
        <v>2</v>
      </c>
      <c r="I16" s="24"/>
      <c r="J16" s="24">
        <v>204</v>
      </c>
      <c r="K16" s="183">
        <f t="shared" si="3"/>
        <v>895</v>
      </c>
      <c r="L16" s="183">
        <f t="shared" si="4"/>
        <v>412.5</v>
      </c>
      <c r="M16" s="183">
        <f t="shared" si="5"/>
        <v>-34</v>
      </c>
      <c r="N16" s="24">
        <v>2</v>
      </c>
      <c r="O16" s="24"/>
      <c r="P16" s="24">
        <v>235</v>
      </c>
      <c r="Q16" s="58">
        <f t="shared" si="6"/>
        <v>899</v>
      </c>
      <c r="R16" s="24">
        <f t="shared" si="7"/>
        <v>2</v>
      </c>
      <c r="S16" s="24"/>
      <c r="T16" s="24">
        <v>190</v>
      </c>
      <c r="U16" s="58">
        <f t="shared" si="8"/>
        <v>899</v>
      </c>
      <c r="V16" s="24">
        <f t="shared" si="9"/>
        <v>2</v>
      </c>
      <c r="W16" s="24"/>
      <c r="X16" s="26">
        <v>0</v>
      </c>
    </row>
    <row r="17" spans="1:24">
      <c r="A17" s="45" t="str">
        <f>'1. 소켓인수검사'!A15</f>
        <v>07</v>
      </c>
      <c r="B17" s="29">
        <f>'1. 소켓인수검사'!C15</f>
        <v>900</v>
      </c>
      <c r="C17" s="29">
        <f>'1. 소켓인수검사'!D15</f>
        <v>900</v>
      </c>
      <c r="D17" s="24">
        <v>1</v>
      </c>
      <c r="E17" s="59"/>
      <c r="F17" s="24">
        <v>60</v>
      </c>
      <c r="G17" s="58">
        <f t="shared" si="2"/>
        <v>895</v>
      </c>
      <c r="H17" s="24">
        <v>2</v>
      </c>
      <c r="I17" s="24"/>
      <c r="J17" s="24">
        <v>204</v>
      </c>
      <c r="K17" s="183">
        <f t="shared" si="3"/>
        <v>895</v>
      </c>
      <c r="L17" s="183">
        <f t="shared" si="4"/>
        <v>412.5</v>
      </c>
      <c r="M17" s="183">
        <f t="shared" si="5"/>
        <v>-34</v>
      </c>
      <c r="N17" s="24">
        <v>2</v>
      </c>
      <c r="O17" s="24"/>
      <c r="P17" s="24">
        <v>235</v>
      </c>
      <c r="Q17" s="58">
        <f t="shared" si="6"/>
        <v>899</v>
      </c>
      <c r="R17" s="24">
        <f t="shared" si="7"/>
        <v>2</v>
      </c>
      <c r="S17" s="24"/>
      <c r="T17" s="24">
        <v>190</v>
      </c>
      <c r="U17" s="58">
        <f t="shared" si="8"/>
        <v>899</v>
      </c>
      <c r="V17" s="24">
        <f t="shared" si="9"/>
        <v>2</v>
      </c>
      <c r="W17" s="24"/>
      <c r="X17" s="26">
        <v>0</v>
      </c>
    </row>
    <row r="18" spans="1:24">
      <c r="A18" s="45" t="str">
        <f>'1. 소켓인수검사'!A16</f>
        <v>08</v>
      </c>
      <c r="B18" s="29">
        <f>'1. 소켓인수검사'!C16</f>
        <v>900</v>
      </c>
      <c r="C18" s="29">
        <f>'1. 소켓인수검사'!D16</f>
        <v>900</v>
      </c>
      <c r="D18" s="24">
        <v>1</v>
      </c>
      <c r="E18" s="59"/>
      <c r="F18" s="24">
        <v>60</v>
      </c>
      <c r="G18" s="58">
        <f t="shared" si="2"/>
        <v>895</v>
      </c>
      <c r="H18" s="24">
        <v>2</v>
      </c>
      <c r="I18" s="24"/>
      <c r="J18" s="24">
        <v>204</v>
      </c>
      <c r="K18" s="183">
        <f t="shared" si="3"/>
        <v>895</v>
      </c>
      <c r="L18" s="183">
        <f t="shared" si="4"/>
        <v>412.5</v>
      </c>
      <c r="M18" s="183">
        <f t="shared" si="5"/>
        <v>-34</v>
      </c>
      <c r="N18" s="24">
        <v>2</v>
      </c>
      <c r="O18" s="24"/>
      <c r="P18" s="24">
        <v>235</v>
      </c>
      <c r="Q18" s="58">
        <f t="shared" si="6"/>
        <v>899</v>
      </c>
      <c r="R18" s="24">
        <f t="shared" si="7"/>
        <v>2</v>
      </c>
      <c r="S18" s="24"/>
      <c r="T18" s="24">
        <v>190</v>
      </c>
      <c r="U18" s="58">
        <f t="shared" si="8"/>
        <v>899</v>
      </c>
      <c r="V18" s="24">
        <f t="shared" si="9"/>
        <v>2</v>
      </c>
      <c r="W18" s="24"/>
      <c r="X18" s="26">
        <v>0</v>
      </c>
    </row>
    <row r="19" spans="1:24">
      <c r="A19" s="45" t="str">
        <f>'1. 소켓인수검사'!A17</f>
        <v>09</v>
      </c>
      <c r="B19" s="29">
        <f>'1. 소켓인수검사'!C17</f>
        <v>900</v>
      </c>
      <c r="C19" s="29">
        <f>'1. 소켓인수검사'!D17</f>
        <v>900</v>
      </c>
      <c r="D19" s="24">
        <v>1</v>
      </c>
      <c r="E19" s="59"/>
      <c r="F19" s="24">
        <v>60</v>
      </c>
      <c r="G19" s="58">
        <f t="shared" si="2"/>
        <v>895</v>
      </c>
      <c r="H19" s="24">
        <v>2</v>
      </c>
      <c r="I19" s="24"/>
      <c r="J19" s="24">
        <v>204</v>
      </c>
      <c r="K19" s="183">
        <f t="shared" si="3"/>
        <v>895</v>
      </c>
      <c r="L19" s="183">
        <f t="shared" si="4"/>
        <v>412.5</v>
      </c>
      <c r="M19" s="183">
        <f t="shared" si="5"/>
        <v>-34</v>
      </c>
      <c r="N19" s="24">
        <v>2</v>
      </c>
      <c r="O19" s="24"/>
      <c r="P19" s="24">
        <v>235</v>
      </c>
      <c r="Q19" s="58">
        <f t="shared" si="6"/>
        <v>899</v>
      </c>
      <c r="R19" s="24">
        <f t="shared" si="7"/>
        <v>2</v>
      </c>
      <c r="S19" s="24"/>
      <c r="T19" s="24">
        <v>190</v>
      </c>
      <c r="U19" s="58">
        <f t="shared" si="8"/>
        <v>899</v>
      </c>
      <c r="V19" s="24">
        <f t="shared" si="9"/>
        <v>2</v>
      </c>
      <c r="W19" s="24"/>
      <c r="X19" s="26">
        <v>0</v>
      </c>
    </row>
    <row r="20" spans="1:24">
      <c r="A20" s="45" t="str">
        <f>'1. 소켓인수검사'!A18</f>
        <v>10</v>
      </c>
      <c r="B20" s="29">
        <f>'1. 소켓인수검사'!C18</f>
        <v>900</v>
      </c>
      <c r="C20" s="29">
        <f>'1. 소켓인수검사'!D18</f>
        <v>900</v>
      </c>
      <c r="D20" s="24">
        <v>1</v>
      </c>
      <c r="E20" s="59"/>
      <c r="F20" s="24">
        <v>60</v>
      </c>
      <c r="G20" s="58">
        <f t="shared" si="2"/>
        <v>895</v>
      </c>
      <c r="H20" s="24">
        <v>2</v>
      </c>
      <c r="I20" s="24"/>
      <c r="J20" s="24">
        <v>204</v>
      </c>
      <c r="K20" s="183">
        <f t="shared" si="3"/>
        <v>895</v>
      </c>
      <c r="L20" s="183">
        <f t="shared" si="4"/>
        <v>412.5</v>
      </c>
      <c r="M20" s="183">
        <f t="shared" si="5"/>
        <v>-34</v>
      </c>
      <c r="N20" s="24">
        <v>2</v>
      </c>
      <c r="O20" s="24"/>
      <c r="P20" s="24">
        <v>235</v>
      </c>
      <c r="Q20" s="58">
        <f t="shared" si="6"/>
        <v>899</v>
      </c>
      <c r="R20" s="24">
        <f t="shared" si="7"/>
        <v>2</v>
      </c>
      <c r="S20" s="24"/>
      <c r="T20" s="24">
        <v>190</v>
      </c>
      <c r="U20" s="58">
        <f t="shared" si="8"/>
        <v>899</v>
      </c>
      <c r="V20" s="24">
        <f t="shared" si="9"/>
        <v>2</v>
      </c>
      <c r="W20" s="24"/>
      <c r="X20" s="26">
        <v>0</v>
      </c>
    </row>
    <row r="21" spans="1:24">
      <c r="A21" s="45" t="str">
        <f>'1. 소켓인수검사'!A19</f>
        <v>11</v>
      </c>
      <c r="B21" s="29">
        <f>'1. 소켓인수검사'!C19</f>
        <v>900</v>
      </c>
      <c r="C21" s="29">
        <f>'1. 소켓인수검사'!D19</f>
        <v>900</v>
      </c>
      <c r="D21" s="24">
        <v>1</v>
      </c>
      <c r="E21" s="59"/>
      <c r="F21" s="24">
        <v>60</v>
      </c>
      <c r="G21" s="58">
        <f t="shared" si="2"/>
        <v>895</v>
      </c>
      <c r="H21" s="24">
        <v>2</v>
      </c>
      <c r="I21" s="24"/>
      <c r="J21" s="24">
        <v>204</v>
      </c>
      <c r="K21" s="183">
        <f t="shared" si="3"/>
        <v>895</v>
      </c>
      <c r="L21" s="183">
        <f t="shared" si="4"/>
        <v>412.5</v>
      </c>
      <c r="M21" s="183">
        <f t="shared" si="5"/>
        <v>-34</v>
      </c>
      <c r="N21" s="24">
        <v>2</v>
      </c>
      <c r="O21" s="24"/>
      <c r="P21" s="24">
        <v>235</v>
      </c>
      <c r="Q21" s="58">
        <f t="shared" si="6"/>
        <v>899</v>
      </c>
      <c r="R21" s="24">
        <f t="shared" si="7"/>
        <v>2</v>
      </c>
      <c r="S21" s="24"/>
      <c r="T21" s="24">
        <v>190</v>
      </c>
      <c r="U21" s="58">
        <f t="shared" si="8"/>
        <v>899</v>
      </c>
      <c r="V21" s="24">
        <f t="shared" si="9"/>
        <v>2</v>
      </c>
      <c r="W21" s="24"/>
      <c r="X21" s="26">
        <v>0</v>
      </c>
    </row>
    <row r="22" spans="1:24">
      <c r="A22" s="45" t="str">
        <f>'1. 소켓인수검사'!A20</f>
        <v>12</v>
      </c>
      <c r="B22" s="29">
        <f>'1. 소켓인수검사'!C20</f>
        <v>900</v>
      </c>
      <c r="C22" s="29">
        <f>'1. 소켓인수검사'!D20</f>
        <v>900</v>
      </c>
      <c r="D22" s="24">
        <v>1</v>
      </c>
      <c r="E22" s="59"/>
      <c r="F22" s="24">
        <v>60</v>
      </c>
      <c r="G22" s="58">
        <f t="shared" si="2"/>
        <v>895</v>
      </c>
      <c r="H22" s="24">
        <v>2</v>
      </c>
      <c r="I22" s="24"/>
      <c r="J22" s="24">
        <v>204</v>
      </c>
      <c r="K22" s="183">
        <f t="shared" si="3"/>
        <v>895</v>
      </c>
      <c r="L22" s="183">
        <f t="shared" si="4"/>
        <v>412.5</v>
      </c>
      <c r="M22" s="183">
        <f t="shared" si="5"/>
        <v>-34</v>
      </c>
      <c r="N22" s="24">
        <v>2</v>
      </c>
      <c r="O22" s="24"/>
      <c r="P22" s="24">
        <v>235</v>
      </c>
      <c r="Q22" s="58">
        <f t="shared" si="6"/>
        <v>899</v>
      </c>
      <c r="R22" s="24">
        <f t="shared" si="7"/>
        <v>2</v>
      </c>
      <c r="S22" s="24"/>
      <c r="T22" s="24">
        <v>190</v>
      </c>
      <c r="U22" s="58">
        <f t="shared" si="8"/>
        <v>899</v>
      </c>
      <c r="V22" s="24">
        <f t="shared" si="9"/>
        <v>2</v>
      </c>
      <c r="W22" s="24"/>
      <c r="X22" s="26">
        <v>0</v>
      </c>
    </row>
    <row r="23" spans="1:24">
      <c r="A23" s="45" t="str">
        <f>'1. 소켓인수검사'!A21</f>
        <v>13</v>
      </c>
      <c r="B23" s="29">
        <f>'1. 소켓인수검사'!C21</f>
        <v>900</v>
      </c>
      <c r="C23" s="29">
        <f>'1. 소켓인수검사'!D21</f>
        <v>900</v>
      </c>
      <c r="D23" s="24">
        <v>1</v>
      </c>
      <c r="E23" s="59"/>
      <c r="F23" s="24">
        <v>60</v>
      </c>
      <c r="G23" s="58">
        <f t="shared" si="2"/>
        <v>895</v>
      </c>
      <c r="H23" s="24">
        <v>2</v>
      </c>
      <c r="I23" s="24"/>
      <c r="J23" s="24">
        <v>204</v>
      </c>
      <c r="K23" s="183">
        <f t="shared" si="3"/>
        <v>895</v>
      </c>
      <c r="L23" s="183">
        <f t="shared" si="4"/>
        <v>412.5</v>
      </c>
      <c r="M23" s="183">
        <f t="shared" si="5"/>
        <v>-34</v>
      </c>
      <c r="N23" s="24">
        <v>2</v>
      </c>
      <c r="O23" s="24"/>
      <c r="P23" s="24">
        <v>235</v>
      </c>
      <c r="Q23" s="58">
        <f t="shared" si="6"/>
        <v>899</v>
      </c>
      <c r="R23" s="24">
        <f t="shared" si="7"/>
        <v>2</v>
      </c>
      <c r="S23" s="24"/>
      <c r="T23" s="24">
        <v>190</v>
      </c>
      <c r="U23" s="58">
        <f t="shared" si="8"/>
        <v>899</v>
      </c>
      <c r="V23" s="24">
        <f t="shared" si="9"/>
        <v>2</v>
      </c>
      <c r="W23" s="24"/>
      <c r="X23" s="26">
        <v>0</v>
      </c>
    </row>
    <row r="24" spans="1:24">
      <c r="A24" s="45" t="str">
        <f>'1. 소켓인수검사'!A22</f>
        <v>14</v>
      </c>
      <c r="B24" s="29">
        <f>'1. 소켓인수검사'!C22</f>
        <v>900</v>
      </c>
      <c r="C24" s="29">
        <f>'1. 소켓인수검사'!D22</f>
        <v>900</v>
      </c>
      <c r="D24" s="24">
        <v>1</v>
      </c>
      <c r="E24" s="59"/>
      <c r="F24" s="24">
        <v>60</v>
      </c>
      <c r="G24" s="58">
        <f t="shared" si="2"/>
        <v>895</v>
      </c>
      <c r="H24" s="24">
        <v>2</v>
      </c>
      <c r="I24" s="24"/>
      <c r="J24" s="24">
        <v>204</v>
      </c>
      <c r="K24" s="183">
        <f t="shared" si="3"/>
        <v>895</v>
      </c>
      <c r="L24" s="183">
        <f t="shared" si="4"/>
        <v>412.5</v>
      </c>
      <c r="M24" s="183">
        <f t="shared" si="5"/>
        <v>-34</v>
      </c>
      <c r="N24" s="24">
        <v>2</v>
      </c>
      <c r="O24" s="24"/>
      <c r="P24" s="24">
        <v>235</v>
      </c>
      <c r="Q24" s="58">
        <f t="shared" si="6"/>
        <v>899</v>
      </c>
      <c r="R24" s="24">
        <f t="shared" si="7"/>
        <v>2</v>
      </c>
      <c r="S24" s="24"/>
      <c r="T24" s="24">
        <v>190</v>
      </c>
      <c r="U24" s="58">
        <f t="shared" si="8"/>
        <v>899</v>
      </c>
      <c r="V24" s="24">
        <f t="shared" si="9"/>
        <v>2</v>
      </c>
      <c r="W24" s="24"/>
      <c r="X24" s="26">
        <v>0</v>
      </c>
    </row>
    <row r="25" spans="1:24">
      <c r="A25" s="45" t="str">
        <f>'1. 소켓인수검사'!A23</f>
        <v>15</v>
      </c>
      <c r="B25" s="29">
        <f>'1. 소켓인수검사'!C23</f>
        <v>900</v>
      </c>
      <c r="C25" s="29">
        <f>'1. 소켓인수검사'!D23</f>
        <v>900</v>
      </c>
      <c r="D25" s="24">
        <v>1</v>
      </c>
      <c r="E25" s="59"/>
      <c r="F25" s="24">
        <v>60</v>
      </c>
      <c r="G25" s="58">
        <f t="shared" si="2"/>
        <v>895</v>
      </c>
      <c r="H25" s="24">
        <v>2</v>
      </c>
      <c r="I25" s="24"/>
      <c r="J25" s="24">
        <v>204</v>
      </c>
      <c r="K25" s="183">
        <f t="shared" si="3"/>
        <v>895</v>
      </c>
      <c r="L25" s="183">
        <f t="shared" si="4"/>
        <v>412.5</v>
      </c>
      <c r="M25" s="183">
        <f t="shared" si="5"/>
        <v>-34</v>
      </c>
      <c r="N25" s="24">
        <v>2</v>
      </c>
      <c r="O25" s="24"/>
      <c r="P25" s="24">
        <v>235</v>
      </c>
      <c r="Q25" s="58">
        <f t="shared" si="6"/>
        <v>899</v>
      </c>
      <c r="R25" s="24">
        <f t="shared" si="7"/>
        <v>2</v>
      </c>
      <c r="S25" s="24"/>
      <c r="T25" s="24">
        <v>190</v>
      </c>
      <c r="U25" s="58">
        <f t="shared" si="8"/>
        <v>899</v>
      </c>
      <c r="V25" s="24">
        <f t="shared" si="9"/>
        <v>2</v>
      </c>
      <c r="W25" s="24"/>
      <c r="X25" s="26">
        <v>0</v>
      </c>
    </row>
    <row r="26" spans="1:24">
      <c r="A26" s="45" t="str">
        <f>'1. 소켓인수검사'!A24</f>
        <v>16</v>
      </c>
      <c r="B26" s="29">
        <f>'1. 소켓인수검사'!C24</f>
        <v>900</v>
      </c>
      <c r="C26" s="29">
        <f>'1. 소켓인수검사'!D24</f>
        <v>900</v>
      </c>
      <c r="D26" s="24">
        <v>1</v>
      </c>
      <c r="E26" s="59"/>
      <c r="F26" s="24">
        <v>60</v>
      </c>
      <c r="G26" s="58">
        <f t="shared" si="2"/>
        <v>895</v>
      </c>
      <c r="H26" s="24">
        <v>2</v>
      </c>
      <c r="I26" s="24"/>
      <c r="J26" s="24">
        <v>204</v>
      </c>
      <c r="K26" s="183">
        <f t="shared" si="3"/>
        <v>895</v>
      </c>
      <c r="L26" s="183">
        <f t="shared" si="4"/>
        <v>412.5</v>
      </c>
      <c r="M26" s="183">
        <f t="shared" si="5"/>
        <v>-34</v>
      </c>
      <c r="N26" s="24">
        <v>2</v>
      </c>
      <c r="O26" s="24"/>
      <c r="P26" s="24">
        <v>235</v>
      </c>
      <c r="Q26" s="58">
        <f t="shared" si="6"/>
        <v>899</v>
      </c>
      <c r="R26" s="24">
        <f t="shared" si="7"/>
        <v>2</v>
      </c>
      <c r="S26" s="24"/>
      <c r="T26" s="24">
        <v>190</v>
      </c>
      <c r="U26" s="58">
        <f t="shared" si="8"/>
        <v>899</v>
      </c>
      <c r="V26" s="24">
        <f t="shared" si="9"/>
        <v>2</v>
      </c>
      <c r="W26" s="24"/>
      <c r="X26" s="26">
        <v>0</v>
      </c>
    </row>
    <row r="27" spans="1:24">
      <c r="A27" s="45" t="str">
        <f>'1. 소켓인수검사'!A25</f>
        <v>17</v>
      </c>
      <c r="B27" s="29">
        <f>'1. 소켓인수검사'!C25</f>
        <v>900</v>
      </c>
      <c r="C27" s="29">
        <f>'1. 소켓인수검사'!D25</f>
        <v>900</v>
      </c>
      <c r="D27" s="24">
        <v>1</v>
      </c>
      <c r="E27" s="59"/>
      <c r="F27" s="24">
        <v>60</v>
      </c>
      <c r="G27" s="58">
        <f t="shared" si="2"/>
        <v>895</v>
      </c>
      <c r="H27" s="24">
        <v>2</v>
      </c>
      <c r="I27" s="24"/>
      <c r="J27" s="24">
        <v>204</v>
      </c>
      <c r="K27" s="183">
        <f t="shared" si="3"/>
        <v>895</v>
      </c>
      <c r="L27" s="183">
        <f t="shared" si="4"/>
        <v>412.5</v>
      </c>
      <c r="M27" s="183">
        <f t="shared" si="5"/>
        <v>-34</v>
      </c>
      <c r="N27" s="24">
        <v>2</v>
      </c>
      <c r="O27" s="24"/>
      <c r="P27" s="24">
        <v>235</v>
      </c>
      <c r="Q27" s="58">
        <f t="shared" si="6"/>
        <v>899</v>
      </c>
      <c r="R27" s="24">
        <f t="shared" si="7"/>
        <v>2</v>
      </c>
      <c r="S27" s="24"/>
      <c r="T27" s="24">
        <v>190</v>
      </c>
      <c r="U27" s="58">
        <f t="shared" si="8"/>
        <v>899</v>
      </c>
      <c r="V27" s="24">
        <f t="shared" si="9"/>
        <v>2</v>
      </c>
      <c r="W27" s="24"/>
      <c r="X27" s="26">
        <v>0</v>
      </c>
    </row>
    <row r="28" spans="1:24">
      <c r="A28" s="45" t="str">
        <f>'1. 소켓인수검사'!A26</f>
        <v>18</v>
      </c>
      <c r="B28" s="29">
        <f>'1. 소켓인수검사'!C26</f>
        <v>900</v>
      </c>
      <c r="C28" s="29">
        <f>'1. 소켓인수검사'!D26</f>
        <v>900</v>
      </c>
      <c r="D28" s="24">
        <v>1</v>
      </c>
      <c r="E28" s="59"/>
      <c r="F28" s="24">
        <v>60</v>
      </c>
      <c r="G28" s="58">
        <f t="shared" si="2"/>
        <v>895</v>
      </c>
      <c r="H28" s="24">
        <v>2</v>
      </c>
      <c r="I28" s="24"/>
      <c r="J28" s="24">
        <v>204</v>
      </c>
      <c r="K28" s="183">
        <f t="shared" si="3"/>
        <v>895</v>
      </c>
      <c r="L28" s="183">
        <f t="shared" si="4"/>
        <v>412.5</v>
      </c>
      <c r="M28" s="183">
        <f t="shared" si="5"/>
        <v>-34</v>
      </c>
      <c r="N28" s="24">
        <v>2</v>
      </c>
      <c r="O28" s="24"/>
      <c r="P28" s="24">
        <v>235</v>
      </c>
      <c r="Q28" s="58">
        <f t="shared" si="6"/>
        <v>899</v>
      </c>
      <c r="R28" s="24">
        <f t="shared" si="7"/>
        <v>2</v>
      </c>
      <c r="S28" s="24"/>
      <c r="T28" s="24">
        <v>190</v>
      </c>
      <c r="U28" s="58">
        <f t="shared" si="8"/>
        <v>899</v>
      </c>
      <c r="V28" s="24">
        <f t="shared" si="9"/>
        <v>2</v>
      </c>
      <c r="W28" s="24"/>
      <c r="X28" s="26">
        <v>0</v>
      </c>
    </row>
    <row r="29" spans="1:24">
      <c r="A29" s="45" t="str">
        <f>'1. 소켓인수검사'!A27</f>
        <v>19</v>
      </c>
      <c r="B29" s="29">
        <f>'1. 소켓인수검사'!C27</f>
        <v>900</v>
      </c>
      <c r="C29" s="29">
        <f>'1. 소켓인수검사'!D27</f>
        <v>900</v>
      </c>
      <c r="D29" s="24">
        <v>1</v>
      </c>
      <c r="E29" s="59"/>
      <c r="F29" s="24">
        <v>60</v>
      </c>
      <c r="G29" s="58">
        <f t="shared" si="2"/>
        <v>895</v>
      </c>
      <c r="H29" s="24">
        <v>2</v>
      </c>
      <c r="I29" s="24"/>
      <c r="J29" s="24">
        <v>204</v>
      </c>
      <c r="K29" s="183">
        <f t="shared" si="3"/>
        <v>895</v>
      </c>
      <c r="L29" s="183">
        <f t="shared" si="4"/>
        <v>412.5</v>
      </c>
      <c r="M29" s="183">
        <f t="shared" si="5"/>
        <v>-34</v>
      </c>
      <c r="N29" s="24">
        <v>2</v>
      </c>
      <c r="O29" s="24"/>
      <c r="P29" s="24">
        <v>235</v>
      </c>
      <c r="Q29" s="58">
        <f t="shared" si="6"/>
        <v>899</v>
      </c>
      <c r="R29" s="24">
        <f t="shared" si="7"/>
        <v>2</v>
      </c>
      <c r="S29" s="24"/>
      <c r="T29" s="24">
        <v>190</v>
      </c>
      <c r="U29" s="58">
        <f t="shared" si="8"/>
        <v>899</v>
      </c>
      <c r="V29" s="24">
        <f t="shared" si="9"/>
        <v>2</v>
      </c>
      <c r="W29" s="24"/>
      <c r="X29" s="26">
        <v>0</v>
      </c>
    </row>
    <row r="30" spans="1:24">
      <c r="A30" s="45" t="str">
        <f>'1. 소켓인수검사'!A28</f>
        <v>20</v>
      </c>
      <c r="B30" s="29">
        <f>'1. 소켓인수검사'!C28</f>
        <v>900</v>
      </c>
      <c r="C30" s="29">
        <f>'1. 소켓인수검사'!D28</f>
        <v>900</v>
      </c>
      <c r="D30" s="24">
        <v>1</v>
      </c>
      <c r="E30" s="59"/>
      <c r="F30" s="24">
        <v>60</v>
      </c>
      <c r="G30" s="58">
        <f t="shared" si="2"/>
        <v>895</v>
      </c>
      <c r="H30" s="24">
        <v>2</v>
      </c>
      <c r="I30" s="24"/>
      <c r="J30" s="24">
        <v>204</v>
      </c>
      <c r="K30" s="183">
        <f t="shared" si="3"/>
        <v>895</v>
      </c>
      <c r="L30" s="183">
        <f t="shared" si="4"/>
        <v>412.5</v>
      </c>
      <c r="M30" s="183">
        <f t="shared" si="5"/>
        <v>-34</v>
      </c>
      <c r="N30" s="24">
        <v>2</v>
      </c>
      <c r="O30" s="24"/>
      <c r="P30" s="24">
        <v>235</v>
      </c>
      <c r="Q30" s="58">
        <f t="shared" si="6"/>
        <v>899</v>
      </c>
      <c r="R30" s="24">
        <f t="shared" si="7"/>
        <v>2</v>
      </c>
      <c r="S30" s="24"/>
      <c r="T30" s="24">
        <v>190</v>
      </c>
      <c r="U30" s="58">
        <f t="shared" si="8"/>
        <v>899</v>
      </c>
      <c r="V30" s="24">
        <f t="shared" si="9"/>
        <v>2</v>
      </c>
      <c r="W30" s="24"/>
      <c r="X30" s="26">
        <v>0</v>
      </c>
    </row>
    <row r="31" spans="1:24">
      <c r="A31" s="45" t="str">
        <f>'1. 소켓인수검사'!A29</f>
        <v>21</v>
      </c>
      <c r="B31" s="29">
        <f>'1. 소켓인수검사'!C29</f>
        <v>900</v>
      </c>
      <c r="C31" s="29">
        <f>'1. 소켓인수검사'!D29</f>
        <v>900</v>
      </c>
      <c r="D31" s="24">
        <v>1</v>
      </c>
      <c r="E31" s="59"/>
      <c r="F31" s="24">
        <v>60</v>
      </c>
      <c r="G31" s="58">
        <f t="shared" si="2"/>
        <v>895</v>
      </c>
      <c r="H31" s="24">
        <v>2</v>
      </c>
      <c r="I31" s="24"/>
      <c r="J31" s="24">
        <v>204</v>
      </c>
      <c r="K31" s="183">
        <f t="shared" si="3"/>
        <v>895</v>
      </c>
      <c r="L31" s="183">
        <f t="shared" si="4"/>
        <v>412.5</v>
      </c>
      <c r="M31" s="183">
        <f t="shared" si="5"/>
        <v>-34</v>
      </c>
      <c r="N31" s="24">
        <v>2</v>
      </c>
      <c r="O31" s="24"/>
      <c r="P31" s="24">
        <v>235</v>
      </c>
      <c r="Q31" s="58">
        <f t="shared" si="6"/>
        <v>899</v>
      </c>
      <c r="R31" s="24">
        <f t="shared" si="7"/>
        <v>2</v>
      </c>
      <c r="S31" s="24"/>
      <c r="T31" s="24">
        <v>190</v>
      </c>
      <c r="U31" s="58">
        <f t="shared" si="8"/>
        <v>899</v>
      </c>
      <c r="V31" s="24">
        <f t="shared" si="9"/>
        <v>2</v>
      </c>
      <c r="W31" s="24"/>
      <c r="X31" s="26">
        <v>0</v>
      </c>
    </row>
    <row r="32" spans="1:24">
      <c r="A32" s="45" t="str">
        <f>'1. 소켓인수검사'!A30</f>
        <v>22</v>
      </c>
      <c r="B32" s="29">
        <f>'1. 소켓인수검사'!C30</f>
        <v>900</v>
      </c>
      <c r="C32" s="29">
        <f>'1. 소켓인수검사'!D30</f>
        <v>900</v>
      </c>
      <c r="D32" s="24">
        <v>1</v>
      </c>
      <c r="E32" s="59"/>
      <c r="F32" s="24">
        <v>60</v>
      </c>
      <c r="G32" s="58">
        <f t="shared" si="2"/>
        <v>895</v>
      </c>
      <c r="H32" s="24">
        <v>2</v>
      </c>
      <c r="I32" s="24"/>
      <c r="J32" s="24">
        <v>204</v>
      </c>
      <c r="K32" s="183">
        <f t="shared" si="3"/>
        <v>895</v>
      </c>
      <c r="L32" s="183">
        <f t="shared" si="4"/>
        <v>412.5</v>
      </c>
      <c r="M32" s="183">
        <f t="shared" si="5"/>
        <v>-34</v>
      </c>
      <c r="N32" s="24">
        <v>2</v>
      </c>
      <c r="O32" s="24"/>
      <c r="P32" s="24">
        <v>235</v>
      </c>
      <c r="Q32" s="58">
        <f t="shared" si="6"/>
        <v>899</v>
      </c>
      <c r="R32" s="24">
        <f t="shared" si="7"/>
        <v>2</v>
      </c>
      <c r="S32" s="24"/>
      <c r="T32" s="24">
        <v>190</v>
      </c>
      <c r="U32" s="58">
        <f t="shared" si="8"/>
        <v>899</v>
      </c>
      <c r="V32" s="24">
        <f t="shared" si="9"/>
        <v>2</v>
      </c>
      <c r="W32" s="24"/>
      <c r="X32" s="26">
        <v>0</v>
      </c>
    </row>
    <row r="33" spans="1:24">
      <c r="A33" s="45" t="str">
        <f>'1. 소켓인수검사'!A31</f>
        <v>23</v>
      </c>
      <c r="B33" s="29">
        <f>'1. 소켓인수검사'!C31</f>
        <v>900</v>
      </c>
      <c r="C33" s="29">
        <f>'1. 소켓인수검사'!D31</f>
        <v>900</v>
      </c>
      <c r="D33" s="24">
        <v>1</v>
      </c>
      <c r="E33" s="59"/>
      <c r="F33" s="24">
        <v>60</v>
      </c>
      <c r="G33" s="58">
        <f t="shared" si="2"/>
        <v>895</v>
      </c>
      <c r="H33" s="24">
        <v>2</v>
      </c>
      <c r="I33" s="24"/>
      <c r="J33" s="24">
        <v>204</v>
      </c>
      <c r="K33" s="183">
        <f t="shared" si="3"/>
        <v>895</v>
      </c>
      <c r="L33" s="183">
        <f t="shared" si="4"/>
        <v>412.5</v>
      </c>
      <c r="M33" s="183">
        <f t="shared" si="5"/>
        <v>-34</v>
      </c>
      <c r="N33" s="24">
        <v>2</v>
      </c>
      <c r="O33" s="24"/>
      <c r="P33" s="24">
        <v>235</v>
      </c>
      <c r="Q33" s="58">
        <f t="shared" si="6"/>
        <v>899</v>
      </c>
      <c r="R33" s="24">
        <f t="shared" si="7"/>
        <v>2</v>
      </c>
      <c r="S33" s="24"/>
      <c r="T33" s="24">
        <v>190</v>
      </c>
      <c r="U33" s="58">
        <f t="shared" si="8"/>
        <v>899</v>
      </c>
      <c r="V33" s="24">
        <f t="shared" si="9"/>
        <v>2</v>
      </c>
      <c r="W33" s="24"/>
      <c r="X33" s="26">
        <v>0</v>
      </c>
    </row>
    <row r="34" spans="1:24">
      <c r="A34" s="45" t="str">
        <f>'1. 소켓인수검사'!A32</f>
        <v>24</v>
      </c>
      <c r="B34" s="29">
        <f>'1. 소켓인수검사'!C32</f>
        <v>900</v>
      </c>
      <c r="C34" s="29">
        <f>'1. 소켓인수검사'!D32</f>
        <v>900</v>
      </c>
      <c r="D34" s="24">
        <v>1</v>
      </c>
      <c r="E34" s="59"/>
      <c r="F34" s="24">
        <v>60</v>
      </c>
      <c r="G34" s="58">
        <f t="shared" si="2"/>
        <v>895</v>
      </c>
      <c r="H34" s="24">
        <v>2</v>
      </c>
      <c r="I34" s="24"/>
      <c r="J34" s="24">
        <v>204</v>
      </c>
      <c r="K34" s="183">
        <f t="shared" si="3"/>
        <v>895</v>
      </c>
      <c r="L34" s="183">
        <f t="shared" si="4"/>
        <v>412.5</v>
      </c>
      <c r="M34" s="183">
        <f t="shared" si="5"/>
        <v>-34</v>
      </c>
      <c r="N34" s="24">
        <v>2</v>
      </c>
      <c r="O34" s="24"/>
      <c r="P34" s="24">
        <v>235</v>
      </c>
      <c r="Q34" s="58">
        <f t="shared" si="6"/>
        <v>899</v>
      </c>
      <c r="R34" s="24">
        <f t="shared" si="7"/>
        <v>2</v>
      </c>
      <c r="S34" s="24"/>
      <c r="T34" s="24">
        <v>190</v>
      </c>
      <c r="U34" s="58">
        <f t="shared" si="8"/>
        <v>899</v>
      </c>
      <c r="V34" s="24">
        <f t="shared" si="9"/>
        <v>2</v>
      </c>
      <c r="W34" s="24"/>
      <c r="X34" s="26">
        <v>0</v>
      </c>
    </row>
    <row r="35" spans="1:24">
      <c r="A35" s="45" t="str">
        <f>'1. 소켓인수검사'!A33</f>
        <v>25</v>
      </c>
      <c r="B35" s="29">
        <f>'1. 소켓인수검사'!C33</f>
        <v>900</v>
      </c>
      <c r="C35" s="29">
        <f>'1. 소켓인수검사'!D33</f>
        <v>900</v>
      </c>
      <c r="D35" s="24">
        <v>1</v>
      </c>
      <c r="E35" s="59"/>
      <c r="F35" s="24">
        <v>60</v>
      </c>
      <c r="G35" s="58">
        <f t="shared" si="2"/>
        <v>895</v>
      </c>
      <c r="H35" s="24">
        <v>2</v>
      </c>
      <c r="I35" s="24"/>
      <c r="J35" s="24">
        <v>204</v>
      </c>
      <c r="K35" s="183">
        <f t="shared" si="3"/>
        <v>895</v>
      </c>
      <c r="L35" s="183">
        <f t="shared" si="4"/>
        <v>412.5</v>
      </c>
      <c r="M35" s="183">
        <f t="shared" si="5"/>
        <v>-34</v>
      </c>
      <c r="N35" s="24">
        <v>2</v>
      </c>
      <c r="O35" s="24"/>
      <c r="P35" s="24">
        <v>235</v>
      </c>
      <c r="Q35" s="58">
        <f t="shared" si="6"/>
        <v>899</v>
      </c>
      <c r="R35" s="24">
        <f t="shared" si="7"/>
        <v>2</v>
      </c>
      <c r="S35" s="24"/>
      <c r="T35" s="24">
        <v>190</v>
      </c>
      <c r="U35" s="58">
        <f t="shared" si="8"/>
        <v>899</v>
      </c>
      <c r="V35" s="24">
        <f t="shared" si="9"/>
        <v>2</v>
      </c>
      <c r="W35" s="24"/>
      <c r="X35" s="26">
        <v>0</v>
      </c>
    </row>
    <row r="36" spans="1:24">
      <c r="A36" s="45" t="str">
        <f>'1. 소켓인수검사'!A34</f>
        <v>26</v>
      </c>
      <c r="B36" s="29">
        <f>'1. 소켓인수검사'!C34</f>
        <v>900</v>
      </c>
      <c r="C36" s="29">
        <f>'1. 소켓인수검사'!D34</f>
        <v>900</v>
      </c>
      <c r="D36" s="24">
        <v>1</v>
      </c>
      <c r="E36" s="59"/>
      <c r="F36" s="24">
        <v>60</v>
      </c>
      <c r="G36" s="58">
        <f t="shared" si="2"/>
        <v>895</v>
      </c>
      <c r="H36" s="24">
        <v>2</v>
      </c>
      <c r="I36" s="24"/>
      <c r="J36" s="24">
        <v>204</v>
      </c>
      <c r="K36" s="183">
        <f t="shared" si="3"/>
        <v>895</v>
      </c>
      <c r="L36" s="183">
        <f t="shared" si="4"/>
        <v>412.5</v>
      </c>
      <c r="M36" s="183">
        <f t="shared" si="5"/>
        <v>-34</v>
      </c>
      <c r="N36" s="24">
        <v>2</v>
      </c>
      <c r="O36" s="24"/>
      <c r="P36" s="24">
        <v>235</v>
      </c>
      <c r="Q36" s="58">
        <f t="shared" si="6"/>
        <v>899</v>
      </c>
      <c r="R36" s="24">
        <f t="shared" si="7"/>
        <v>2</v>
      </c>
      <c r="S36" s="24"/>
      <c r="T36" s="24">
        <v>190</v>
      </c>
      <c r="U36" s="58">
        <f t="shared" si="8"/>
        <v>899</v>
      </c>
      <c r="V36" s="24">
        <f t="shared" si="9"/>
        <v>2</v>
      </c>
      <c r="W36" s="24"/>
      <c r="X36" s="26">
        <v>0</v>
      </c>
    </row>
    <row r="37" spans="1:24">
      <c r="A37" s="45" t="str">
        <f>'1. 소켓인수검사'!A35</f>
        <v>27</v>
      </c>
      <c r="B37" s="29">
        <f>'1. 소켓인수검사'!C35</f>
        <v>900</v>
      </c>
      <c r="C37" s="29">
        <f>'1. 소켓인수검사'!D35</f>
        <v>900</v>
      </c>
      <c r="D37" s="24">
        <v>1</v>
      </c>
      <c r="E37" s="59"/>
      <c r="F37" s="24">
        <v>60</v>
      </c>
      <c r="G37" s="58">
        <f t="shared" si="2"/>
        <v>895</v>
      </c>
      <c r="H37" s="24">
        <v>2</v>
      </c>
      <c r="I37" s="24"/>
      <c r="J37" s="24">
        <v>204</v>
      </c>
      <c r="K37" s="183">
        <f t="shared" si="3"/>
        <v>895</v>
      </c>
      <c r="L37" s="183">
        <f t="shared" si="4"/>
        <v>412.5</v>
      </c>
      <c r="M37" s="183">
        <f t="shared" si="5"/>
        <v>-34</v>
      </c>
      <c r="N37" s="24">
        <v>2</v>
      </c>
      <c r="O37" s="24"/>
      <c r="P37" s="24">
        <v>235</v>
      </c>
      <c r="Q37" s="58">
        <f t="shared" si="6"/>
        <v>899</v>
      </c>
      <c r="R37" s="24">
        <f t="shared" si="7"/>
        <v>2</v>
      </c>
      <c r="S37" s="24"/>
      <c r="T37" s="24">
        <v>190</v>
      </c>
      <c r="U37" s="58">
        <f t="shared" si="8"/>
        <v>899</v>
      </c>
      <c r="V37" s="24">
        <f t="shared" si="9"/>
        <v>2</v>
      </c>
      <c r="W37" s="24"/>
      <c r="X37" s="26">
        <v>0</v>
      </c>
    </row>
    <row r="38" spans="1:24">
      <c r="A38" s="45" t="str">
        <f>'1. 소켓인수검사'!A36</f>
        <v>28</v>
      </c>
      <c r="B38" s="29">
        <f>'1. 소켓인수검사'!C36</f>
        <v>900</v>
      </c>
      <c r="C38" s="29">
        <f>'1. 소켓인수검사'!D36</f>
        <v>900</v>
      </c>
      <c r="D38" s="24">
        <v>1</v>
      </c>
      <c r="E38" s="59"/>
      <c r="F38" s="24">
        <v>60</v>
      </c>
      <c r="G38" s="58">
        <f t="shared" si="2"/>
        <v>895</v>
      </c>
      <c r="H38" s="24">
        <v>2</v>
      </c>
      <c r="I38" s="24"/>
      <c r="J38" s="24">
        <v>204</v>
      </c>
      <c r="K38" s="183">
        <f t="shared" si="3"/>
        <v>895</v>
      </c>
      <c r="L38" s="183">
        <f t="shared" si="4"/>
        <v>412.5</v>
      </c>
      <c r="M38" s="183">
        <f t="shared" si="5"/>
        <v>-34</v>
      </c>
      <c r="N38" s="24">
        <v>2</v>
      </c>
      <c r="O38" s="24"/>
      <c r="P38" s="24">
        <v>235</v>
      </c>
      <c r="Q38" s="58">
        <f t="shared" si="6"/>
        <v>899</v>
      </c>
      <c r="R38" s="24">
        <f t="shared" si="7"/>
        <v>2</v>
      </c>
      <c r="S38" s="24"/>
      <c r="T38" s="24">
        <v>190</v>
      </c>
      <c r="U38" s="58">
        <f t="shared" si="8"/>
        <v>899</v>
      </c>
      <c r="V38" s="24">
        <f t="shared" si="9"/>
        <v>2</v>
      </c>
      <c r="W38" s="24"/>
      <c r="X38" s="26">
        <v>0</v>
      </c>
    </row>
    <row r="39" spans="1:24">
      <c r="A39" s="45" t="str">
        <f>'1. 소켓인수검사'!A37</f>
        <v>29</v>
      </c>
      <c r="B39" s="29">
        <f>'1. 소켓인수검사'!C37</f>
        <v>900</v>
      </c>
      <c r="C39" s="29">
        <f>'1. 소켓인수검사'!D37</f>
        <v>900</v>
      </c>
      <c r="D39" s="24">
        <v>1</v>
      </c>
      <c r="E39" s="59"/>
      <c r="F39" s="24">
        <v>60</v>
      </c>
      <c r="G39" s="58">
        <f t="shared" si="2"/>
        <v>895</v>
      </c>
      <c r="H39" s="24">
        <v>2</v>
      </c>
      <c r="I39" s="24"/>
      <c r="J39" s="24">
        <v>204</v>
      </c>
      <c r="K39" s="183">
        <f t="shared" si="3"/>
        <v>895</v>
      </c>
      <c r="L39" s="183">
        <f t="shared" si="4"/>
        <v>412.5</v>
      </c>
      <c r="M39" s="183">
        <f t="shared" si="5"/>
        <v>-34</v>
      </c>
      <c r="N39" s="24">
        <v>2</v>
      </c>
      <c r="O39" s="24"/>
      <c r="P39" s="24">
        <v>235</v>
      </c>
      <c r="Q39" s="58">
        <f t="shared" si="6"/>
        <v>899</v>
      </c>
      <c r="R39" s="24">
        <f t="shared" si="7"/>
        <v>2</v>
      </c>
      <c r="S39" s="24"/>
      <c r="T39" s="24">
        <v>190</v>
      </c>
      <c r="U39" s="58">
        <f t="shared" si="8"/>
        <v>899</v>
      </c>
      <c r="V39" s="24">
        <f t="shared" si="9"/>
        <v>2</v>
      </c>
      <c r="W39" s="24"/>
      <c r="X39" s="26">
        <v>0</v>
      </c>
    </row>
    <row r="40" spans="1:24">
      <c r="A40" s="45" t="str">
        <f>'1. 소켓인수검사'!A38</f>
        <v>30</v>
      </c>
      <c r="B40" s="29">
        <f>'1. 소켓인수검사'!C38</f>
        <v>900</v>
      </c>
      <c r="C40" s="29">
        <f>'1. 소켓인수검사'!D38</f>
        <v>900</v>
      </c>
      <c r="D40" s="24">
        <v>1</v>
      </c>
      <c r="E40" s="59"/>
      <c r="F40" s="24">
        <v>60</v>
      </c>
      <c r="G40" s="58">
        <f t="shared" si="2"/>
        <v>895</v>
      </c>
      <c r="H40" s="24">
        <v>2</v>
      </c>
      <c r="I40" s="24"/>
      <c r="J40" s="24">
        <v>204</v>
      </c>
      <c r="K40" s="183">
        <f t="shared" si="3"/>
        <v>895</v>
      </c>
      <c r="L40" s="183">
        <f t="shared" si="4"/>
        <v>412.5</v>
      </c>
      <c r="M40" s="183">
        <f t="shared" si="5"/>
        <v>-34</v>
      </c>
      <c r="N40" s="24">
        <v>2</v>
      </c>
      <c r="O40" s="24"/>
      <c r="P40" s="24">
        <v>235</v>
      </c>
      <c r="Q40" s="58">
        <f t="shared" si="6"/>
        <v>899</v>
      </c>
      <c r="R40" s="24">
        <f t="shared" si="7"/>
        <v>2</v>
      </c>
      <c r="S40" s="24"/>
      <c r="T40" s="24">
        <v>190</v>
      </c>
      <c r="U40" s="58">
        <f t="shared" si="8"/>
        <v>899</v>
      </c>
      <c r="V40" s="24">
        <f t="shared" si="9"/>
        <v>2</v>
      </c>
      <c r="W40" s="24"/>
      <c r="X40" s="26">
        <v>0</v>
      </c>
    </row>
    <row r="41" spans="1:24">
      <c r="A41" s="45" t="str">
        <f>'1. 소켓인수검사'!A39</f>
        <v>31</v>
      </c>
      <c r="B41" s="29">
        <f>'1. 소켓인수검사'!C39</f>
        <v>900</v>
      </c>
      <c r="C41" s="29">
        <f>'1. 소켓인수검사'!D39</f>
        <v>900</v>
      </c>
      <c r="D41" s="24">
        <v>1</v>
      </c>
      <c r="E41" s="59"/>
      <c r="F41" s="24">
        <v>60</v>
      </c>
      <c r="G41" s="58">
        <f t="shared" si="2"/>
        <v>895</v>
      </c>
      <c r="H41" s="24">
        <v>2</v>
      </c>
      <c r="I41" s="24"/>
      <c r="J41" s="24">
        <v>204</v>
      </c>
      <c r="K41" s="183">
        <f t="shared" si="3"/>
        <v>895</v>
      </c>
      <c r="L41" s="183">
        <f t="shared" si="4"/>
        <v>412.5</v>
      </c>
      <c r="M41" s="183">
        <f t="shared" si="5"/>
        <v>-34</v>
      </c>
      <c r="N41" s="24">
        <v>2</v>
      </c>
      <c r="O41" s="24"/>
      <c r="P41" s="24">
        <v>235</v>
      </c>
      <c r="Q41" s="58">
        <f t="shared" si="6"/>
        <v>899</v>
      </c>
      <c r="R41" s="24">
        <f t="shared" si="7"/>
        <v>2</v>
      </c>
      <c r="S41" s="24"/>
      <c r="T41" s="24">
        <v>190</v>
      </c>
      <c r="U41" s="58">
        <f t="shared" si="8"/>
        <v>899</v>
      </c>
      <c r="V41" s="24">
        <f t="shared" si="9"/>
        <v>2</v>
      </c>
      <c r="W41" s="24"/>
      <c r="X41" s="26">
        <v>0</v>
      </c>
    </row>
    <row r="42" spans="1:24">
      <c r="A42" s="45" t="str">
        <f>'1. 소켓인수검사'!A40</f>
        <v>32</v>
      </c>
      <c r="B42" s="29">
        <f>'1. 소켓인수검사'!C40</f>
        <v>900</v>
      </c>
      <c r="C42" s="29">
        <f>'1. 소켓인수검사'!D40</f>
        <v>900</v>
      </c>
      <c r="D42" s="24">
        <v>1</v>
      </c>
      <c r="E42" s="59"/>
      <c r="F42" s="24">
        <v>60</v>
      </c>
      <c r="G42" s="58">
        <f t="shared" si="2"/>
        <v>895</v>
      </c>
      <c r="H42" s="24">
        <v>2</v>
      </c>
      <c r="I42" s="24"/>
      <c r="J42" s="24">
        <v>204</v>
      </c>
      <c r="K42" s="183">
        <f t="shared" si="3"/>
        <v>895</v>
      </c>
      <c r="L42" s="183">
        <f t="shared" si="4"/>
        <v>412.5</v>
      </c>
      <c r="M42" s="183">
        <f t="shared" si="5"/>
        <v>-34</v>
      </c>
      <c r="N42" s="24">
        <v>2</v>
      </c>
      <c r="O42" s="24"/>
      <c r="P42" s="24">
        <v>235</v>
      </c>
      <c r="Q42" s="58">
        <f t="shared" si="6"/>
        <v>899</v>
      </c>
      <c r="R42" s="24">
        <f t="shared" si="7"/>
        <v>2</v>
      </c>
      <c r="S42" s="24"/>
      <c r="T42" s="24">
        <v>190</v>
      </c>
      <c r="U42" s="58">
        <f t="shared" si="8"/>
        <v>899</v>
      </c>
      <c r="V42" s="24">
        <f t="shared" si="9"/>
        <v>2</v>
      </c>
      <c r="W42" s="24"/>
      <c r="X42" s="26">
        <v>0</v>
      </c>
    </row>
    <row r="43" spans="1:24">
      <c r="A43" s="45" t="str">
        <f>'1. 소켓인수검사'!A41</f>
        <v>33</v>
      </c>
      <c r="B43" s="29">
        <f>'1. 소켓인수검사'!C41</f>
        <v>900</v>
      </c>
      <c r="C43" s="29">
        <f>'1. 소켓인수검사'!D41</f>
        <v>900</v>
      </c>
      <c r="D43" s="24">
        <v>1</v>
      </c>
      <c r="E43" s="59"/>
      <c r="F43" s="24">
        <v>60</v>
      </c>
      <c r="G43" s="58">
        <f t="shared" si="2"/>
        <v>895</v>
      </c>
      <c r="H43" s="24">
        <v>2</v>
      </c>
      <c r="I43" s="24"/>
      <c r="J43" s="24">
        <v>204</v>
      </c>
      <c r="K43" s="183">
        <f t="shared" si="3"/>
        <v>895</v>
      </c>
      <c r="L43" s="183">
        <f t="shared" si="4"/>
        <v>412.5</v>
      </c>
      <c r="M43" s="183">
        <f t="shared" si="5"/>
        <v>-34</v>
      </c>
      <c r="N43" s="24">
        <v>2</v>
      </c>
      <c r="O43" s="24"/>
      <c r="P43" s="24">
        <v>235</v>
      </c>
      <c r="Q43" s="58">
        <f t="shared" si="6"/>
        <v>899</v>
      </c>
      <c r="R43" s="24">
        <f t="shared" si="7"/>
        <v>2</v>
      </c>
      <c r="S43" s="24"/>
      <c r="T43" s="24">
        <v>190</v>
      </c>
      <c r="U43" s="58">
        <f t="shared" si="8"/>
        <v>899</v>
      </c>
      <c r="V43" s="24">
        <f t="shared" si="9"/>
        <v>2</v>
      </c>
      <c r="W43" s="24"/>
      <c r="X43" s="26">
        <v>0</v>
      </c>
    </row>
    <row r="44" spans="1:24">
      <c r="A44" s="45" t="str">
        <f>'1. 소켓인수검사'!A42</f>
        <v>34</v>
      </c>
      <c r="B44" s="29">
        <f>'1. 소켓인수검사'!C42</f>
        <v>900</v>
      </c>
      <c r="C44" s="29">
        <f>'1. 소켓인수검사'!D42</f>
        <v>900</v>
      </c>
      <c r="D44" s="24">
        <v>1</v>
      </c>
      <c r="E44" s="59"/>
      <c r="F44" s="24">
        <v>60</v>
      </c>
      <c r="G44" s="58">
        <f t="shared" si="2"/>
        <v>895</v>
      </c>
      <c r="H44" s="24">
        <v>2</v>
      </c>
      <c r="I44" s="24"/>
      <c r="J44" s="24">
        <v>204</v>
      </c>
      <c r="K44" s="183">
        <f t="shared" si="3"/>
        <v>895</v>
      </c>
      <c r="L44" s="183">
        <f t="shared" si="4"/>
        <v>412.5</v>
      </c>
      <c r="M44" s="183">
        <f t="shared" si="5"/>
        <v>-34</v>
      </c>
      <c r="N44" s="24">
        <v>2</v>
      </c>
      <c r="O44" s="24"/>
      <c r="P44" s="24">
        <v>235</v>
      </c>
      <c r="Q44" s="58">
        <f t="shared" si="6"/>
        <v>899</v>
      </c>
      <c r="R44" s="24">
        <f t="shared" si="7"/>
        <v>2</v>
      </c>
      <c r="S44" s="24"/>
      <c r="T44" s="24">
        <v>190</v>
      </c>
      <c r="U44" s="58">
        <f t="shared" si="8"/>
        <v>899</v>
      </c>
      <c r="V44" s="24">
        <f t="shared" si="9"/>
        <v>2</v>
      </c>
      <c r="W44" s="24"/>
      <c r="X44" s="26">
        <v>0</v>
      </c>
    </row>
    <row r="45" spans="1:24">
      <c r="A45" s="45" t="str">
        <f>'1. 소켓인수검사'!A43</f>
        <v>35</v>
      </c>
      <c r="B45" s="29">
        <f>'1. 소켓인수검사'!C43</f>
        <v>900</v>
      </c>
      <c r="C45" s="29">
        <f>'1. 소켓인수검사'!D43</f>
        <v>900</v>
      </c>
      <c r="D45" s="24">
        <v>1</v>
      </c>
      <c r="E45" s="59"/>
      <c r="F45" s="24">
        <v>60</v>
      </c>
      <c r="G45" s="58">
        <f t="shared" si="2"/>
        <v>895</v>
      </c>
      <c r="H45" s="24">
        <v>2</v>
      </c>
      <c r="I45" s="24"/>
      <c r="J45" s="24">
        <v>204</v>
      </c>
      <c r="K45" s="183">
        <f t="shared" si="3"/>
        <v>895</v>
      </c>
      <c r="L45" s="183">
        <f t="shared" si="4"/>
        <v>412.5</v>
      </c>
      <c r="M45" s="183">
        <f t="shared" si="5"/>
        <v>-34</v>
      </c>
      <c r="N45" s="24">
        <v>2</v>
      </c>
      <c r="O45" s="24"/>
      <c r="P45" s="24">
        <v>235</v>
      </c>
      <c r="Q45" s="58">
        <f t="shared" si="6"/>
        <v>899</v>
      </c>
      <c r="R45" s="24">
        <f t="shared" si="7"/>
        <v>2</v>
      </c>
      <c r="S45" s="24"/>
      <c r="T45" s="24">
        <v>190</v>
      </c>
      <c r="U45" s="58">
        <f t="shared" si="8"/>
        <v>899</v>
      </c>
      <c r="V45" s="24">
        <f t="shared" si="9"/>
        <v>2</v>
      </c>
      <c r="W45" s="24"/>
      <c r="X45" s="26">
        <v>0</v>
      </c>
    </row>
    <row r="46" spans="1:24">
      <c r="A46" s="45" t="str">
        <f>'1. 소켓인수검사'!A44</f>
        <v>36</v>
      </c>
      <c r="B46" s="29">
        <f>'1. 소켓인수검사'!C44</f>
        <v>900</v>
      </c>
      <c r="C46" s="29">
        <f>'1. 소켓인수검사'!D44</f>
        <v>900</v>
      </c>
      <c r="D46" s="24">
        <v>1</v>
      </c>
      <c r="E46" s="59"/>
      <c r="F46" s="24">
        <v>60</v>
      </c>
      <c r="G46" s="58">
        <f t="shared" si="2"/>
        <v>895</v>
      </c>
      <c r="H46" s="24">
        <v>2</v>
      </c>
      <c r="I46" s="24"/>
      <c r="J46" s="24">
        <v>204</v>
      </c>
      <c r="K46" s="183">
        <f t="shared" si="3"/>
        <v>895</v>
      </c>
      <c r="L46" s="183">
        <f t="shared" si="4"/>
        <v>412.5</v>
      </c>
      <c r="M46" s="183">
        <f t="shared" si="5"/>
        <v>-34</v>
      </c>
      <c r="N46" s="24">
        <v>2</v>
      </c>
      <c r="O46" s="24"/>
      <c r="P46" s="24">
        <v>235</v>
      </c>
      <c r="Q46" s="58">
        <f t="shared" si="6"/>
        <v>899</v>
      </c>
      <c r="R46" s="24">
        <f t="shared" si="7"/>
        <v>2</v>
      </c>
      <c r="S46" s="24"/>
      <c r="T46" s="24">
        <v>190</v>
      </c>
      <c r="U46" s="58">
        <f t="shared" si="8"/>
        <v>899</v>
      </c>
      <c r="V46" s="24">
        <f t="shared" si="9"/>
        <v>2</v>
      </c>
      <c r="W46" s="24"/>
      <c r="X46" s="26">
        <v>0</v>
      </c>
    </row>
    <row r="47" spans="1:24">
      <c r="A47" s="45" t="str">
        <f>'1. 소켓인수검사'!A45</f>
        <v>37</v>
      </c>
      <c r="B47" s="29">
        <f>'1. 소켓인수검사'!C45</f>
        <v>900</v>
      </c>
      <c r="C47" s="29">
        <f>'1. 소켓인수검사'!D45</f>
        <v>900</v>
      </c>
      <c r="D47" s="24">
        <v>1</v>
      </c>
      <c r="E47" s="59"/>
      <c r="F47" s="24">
        <v>60</v>
      </c>
      <c r="G47" s="58">
        <f t="shared" si="2"/>
        <v>895</v>
      </c>
      <c r="H47" s="24">
        <v>2</v>
      </c>
      <c r="I47" s="24"/>
      <c r="J47" s="24">
        <v>204</v>
      </c>
      <c r="K47" s="183">
        <f t="shared" si="3"/>
        <v>895</v>
      </c>
      <c r="L47" s="183">
        <f t="shared" si="4"/>
        <v>412.5</v>
      </c>
      <c r="M47" s="183">
        <f t="shared" si="5"/>
        <v>-34</v>
      </c>
      <c r="N47" s="24">
        <v>2</v>
      </c>
      <c r="O47" s="24"/>
      <c r="P47" s="24">
        <v>235</v>
      </c>
      <c r="Q47" s="58">
        <f t="shared" si="6"/>
        <v>899</v>
      </c>
      <c r="R47" s="24">
        <f t="shared" si="7"/>
        <v>2</v>
      </c>
      <c r="S47" s="24"/>
      <c r="T47" s="24">
        <v>190</v>
      </c>
      <c r="U47" s="58">
        <f t="shared" si="8"/>
        <v>899</v>
      </c>
      <c r="V47" s="24">
        <f t="shared" si="9"/>
        <v>2</v>
      </c>
      <c r="W47" s="24"/>
      <c r="X47" s="26">
        <v>0</v>
      </c>
    </row>
    <row r="48" spans="1:24">
      <c r="A48" s="45" t="str">
        <f>'1. 소켓인수검사'!A46</f>
        <v>38</v>
      </c>
      <c r="B48" s="29">
        <f>'1. 소켓인수검사'!C46</f>
        <v>900</v>
      </c>
      <c r="C48" s="29">
        <f>'1. 소켓인수검사'!D46</f>
        <v>900</v>
      </c>
      <c r="D48" s="24">
        <v>1</v>
      </c>
      <c r="E48" s="59"/>
      <c r="F48" s="24">
        <v>60</v>
      </c>
      <c r="G48" s="58">
        <f t="shared" si="2"/>
        <v>895</v>
      </c>
      <c r="H48" s="24">
        <v>2</v>
      </c>
      <c r="I48" s="24"/>
      <c r="J48" s="24">
        <v>204</v>
      </c>
      <c r="K48" s="183">
        <f t="shared" si="3"/>
        <v>895</v>
      </c>
      <c r="L48" s="183">
        <f t="shared" si="4"/>
        <v>412.5</v>
      </c>
      <c r="M48" s="183">
        <f t="shared" si="5"/>
        <v>-34</v>
      </c>
      <c r="N48" s="24">
        <v>2</v>
      </c>
      <c r="O48" s="24"/>
      <c r="P48" s="24">
        <v>235</v>
      </c>
      <c r="Q48" s="58">
        <f t="shared" si="6"/>
        <v>899</v>
      </c>
      <c r="R48" s="24">
        <f t="shared" si="7"/>
        <v>2</v>
      </c>
      <c r="S48" s="24"/>
      <c r="T48" s="24">
        <v>190</v>
      </c>
      <c r="U48" s="58">
        <f t="shared" si="8"/>
        <v>899</v>
      </c>
      <c r="V48" s="24">
        <f t="shared" si="9"/>
        <v>2</v>
      </c>
      <c r="W48" s="24"/>
      <c r="X48" s="26">
        <v>0</v>
      </c>
    </row>
    <row r="49" spans="1:24">
      <c r="A49" s="45" t="str">
        <f>'1. 소켓인수검사'!A47</f>
        <v>39</v>
      </c>
      <c r="B49" s="29">
        <f>'1. 소켓인수검사'!C47</f>
        <v>900</v>
      </c>
      <c r="C49" s="29">
        <f>'1. 소켓인수검사'!D47</f>
        <v>900</v>
      </c>
      <c r="D49" s="24">
        <v>1</v>
      </c>
      <c r="E49" s="59"/>
      <c r="F49" s="24">
        <v>60</v>
      </c>
      <c r="G49" s="58">
        <f t="shared" si="2"/>
        <v>895</v>
      </c>
      <c r="H49" s="24">
        <v>2</v>
      </c>
      <c r="I49" s="24"/>
      <c r="J49" s="24">
        <v>204</v>
      </c>
      <c r="K49" s="183">
        <f t="shared" si="3"/>
        <v>895</v>
      </c>
      <c r="L49" s="183">
        <f t="shared" si="4"/>
        <v>412.5</v>
      </c>
      <c r="M49" s="183">
        <f t="shared" si="5"/>
        <v>-34</v>
      </c>
      <c r="N49" s="24">
        <v>2</v>
      </c>
      <c r="O49" s="24"/>
      <c r="P49" s="24">
        <v>235</v>
      </c>
      <c r="Q49" s="58">
        <f t="shared" si="6"/>
        <v>899</v>
      </c>
      <c r="R49" s="24">
        <f t="shared" si="7"/>
        <v>2</v>
      </c>
      <c r="S49" s="24"/>
      <c r="T49" s="24">
        <v>190</v>
      </c>
      <c r="U49" s="58">
        <f t="shared" si="8"/>
        <v>899</v>
      </c>
      <c r="V49" s="24">
        <f t="shared" si="9"/>
        <v>2</v>
      </c>
      <c r="W49" s="24"/>
      <c r="X49" s="26">
        <v>0</v>
      </c>
    </row>
    <row r="50" spans="1:24">
      <c r="A50" s="45" t="str">
        <f>'1. 소켓인수검사'!A48</f>
        <v>40</v>
      </c>
      <c r="B50" s="29">
        <f>'1. 소켓인수검사'!C48</f>
        <v>900</v>
      </c>
      <c r="C50" s="29">
        <f>'1. 소켓인수검사'!D48</f>
        <v>900</v>
      </c>
      <c r="D50" s="24">
        <v>1</v>
      </c>
      <c r="E50" s="59"/>
      <c r="F50" s="24">
        <v>60</v>
      </c>
      <c r="G50" s="58">
        <f t="shared" si="2"/>
        <v>895</v>
      </c>
      <c r="H50" s="24">
        <v>2</v>
      </c>
      <c r="I50" s="24"/>
      <c r="J50" s="24">
        <v>204</v>
      </c>
      <c r="K50" s="183">
        <f t="shared" si="3"/>
        <v>895</v>
      </c>
      <c r="L50" s="183">
        <f t="shared" si="4"/>
        <v>412.5</v>
      </c>
      <c r="M50" s="183">
        <f t="shared" si="5"/>
        <v>-34</v>
      </c>
      <c r="N50" s="24">
        <v>2</v>
      </c>
      <c r="O50" s="24"/>
      <c r="P50" s="24">
        <v>235</v>
      </c>
      <c r="Q50" s="58">
        <f t="shared" si="6"/>
        <v>899</v>
      </c>
      <c r="R50" s="24">
        <f t="shared" si="7"/>
        <v>2</v>
      </c>
      <c r="S50" s="24"/>
      <c r="T50" s="24">
        <v>190</v>
      </c>
      <c r="U50" s="58">
        <f t="shared" si="8"/>
        <v>899</v>
      </c>
      <c r="V50" s="24">
        <f t="shared" si="9"/>
        <v>2</v>
      </c>
      <c r="W50" s="24"/>
      <c r="X50" s="26">
        <v>0</v>
      </c>
    </row>
    <row r="51" spans="1:24">
      <c r="A51" s="45" t="str">
        <f>'1. 소켓인수검사'!A49</f>
        <v>41</v>
      </c>
      <c r="B51" s="29">
        <f>'1. 소켓인수검사'!C49</f>
        <v>900</v>
      </c>
      <c r="C51" s="29">
        <f>'1. 소켓인수검사'!D49</f>
        <v>900</v>
      </c>
      <c r="D51" s="24">
        <v>1</v>
      </c>
      <c r="E51" s="59"/>
      <c r="F51" s="24">
        <v>60</v>
      </c>
      <c r="G51" s="58">
        <f t="shared" si="2"/>
        <v>895</v>
      </c>
      <c r="H51" s="24">
        <v>2</v>
      </c>
      <c r="I51" s="24"/>
      <c r="J51" s="24">
        <v>204</v>
      </c>
      <c r="K51" s="183">
        <f t="shared" si="3"/>
        <v>895</v>
      </c>
      <c r="L51" s="183">
        <f t="shared" si="4"/>
        <v>412.5</v>
      </c>
      <c r="M51" s="183">
        <f t="shared" si="5"/>
        <v>-34</v>
      </c>
      <c r="N51" s="24">
        <v>2</v>
      </c>
      <c r="O51" s="24"/>
      <c r="P51" s="24">
        <v>235</v>
      </c>
      <c r="Q51" s="58">
        <f t="shared" si="6"/>
        <v>899</v>
      </c>
      <c r="R51" s="24">
        <f t="shared" si="7"/>
        <v>2</v>
      </c>
      <c r="S51" s="24"/>
      <c r="T51" s="24">
        <v>190</v>
      </c>
      <c r="U51" s="58">
        <f t="shared" si="8"/>
        <v>899</v>
      </c>
      <c r="V51" s="24">
        <f t="shared" si="9"/>
        <v>2</v>
      </c>
      <c r="W51" s="24"/>
      <c r="X51" s="26">
        <v>0</v>
      </c>
    </row>
    <row r="52" spans="1:24">
      <c r="A52" s="45" t="str">
        <f>'1. 소켓인수검사'!A50</f>
        <v>42</v>
      </c>
      <c r="B52" s="29">
        <f>'1. 소켓인수검사'!C50</f>
        <v>900</v>
      </c>
      <c r="C52" s="29">
        <f>'1. 소켓인수검사'!D50</f>
        <v>900</v>
      </c>
      <c r="D52" s="24">
        <v>1</v>
      </c>
      <c r="E52" s="59"/>
      <c r="F52" s="24">
        <v>60</v>
      </c>
      <c r="G52" s="58">
        <f t="shared" si="2"/>
        <v>895</v>
      </c>
      <c r="H52" s="24">
        <v>2</v>
      </c>
      <c r="I52" s="24"/>
      <c r="J52" s="24">
        <v>204</v>
      </c>
      <c r="K52" s="183">
        <f t="shared" si="3"/>
        <v>895</v>
      </c>
      <c r="L52" s="183">
        <f t="shared" si="4"/>
        <v>412.5</v>
      </c>
      <c r="M52" s="183">
        <f t="shared" si="5"/>
        <v>-34</v>
      </c>
      <c r="N52" s="24">
        <v>2</v>
      </c>
      <c r="O52" s="24"/>
      <c r="P52" s="24">
        <v>235</v>
      </c>
      <c r="Q52" s="58">
        <f t="shared" si="6"/>
        <v>899</v>
      </c>
      <c r="R52" s="24">
        <f t="shared" si="7"/>
        <v>2</v>
      </c>
      <c r="S52" s="24"/>
      <c r="T52" s="24">
        <v>190</v>
      </c>
      <c r="U52" s="58">
        <f t="shared" si="8"/>
        <v>899</v>
      </c>
      <c r="V52" s="24">
        <f t="shared" si="9"/>
        <v>2</v>
      </c>
      <c r="W52" s="24"/>
      <c r="X52" s="26">
        <v>0</v>
      </c>
    </row>
    <row r="53" spans="1:24">
      <c r="A53" s="45" t="str">
        <f>'1. 소켓인수검사'!A51</f>
        <v>43</v>
      </c>
      <c r="B53" s="29">
        <f>'1. 소켓인수검사'!C51</f>
        <v>900</v>
      </c>
      <c r="C53" s="29">
        <f>'1. 소켓인수검사'!D51</f>
        <v>900</v>
      </c>
      <c r="D53" s="24">
        <v>1</v>
      </c>
      <c r="E53" s="59"/>
      <c r="F53" s="24">
        <v>60</v>
      </c>
      <c r="G53" s="58">
        <f t="shared" si="2"/>
        <v>895</v>
      </c>
      <c r="H53" s="24">
        <v>2</v>
      </c>
      <c r="I53" s="24"/>
      <c r="J53" s="24">
        <v>204</v>
      </c>
      <c r="K53" s="183">
        <f t="shared" si="3"/>
        <v>895</v>
      </c>
      <c r="L53" s="183">
        <f t="shared" si="4"/>
        <v>412.5</v>
      </c>
      <c r="M53" s="183">
        <f t="shared" si="5"/>
        <v>-34</v>
      </c>
      <c r="N53" s="24">
        <v>2</v>
      </c>
      <c r="O53" s="24"/>
      <c r="P53" s="24">
        <v>235</v>
      </c>
      <c r="Q53" s="58">
        <f t="shared" si="6"/>
        <v>899</v>
      </c>
      <c r="R53" s="24">
        <f t="shared" si="7"/>
        <v>2</v>
      </c>
      <c r="S53" s="24"/>
      <c r="T53" s="24">
        <v>190</v>
      </c>
      <c r="U53" s="58">
        <f t="shared" si="8"/>
        <v>899</v>
      </c>
      <c r="V53" s="24">
        <f t="shared" si="9"/>
        <v>2</v>
      </c>
      <c r="W53" s="24"/>
      <c r="X53" s="26">
        <v>0</v>
      </c>
    </row>
    <row r="54" spans="1:24">
      <c r="A54" s="45" t="str">
        <f>'1. 소켓인수검사'!A52</f>
        <v>44</v>
      </c>
      <c r="B54" s="29">
        <f>'1. 소켓인수검사'!C52</f>
        <v>900</v>
      </c>
      <c r="C54" s="29">
        <f>'1. 소켓인수검사'!D52</f>
        <v>900</v>
      </c>
      <c r="D54" s="24">
        <v>1</v>
      </c>
      <c r="E54" s="59"/>
      <c r="F54" s="24">
        <v>60</v>
      </c>
      <c r="G54" s="58">
        <f t="shared" si="2"/>
        <v>895</v>
      </c>
      <c r="H54" s="24">
        <v>2</v>
      </c>
      <c r="I54" s="24"/>
      <c r="J54" s="24">
        <v>204</v>
      </c>
      <c r="K54" s="183">
        <f t="shared" si="3"/>
        <v>895</v>
      </c>
      <c r="L54" s="183">
        <f t="shared" si="4"/>
        <v>412.5</v>
      </c>
      <c r="M54" s="183">
        <f t="shared" si="5"/>
        <v>-34</v>
      </c>
      <c r="N54" s="24">
        <v>2</v>
      </c>
      <c r="O54" s="24"/>
      <c r="P54" s="24">
        <v>235</v>
      </c>
      <c r="Q54" s="58">
        <f t="shared" si="6"/>
        <v>899</v>
      </c>
      <c r="R54" s="24">
        <f t="shared" si="7"/>
        <v>2</v>
      </c>
      <c r="S54" s="24"/>
      <c r="T54" s="24">
        <v>190</v>
      </c>
      <c r="U54" s="58">
        <f t="shared" si="8"/>
        <v>899</v>
      </c>
      <c r="V54" s="24">
        <f t="shared" si="9"/>
        <v>2</v>
      </c>
      <c r="W54" s="24"/>
      <c r="X54" s="26">
        <v>0</v>
      </c>
    </row>
    <row r="55" spans="1:24">
      <c r="A55" s="45" t="str">
        <f>'1. 소켓인수검사'!A53</f>
        <v>45</v>
      </c>
      <c r="B55" s="29">
        <f>'1. 소켓인수검사'!C53</f>
        <v>900</v>
      </c>
      <c r="C55" s="29">
        <f>'1. 소켓인수검사'!D53</f>
        <v>900</v>
      </c>
      <c r="D55" s="24">
        <v>1</v>
      </c>
      <c r="E55" s="59"/>
      <c r="F55" s="24">
        <v>60</v>
      </c>
      <c r="G55" s="58">
        <f t="shared" si="2"/>
        <v>895</v>
      </c>
      <c r="H55" s="24">
        <v>2</v>
      </c>
      <c r="I55" s="24"/>
      <c r="J55" s="24">
        <v>204</v>
      </c>
      <c r="K55" s="183">
        <f t="shared" si="3"/>
        <v>895</v>
      </c>
      <c r="L55" s="183">
        <f t="shared" si="4"/>
        <v>412.5</v>
      </c>
      <c r="M55" s="183">
        <f t="shared" si="5"/>
        <v>-34</v>
      </c>
      <c r="N55" s="24">
        <v>2</v>
      </c>
      <c r="O55" s="24"/>
      <c r="P55" s="24">
        <v>235</v>
      </c>
      <c r="Q55" s="58">
        <f t="shared" si="6"/>
        <v>899</v>
      </c>
      <c r="R55" s="24">
        <f t="shared" si="7"/>
        <v>2</v>
      </c>
      <c r="S55" s="24"/>
      <c r="T55" s="24">
        <v>190</v>
      </c>
      <c r="U55" s="58">
        <f t="shared" si="8"/>
        <v>899</v>
      </c>
      <c r="V55" s="24">
        <f t="shared" si="9"/>
        <v>2</v>
      </c>
      <c r="W55" s="24"/>
      <c r="X55" s="26">
        <v>0</v>
      </c>
    </row>
    <row r="56" spans="1:24">
      <c r="A56" s="45" t="str">
        <f>'1. 소켓인수검사'!A54</f>
        <v>46</v>
      </c>
      <c r="B56" s="29">
        <f>'1. 소켓인수검사'!C54</f>
        <v>900</v>
      </c>
      <c r="C56" s="29">
        <f>'1. 소켓인수검사'!D54</f>
        <v>900</v>
      </c>
      <c r="D56" s="24">
        <v>1</v>
      </c>
      <c r="E56" s="59"/>
      <c r="F56" s="24">
        <v>60</v>
      </c>
      <c r="G56" s="58">
        <f t="shared" si="2"/>
        <v>895</v>
      </c>
      <c r="H56" s="24">
        <v>2</v>
      </c>
      <c r="I56" s="24"/>
      <c r="J56" s="24">
        <v>204</v>
      </c>
      <c r="K56" s="183">
        <f t="shared" si="3"/>
        <v>895</v>
      </c>
      <c r="L56" s="183">
        <f t="shared" si="4"/>
        <v>412.5</v>
      </c>
      <c r="M56" s="183">
        <f t="shared" si="5"/>
        <v>-34</v>
      </c>
      <c r="N56" s="24">
        <v>2</v>
      </c>
      <c r="O56" s="24"/>
      <c r="P56" s="24">
        <v>235</v>
      </c>
      <c r="Q56" s="58">
        <f t="shared" si="6"/>
        <v>899</v>
      </c>
      <c r="R56" s="24">
        <f t="shared" si="7"/>
        <v>2</v>
      </c>
      <c r="S56" s="24"/>
      <c r="T56" s="24">
        <v>190</v>
      </c>
      <c r="U56" s="58">
        <f t="shared" si="8"/>
        <v>899</v>
      </c>
      <c r="V56" s="24">
        <f t="shared" si="9"/>
        <v>2</v>
      </c>
      <c r="W56" s="24"/>
      <c r="X56" s="26">
        <v>0</v>
      </c>
    </row>
    <row r="57" spans="1:24">
      <c r="A57" s="45" t="str">
        <f>'1. 소켓인수검사'!A55</f>
        <v>47</v>
      </c>
      <c r="B57" s="29">
        <f>'1. 소켓인수검사'!C55</f>
        <v>900</v>
      </c>
      <c r="C57" s="29">
        <f>'1. 소켓인수검사'!D55</f>
        <v>900</v>
      </c>
      <c r="D57" s="24">
        <v>1</v>
      </c>
      <c r="E57" s="59"/>
      <c r="F57" s="24">
        <v>60</v>
      </c>
      <c r="G57" s="58">
        <f t="shared" si="2"/>
        <v>895</v>
      </c>
      <c r="H57" s="24">
        <v>2</v>
      </c>
      <c r="I57" s="24"/>
      <c r="J57" s="24">
        <v>204</v>
      </c>
      <c r="K57" s="183">
        <f t="shared" si="3"/>
        <v>895</v>
      </c>
      <c r="L57" s="183">
        <f t="shared" si="4"/>
        <v>412.5</v>
      </c>
      <c r="M57" s="183">
        <f t="shared" si="5"/>
        <v>-34</v>
      </c>
      <c r="N57" s="24">
        <v>2</v>
      </c>
      <c r="O57" s="24"/>
      <c r="P57" s="24">
        <v>235</v>
      </c>
      <c r="Q57" s="58">
        <f t="shared" si="6"/>
        <v>899</v>
      </c>
      <c r="R57" s="24">
        <f t="shared" si="7"/>
        <v>2</v>
      </c>
      <c r="S57" s="24"/>
      <c r="T57" s="24">
        <v>190</v>
      </c>
      <c r="U57" s="58">
        <f t="shared" si="8"/>
        <v>899</v>
      </c>
      <c r="V57" s="24">
        <f t="shared" si="9"/>
        <v>2</v>
      </c>
      <c r="W57" s="24"/>
      <c r="X57" s="26">
        <v>0</v>
      </c>
    </row>
    <row r="58" spans="1:24">
      <c r="A58" s="45" t="str">
        <f>'1. 소켓인수검사'!A56</f>
        <v>48</v>
      </c>
      <c r="B58" s="29">
        <f>'1. 소켓인수검사'!C56</f>
        <v>900</v>
      </c>
      <c r="C58" s="29">
        <f>'1. 소켓인수검사'!D56</f>
        <v>900</v>
      </c>
      <c r="D58" s="24">
        <v>1</v>
      </c>
      <c r="E58" s="59"/>
      <c r="F58" s="24">
        <v>60</v>
      </c>
      <c r="G58" s="58">
        <f t="shared" si="2"/>
        <v>895</v>
      </c>
      <c r="H58" s="24">
        <v>2</v>
      </c>
      <c r="I58" s="24"/>
      <c r="J58" s="24">
        <v>204</v>
      </c>
      <c r="K58" s="183">
        <f t="shared" si="3"/>
        <v>895</v>
      </c>
      <c r="L58" s="183">
        <f t="shared" si="4"/>
        <v>412.5</v>
      </c>
      <c r="M58" s="183">
        <f t="shared" si="5"/>
        <v>-34</v>
      </c>
      <c r="N58" s="24">
        <v>2</v>
      </c>
      <c r="O58" s="24"/>
      <c r="P58" s="24">
        <v>235</v>
      </c>
      <c r="Q58" s="58">
        <f t="shared" si="6"/>
        <v>899</v>
      </c>
      <c r="R58" s="24">
        <f t="shared" si="7"/>
        <v>2</v>
      </c>
      <c r="S58" s="24"/>
      <c r="T58" s="24">
        <v>190</v>
      </c>
      <c r="U58" s="58">
        <f t="shared" si="8"/>
        <v>899</v>
      </c>
      <c r="V58" s="24">
        <f t="shared" si="9"/>
        <v>2</v>
      </c>
      <c r="W58" s="24"/>
      <c r="X58" s="26">
        <v>0</v>
      </c>
    </row>
    <row r="59" spans="1:24">
      <c r="A59" s="45" t="str">
        <f>'1. 소켓인수검사'!A57</f>
        <v>49</v>
      </c>
      <c r="B59" s="29">
        <f>'1. 소켓인수검사'!C57</f>
        <v>900</v>
      </c>
      <c r="C59" s="29">
        <f>'1. 소켓인수검사'!D57</f>
        <v>900</v>
      </c>
      <c r="D59" s="24">
        <v>1</v>
      </c>
      <c r="E59" s="59"/>
      <c r="F59" s="24">
        <v>60</v>
      </c>
      <c r="G59" s="58">
        <f t="shared" si="2"/>
        <v>895</v>
      </c>
      <c r="H59" s="24">
        <v>2</v>
      </c>
      <c r="I59" s="24"/>
      <c r="J59" s="24">
        <v>204</v>
      </c>
      <c r="K59" s="183">
        <f t="shared" si="3"/>
        <v>895</v>
      </c>
      <c r="L59" s="183">
        <f t="shared" si="4"/>
        <v>412.5</v>
      </c>
      <c r="M59" s="183">
        <f t="shared" si="5"/>
        <v>-34</v>
      </c>
      <c r="N59" s="24">
        <v>2</v>
      </c>
      <c r="O59" s="24"/>
      <c r="P59" s="24">
        <v>235</v>
      </c>
      <c r="Q59" s="58">
        <f t="shared" si="6"/>
        <v>899</v>
      </c>
      <c r="R59" s="24">
        <f t="shared" si="7"/>
        <v>2</v>
      </c>
      <c r="S59" s="24"/>
      <c r="T59" s="24">
        <v>190</v>
      </c>
      <c r="U59" s="58">
        <f t="shared" si="8"/>
        <v>899</v>
      </c>
      <c r="V59" s="24">
        <f t="shared" si="9"/>
        <v>2</v>
      </c>
      <c r="W59" s="24"/>
      <c r="X59" s="26">
        <v>0</v>
      </c>
    </row>
    <row r="60" spans="1:24">
      <c r="A60" s="45" t="str">
        <f>'1. 소켓인수검사'!A58</f>
        <v>50</v>
      </c>
      <c r="B60" s="29">
        <f>'1. 소켓인수검사'!C58</f>
        <v>900</v>
      </c>
      <c r="C60" s="29">
        <f>'1. 소켓인수검사'!D58</f>
        <v>900</v>
      </c>
      <c r="D60" s="24">
        <v>1</v>
      </c>
      <c r="E60" s="59"/>
      <c r="F60" s="24">
        <v>60</v>
      </c>
      <c r="G60" s="58">
        <f t="shared" si="2"/>
        <v>895</v>
      </c>
      <c r="H60" s="24">
        <v>2</v>
      </c>
      <c r="I60" s="24"/>
      <c r="J60" s="24">
        <v>204</v>
      </c>
      <c r="K60" s="183">
        <f t="shared" si="3"/>
        <v>895</v>
      </c>
      <c r="L60" s="183">
        <f t="shared" si="4"/>
        <v>412.5</v>
      </c>
      <c r="M60" s="183">
        <f t="shared" si="5"/>
        <v>-34</v>
      </c>
      <c r="N60" s="24">
        <v>2</v>
      </c>
      <c r="O60" s="24"/>
      <c r="P60" s="24">
        <v>235</v>
      </c>
      <c r="Q60" s="58">
        <f t="shared" si="6"/>
        <v>899</v>
      </c>
      <c r="R60" s="24">
        <f t="shared" si="7"/>
        <v>2</v>
      </c>
      <c r="S60" s="24"/>
      <c r="T60" s="24">
        <v>190</v>
      </c>
      <c r="U60" s="58">
        <f t="shared" si="8"/>
        <v>899</v>
      </c>
      <c r="V60" s="24">
        <f t="shared" si="9"/>
        <v>2</v>
      </c>
      <c r="W60" s="24"/>
      <c r="X60" s="26">
        <v>0</v>
      </c>
    </row>
    <row r="61" spans="1:24">
      <c r="A61" s="45" t="str">
        <f>'1. 소켓인수검사'!A59</f>
        <v>51</v>
      </c>
      <c r="B61" s="29">
        <f>'1. 소켓인수검사'!C59</f>
        <v>900</v>
      </c>
      <c r="C61" s="29">
        <f>'1. 소켓인수검사'!D59</f>
        <v>900</v>
      </c>
      <c r="D61" s="24">
        <v>1</v>
      </c>
      <c r="E61" s="59"/>
      <c r="F61" s="24">
        <v>60</v>
      </c>
      <c r="G61" s="58">
        <f t="shared" si="2"/>
        <v>895</v>
      </c>
      <c r="H61" s="24">
        <v>2</v>
      </c>
      <c r="I61" s="24"/>
      <c r="J61" s="24">
        <v>204</v>
      </c>
      <c r="K61" s="183">
        <f t="shared" si="3"/>
        <v>895</v>
      </c>
      <c r="L61" s="183">
        <f t="shared" si="4"/>
        <v>412.5</v>
      </c>
      <c r="M61" s="183">
        <f t="shared" si="5"/>
        <v>-34</v>
      </c>
      <c r="N61" s="24">
        <v>2</v>
      </c>
      <c r="O61" s="24"/>
      <c r="P61" s="24">
        <v>235</v>
      </c>
      <c r="Q61" s="58">
        <f t="shared" si="6"/>
        <v>899</v>
      </c>
      <c r="R61" s="24">
        <f t="shared" si="7"/>
        <v>2</v>
      </c>
      <c r="S61" s="24"/>
      <c r="T61" s="24">
        <v>190</v>
      </c>
      <c r="U61" s="58">
        <f t="shared" si="8"/>
        <v>899</v>
      </c>
      <c r="V61" s="24">
        <f t="shared" si="9"/>
        <v>2</v>
      </c>
      <c r="W61" s="24"/>
      <c r="X61" s="26">
        <v>0</v>
      </c>
    </row>
    <row r="62" spans="1:24">
      <c r="A62" s="45" t="str">
        <f>'1. 소켓인수검사'!A60</f>
        <v>52</v>
      </c>
      <c r="B62" s="29">
        <f>'1. 소켓인수검사'!C60</f>
        <v>900</v>
      </c>
      <c r="C62" s="29">
        <f>'1. 소켓인수검사'!D60</f>
        <v>900</v>
      </c>
      <c r="D62" s="24">
        <v>1</v>
      </c>
      <c r="E62" s="59"/>
      <c r="F62" s="24">
        <v>60</v>
      </c>
      <c r="G62" s="58">
        <f t="shared" si="2"/>
        <v>895</v>
      </c>
      <c r="H62" s="24">
        <v>2</v>
      </c>
      <c r="I62" s="24"/>
      <c r="J62" s="24">
        <v>204</v>
      </c>
      <c r="K62" s="183">
        <f t="shared" si="3"/>
        <v>895</v>
      </c>
      <c r="L62" s="183">
        <f t="shared" si="4"/>
        <v>412.5</v>
      </c>
      <c r="M62" s="183">
        <f t="shared" si="5"/>
        <v>-34</v>
      </c>
      <c r="N62" s="24">
        <v>2</v>
      </c>
      <c r="O62" s="24"/>
      <c r="P62" s="24">
        <v>235</v>
      </c>
      <c r="Q62" s="58">
        <f t="shared" si="6"/>
        <v>899</v>
      </c>
      <c r="R62" s="24">
        <f t="shared" si="7"/>
        <v>2</v>
      </c>
      <c r="S62" s="24"/>
      <c r="T62" s="24">
        <v>190</v>
      </c>
      <c r="U62" s="58">
        <f t="shared" si="8"/>
        <v>899</v>
      </c>
      <c r="V62" s="24">
        <f t="shared" si="9"/>
        <v>2</v>
      </c>
      <c r="W62" s="24"/>
      <c r="X62" s="26">
        <v>0</v>
      </c>
    </row>
    <row r="63" spans="1:24">
      <c r="A63" s="45" t="str">
        <f>'1. 소켓인수검사'!A61</f>
        <v>53</v>
      </c>
      <c r="B63" s="29">
        <f>'1. 소켓인수검사'!C61</f>
        <v>900</v>
      </c>
      <c r="C63" s="29">
        <f>'1. 소켓인수검사'!D61</f>
        <v>900</v>
      </c>
      <c r="D63" s="24">
        <v>1</v>
      </c>
      <c r="E63" s="59"/>
      <c r="F63" s="24">
        <v>60</v>
      </c>
      <c r="G63" s="58">
        <f t="shared" si="2"/>
        <v>895</v>
      </c>
      <c r="H63" s="24">
        <v>2</v>
      </c>
      <c r="I63" s="24"/>
      <c r="J63" s="24">
        <v>204</v>
      </c>
      <c r="K63" s="183">
        <f t="shared" si="3"/>
        <v>895</v>
      </c>
      <c r="L63" s="183">
        <f t="shared" si="4"/>
        <v>412.5</v>
      </c>
      <c r="M63" s="183">
        <f t="shared" si="5"/>
        <v>-34</v>
      </c>
      <c r="N63" s="24">
        <v>2</v>
      </c>
      <c r="O63" s="24"/>
      <c r="P63" s="24">
        <v>235</v>
      </c>
      <c r="Q63" s="58">
        <f t="shared" si="6"/>
        <v>899</v>
      </c>
      <c r="R63" s="24">
        <f t="shared" si="7"/>
        <v>2</v>
      </c>
      <c r="S63" s="24"/>
      <c r="T63" s="24">
        <v>190</v>
      </c>
      <c r="U63" s="58">
        <f t="shared" si="8"/>
        <v>899</v>
      </c>
      <c r="V63" s="24">
        <f t="shared" si="9"/>
        <v>2</v>
      </c>
      <c r="W63" s="24"/>
      <c r="X63" s="26">
        <v>0</v>
      </c>
    </row>
    <row r="64" spans="1:24">
      <c r="A64" s="45" t="str">
        <f>'1. 소켓인수검사'!A62</f>
        <v>54</v>
      </c>
      <c r="B64" s="29">
        <f>'1. 소켓인수검사'!C62</f>
        <v>900</v>
      </c>
      <c r="C64" s="29">
        <f>'1. 소켓인수검사'!D62</f>
        <v>900</v>
      </c>
      <c r="D64" s="24">
        <v>1</v>
      </c>
      <c r="E64" s="59"/>
      <c r="F64" s="24">
        <v>60</v>
      </c>
      <c r="G64" s="58">
        <f t="shared" si="2"/>
        <v>895</v>
      </c>
      <c r="H64" s="24">
        <v>2</v>
      </c>
      <c r="I64" s="24"/>
      <c r="J64" s="24">
        <v>204</v>
      </c>
      <c r="K64" s="183">
        <f t="shared" si="3"/>
        <v>895</v>
      </c>
      <c r="L64" s="183">
        <f t="shared" si="4"/>
        <v>412.5</v>
      </c>
      <c r="M64" s="183">
        <f t="shared" si="5"/>
        <v>-34</v>
      </c>
      <c r="N64" s="24">
        <v>2</v>
      </c>
      <c r="O64" s="24"/>
      <c r="P64" s="24">
        <v>235</v>
      </c>
      <c r="Q64" s="58">
        <f t="shared" si="6"/>
        <v>899</v>
      </c>
      <c r="R64" s="24">
        <f t="shared" si="7"/>
        <v>2</v>
      </c>
      <c r="S64" s="24"/>
      <c r="T64" s="24">
        <v>190</v>
      </c>
      <c r="U64" s="58">
        <f t="shared" si="8"/>
        <v>899</v>
      </c>
      <c r="V64" s="24">
        <f t="shared" si="9"/>
        <v>2</v>
      </c>
      <c r="W64" s="24"/>
      <c r="X64" s="26">
        <v>0</v>
      </c>
    </row>
    <row r="65" spans="1:24">
      <c r="A65" s="45" t="str">
        <f>'1. 소켓인수검사'!A63</f>
        <v>55</v>
      </c>
      <c r="B65" s="29">
        <f>'1. 소켓인수검사'!C63</f>
        <v>900</v>
      </c>
      <c r="C65" s="29">
        <f>'1. 소켓인수검사'!D63</f>
        <v>900</v>
      </c>
      <c r="D65" s="24">
        <v>1</v>
      </c>
      <c r="E65" s="59"/>
      <c r="F65" s="24">
        <v>60</v>
      </c>
      <c r="G65" s="58">
        <f t="shared" si="2"/>
        <v>895</v>
      </c>
      <c r="H65" s="24">
        <v>2</v>
      </c>
      <c r="I65" s="24"/>
      <c r="J65" s="24">
        <v>204</v>
      </c>
      <c r="K65" s="183">
        <f t="shared" si="3"/>
        <v>895</v>
      </c>
      <c r="L65" s="183">
        <f t="shared" si="4"/>
        <v>412.5</v>
      </c>
      <c r="M65" s="183">
        <f t="shared" si="5"/>
        <v>-34</v>
      </c>
      <c r="N65" s="24">
        <v>2</v>
      </c>
      <c r="O65" s="24"/>
      <c r="P65" s="24">
        <v>235</v>
      </c>
      <c r="Q65" s="58">
        <f t="shared" si="6"/>
        <v>899</v>
      </c>
      <c r="R65" s="24">
        <f t="shared" si="7"/>
        <v>2</v>
      </c>
      <c r="S65" s="24"/>
      <c r="T65" s="24">
        <v>190</v>
      </c>
      <c r="U65" s="58">
        <f t="shared" si="8"/>
        <v>899</v>
      </c>
      <c r="V65" s="24">
        <f t="shared" si="9"/>
        <v>2</v>
      </c>
      <c r="W65" s="24"/>
      <c r="X65" s="26">
        <v>0</v>
      </c>
    </row>
    <row r="66" spans="1:24">
      <c r="A66" s="45" t="str">
        <f>'1. 소켓인수검사'!A64</f>
        <v>56</v>
      </c>
      <c r="B66" s="29">
        <f>'1. 소켓인수검사'!C64</f>
        <v>900</v>
      </c>
      <c r="C66" s="29">
        <f>'1. 소켓인수검사'!D64</f>
        <v>900</v>
      </c>
      <c r="D66" s="24">
        <v>1</v>
      </c>
      <c r="E66" s="59"/>
      <c r="F66" s="24">
        <v>60</v>
      </c>
      <c r="G66" s="58">
        <f t="shared" si="2"/>
        <v>895</v>
      </c>
      <c r="H66" s="24">
        <v>2</v>
      </c>
      <c r="I66" s="24"/>
      <c r="J66" s="24">
        <v>204</v>
      </c>
      <c r="K66" s="183">
        <f t="shared" si="3"/>
        <v>895</v>
      </c>
      <c r="L66" s="183">
        <f t="shared" si="4"/>
        <v>412.5</v>
      </c>
      <c r="M66" s="183">
        <f t="shared" si="5"/>
        <v>-34</v>
      </c>
      <c r="N66" s="24">
        <v>2</v>
      </c>
      <c r="O66" s="24"/>
      <c r="P66" s="24">
        <v>235</v>
      </c>
      <c r="Q66" s="58">
        <f t="shared" si="6"/>
        <v>899</v>
      </c>
      <c r="R66" s="24">
        <f t="shared" si="7"/>
        <v>2</v>
      </c>
      <c r="S66" s="24"/>
      <c r="T66" s="24">
        <v>190</v>
      </c>
      <c r="U66" s="58">
        <f t="shared" si="8"/>
        <v>899</v>
      </c>
      <c r="V66" s="24">
        <f t="shared" si="9"/>
        <v>2</v>
      </c>
      <c r="W66" s="24"/>
      <c r="X66" s="26">
        <v>0</v>
      </c>
    </row>
    <row r="67" spans="1:24">
      <c r="A67" s="45" t="str">
        <f>'1. 소켓인수검사'!A65</f>
        <v>57</v>
      </c>
      <c r="B67" s="29">
        <f>'1. 소켓인수검사'!C65</f>
        <v>900</v>
      </c>
      <c r="C67" s="29">
        <f>'1. 소켓인수검사'!D65</f>
        <v>900</v>
      </c>
      <c r="D67" s="24">
        <v>1</v>
      </c>
      <c r="E67" s="59"/>
      <c r="F67" s="24">
        <v>60</v>
      </c>
      <c r="G67" s="58">
        <f t="shared" si="2"/>
        <v>895</v>
      </c>
      <c r="H67" s="24">
        <v>2</v>
      </c>
      <c r="I67" s="24"/>
      <c r="J67" s="24">
        <v>204</v>
      </c>
      <c r="K67" s="183">
        <f t="shared" si="3"/>
        <v>895</v>
      </c>
      <c r="L67" s="183">
        <f t="shared" si="4"/>
        <v>412.5</v>
      </c>
      <c r="M67" s="183">
        <f t="shared" si="5"/>
        <v>-34</v>
      </c>
      <c r="N67" s="24">
        <v>2</v>
      </c>
      <c r="O67" s="24"/>
      <c r="P67" s="24">
        <v>235</v>
      </c>
      <c r="Q67" s="58">
        <f t="shared" si="6"/>
        <v>899</v>
      </c>
      <c r="R67" s="24">
        <f t="shared" si="7"/>
        <v>2</v>
      </c>
      <c r="S67" s="24"/>
      <c r="T67" s="24">
        <v>190</v>
      </c>
      <c r="U67" s="58">
        <f t="shared" si="8"/>
        <v>899</v>
      </c>
      <c r="V67" s="24">
        <f t="shared" si="9"/>
        <v>2</v>
      </c>
      <c r="W67" s="24"/>
      <c r="X67" s="26">
        <v>0</v>
      </c>
    </row>
    <row r="68" spans="1:24">
      <c r="A68" s="45" t="str">
        <f>'1. 소켓인수검사'!A66</f>
        <v>58</v>
      </c>
      <c r="B68" s="29">
        <f>'1. 소켓인수검사'!C66</f>
        <v>900</v>
      </c>
      <c r="C68" s="29">
        <f>'1. 소켓인수검사'!D66</f>
        <v>900</v>
      </c>
      <c r="D68" s="24">
        <v>1</v>
      </c>
      <c r="E68" s="59"/>
      <c r="F68" s="24">
        <v>60</v>
      </c>
      <c r="G68" s="58">
        <f t="shared" si="2"/>
        <v>895</v>
      </c>
      <c r="H68" s="24">
        <v>2</v>
      </c>
      <c r="I68" s="24"/>
      <c r="J68" s="24">
        <v>204</v>
      </c>
      <c r="K68" s="183">
        <f t="shared" si="3"/>
        <v>895</v>
      </c>
      <c r="L68" s="183">
        <f t="shared" si="4"/>
        <v>412.5</v>
      </c>
      <c r="M68" s="183">
        <f t="shared" si="5"/>
        <v>-34</v>
      </c>
      <c r="N68" s="24">
        <v>2</v>
      </c>
      <c r="O68" s="24"/>
      <c r="P68" s="24">
        <v>235</v>
      </c>
      <c r="Q68" s="58">
        <f t="shared" si="6"/>
        <v>899</v>
      </c>
      <c r="R68" s="24">
        <f t="shared" si="7"/>
        <v>2</v>
      </c>
      <c r="S68" s="24"/>
      <c r="T68" s="24">
        <v>190</v>
      </c>
      <c r="U68" s="58">
        <f t="shared" si="8"/>
        <v>899</v>
      </c>
      <c r="V68" s="24">
        <f t="shared" si="9"/>
        <v>2</v>
      </c>
      <c r="W68" s="24"/>
      <c r="X68" s="26">
        <v>0</v>
      </c>
    </row>
    <row r="69" spans="1:24">
      <c r="A69" s="45" t="str">
        <f>'1. 소켓인수검사'!A67</f>
        <v>59</v>
      </c>
      <c r="B69" s="29">
        <f>'1. 소켓인수검사'!C67</f>
        <v>900</v>
      </c>
      <c r="C69" s="29">
        <f>'1. 소켓인수검사'!D67</f>
        <v>900</v>
      </c>
      <c r="D69" s="24">
        <v>1</v>
      </c>
      <c r="E69" s="59"/>
      <c r="F69" s="24">
        <v>60</v>
      </c>
      <c r="G69" s="58">
        <f t="shared" si="2"/>
        <v>895</v>
      </c>
      <c r="H69" s="24">
        <v>2</v>
      </c>
      <c r="I69" s="24"/>
      <c r="J69" s="24">
        <v>204</v>
      </c>
      <c r="K69" s="183">
        <f t="shared" si="3"/>
        <v>895</v>
      </c>
      <c r="L69" s="183">
        <f t="shared" si="4"/>
        <v>412.5</v>
      </c>
      <c r="M69" s="183">
        <f t="shared" si="5"/>
        <v>-34</v>
      </c>
      <c r="N69" s="24">
        <v>2</v>
      </c>
      <c r="O69" s="24"/>
      <c r="P69" s="24">
        <v>235</v>
      </c>
      <c r="Q69" s="58">
        <f t="shared" si="6"/>
        <v>899</v>
      </c>
      <c r="R69" s="24">
        <f t="shared" si="7"/>
        <v>2</v>
      </c>
      <c r="S69" s="24"/>
      <c r="T69" s="24">
        <v>190</v>
      </c>
      <c r="U69" s="58">
        <f t="shared" si="8"/>
        <v>899</v>
      </c>
      <c r="V69" s="24">
        <f t="shared" si="9"/>
        <v>2</v>
      </c>
      <c r="W69" s="24"/>
      <c r="X69" s="26">
        <v>0</v>
      </c>
    </row>
    <row r="70" spans="1:24">
      <c r="A70" s="45" t="str">
        <f>'1. 소켓인수검사'!A68</f>
        <v>60</v>
      </c>
      <c r="B70" s="29">
        <f>'1. 소켓인수검사'!C68</f>
        <v>900</v>
      </c>
      <c r="C70" s="29">
        <f>'1. 소켓인수검사'!D68</f>
        <v>900</v>
      </c>
      <c r="D70" s="24">
        <v>1</v>
      </c>
      <c r="E70" s="59"/>
      <c r="F70" s="24">
        <v>60</v>
      </c>
      <c r="G70" s="58">
        <f t="shared" si="2"/>
        <v>895</v>
      </c>
      <c r="H70" s="24">
        <v>2</v>
      </c>
      <c r="I70" s="24"/>
      <c r="J70" s="24">
        <v>204</v>
      </c>
      <c r="K70" s="183">
        <f>(B70)-5</f>
        <v>895</v>
      </c>
      <c r="L70" s="183">
        <f t="shared" si="0"/>
        <v>412.5</v>
      </c>
      <c r="M70" s="183">
        <f t="shared" si="1"/>
        <v>-34</v>
      </c>
      <c r="N70" s="24">
        <v>2</v>
      </c>
      <c r="O70" s="24"/>
      <c r="P70" s="24">
        <v>235</v>
      </c>
      <c r="Q70" s="58">
        <f>(B70)-1</f>
        <v>899</v>
      </c>
      <c r="R70" s="24">
        <f>D70*2</f>
        <v>2</v>
      </c>
      <c r="S70" s="24"/>
      <c r="T70" s="24">
        <v>190</v>
      </c>
      <c r="U70" s="58">
        <f>(B70)-1</f>
        <v>899</v>
      </c>
      <c r="V70" s="24">
        <f>D70*2</f>
        <v>2</v>
      </c>
      <c r="W70" s="24"/>
      <c r="X70" s="26">
        <v>0</v>
      </c>
    </row>
    <row r="71" spans="1:24" ht="8.1" customHeight="1">
      <c r="A71" s="177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78"/>
    </row>
    <row r="72" spans="1:24">
      <c r="A72" s="192" t="s">
        <v>42</v>
      </c>
      <c r="B72" s="192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</row>
    <row r="73" spans="1:24">
      <c r="A73" s="192"/>
      <c r="B73" s="192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</row>
    <row r="74" spans="1:24">
      <c r="A74" s="192"/>
      <c r="B74" s="192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</row>
    <row r="75" spans="1:24">
      <c r="A75" s="192"/>
      <c r="B75" s="192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</row>
    <row r="76" spans="1:24">
      <c r="A76" s="192"/>
      <c r="B76" s="192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</row>
    <row r="77" spans="1:24">
      <c r="A77" s="192"/>
      <c r="B77" s="192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</row>
  </sheetData>
  <mergeCells count="95">
    <mergeCell ref="K59:M59"/>
    <mergeCell ref="K60:M60"/>
    <mergeCell ref="A71:X71"/>
    <mergeCell ref="A72:B77"/>
    <mergeCell ref="C72:X77"/>
    <mergeCell ref="K65:M65"/>
    <mergeCell ref="K66:M66"/>
    <mergeCell ref="K67:M67"/>
    <mergeCell ref="K68:M68"/>
    <mergeCell ref="K69:M69"/>
    <mergeCell ref="K70:M70"/>
    <mergeCell ref="K61:M61"/>
    <mergeCell ref="K62:M62"/>
    <mergeCell ref="K63:M63"/>
    <mergeCell ref="K64:M64"/>
    <mergeCell ref="K58:M58"/>
    <mergeCell ref="K46:M46"/>
    <mergeCell ref="K29:M29"/>
    <mergeCell ref="K30:M30"/>
    <mergeCell ref="K31:M31"/>
    <mergeCell ref="K32:M32"/>
    <mergeCell ref="K33:M33"/>
    <mergeCell ref="K34:M34"/>
    <mergeCell ref="K35:M35"/>
    <mergeCell ref="K36:M36"/>
    <mergeCell ref="K37:M37"/>
    <mergeCell ref="K38:M38"/>
    <mergeCell ref="K39:M39"/>
    <mergeCell ref="K40:M40"/>
    <mergeCell ref="K41:M41"/>
    <mergeCell ref="K52:M52"/>
    <mergeCell ref="K23:M23"/>
    <mergeCell ref="K24:M24"/>
    <mergeCell ref="K43:M43"/>
    <mergeCell ref="K44:M44"/>
    <mergeCell ref="K57:M57"/>
    <mergeCell ref="K53:M53"/>
    <mergeCell ref="K54:M54"/>
    <mergeCell ref="K55:M55"/>
    <mergeCell ref="K56:M56"/>
    <mergeCell ref="K47:M47"/>
    <mergeCell ref="K48:M48"/>
    <mergeCell ref="K49:M49"/>
    <mergeCell ref="K50:M50"/>
    <mergeCell ref="K51:M51"/>
    <mergeCell ref="K45:M45"/>
    <mergeCell ref="K25:M25"/>
    <mergeCell ref="K26:M26"/>
    <mergeCell ref="K27:M27"/>
    <mergeCell ref="K28:M28"/>
    <mergeCell ref="K42:M42"/>
    <mergeCell ref="K11:M11"/>
    <mergeCell ref="K12:M12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A7:X7"/>
    <mergeCell ref="A8:A10"/>
    <mergeCell ref="B8:C8"/>
    <mergeCell ref="D8:D10"/>
    <mergeCell ref="E8:E10"/>
    <mergeCell ref="F8:W8"/>
    <mergeCell ref="X8:X10"/>
    <mergeCell ref="B9:B10"/>
    <mergeCell ref="C9:C10"/>
    <mergeCell ref="F9:F10"/>
    <mergeCell ref="G9:H9"/>
    <mergeCell ref="I9:I10"/>
    <mergeCell ref="J9:J10"/>
    <mergeCell ref="K9:N9"/>
    <mergeCell ref="A1:D3"/>
    <mergeCell ref="E1:X4"/>
    <mergeCell ref="A4:B4"/>
    <mergeCell ref="C4:D4"/>
    <mergeCell ref="A5:B6"/>
    <mergeCell ref="C5:D6"/>
    <mergeCell ref="G5:G6"/>
    <mergeCell ref="H5:J6"/>
    <mergeCell ref="K5:M6"/>
    <mergeCell ref="N5:X6"/>
    <mergeCell ref="U9:V9"/>
    <mergeCell ref="W9:W10"/>
    <mergeCell ref="O9:O10"/>
    <mergeCell ref="P9:P10"/>
    <mergeCell ref="K10:M10"/>
    <mergeCell ref="Q9:R9"/>
    <mergeCell ref="S9:S10"/>
    <mergeCell ref="T9:T10"/>
  </mergeCells>
  <phoneticPr fontId="26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79"/>
  <sheetViews>
    <sheetView zoomScaleNormal="100" zoomScaleSheetLayoutView="100" workbookViewId="0">
      <pane ySplit="9" topLeftCell="A10" activePane="bottomLeft" state="frozen"/>
      <selection pane="bottomLeft" activeCell="G72" sqref="G72:S72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101"/>
      <c r="B1" s="101"/>
      <c r="C1" s="101"/>
      <c r="D1" s="206" t="s">
        <v>41</v>
      </c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7"/>
      <c r="R1" s="208"/>
      <c r="S1" s="14"/>
    </row>
    <row r="2" spans="1:19">
      <c r="A2" s="101"/>
      <c r="B2" s="101"/>
      <c r="C2" s="101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7"/>
      <c r="R2" s="209"/>
      <c r="S2" s="210"/>
    </row>
    <row r="3" spans="1:19" ht="24" customHeight="1">
      <c r="A3" s="101"/>
      <c r="B3" s="101"/>
      <c r="C3" s="101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7"/>
      <c r="R3" s="209"/>
      <c r="S3" s="210"/>
    </row>
    <row r="4" spans="1:19">
      <c r="A4" s="101" t="s">
        <v>15</v>
      </c>
      <c r="B4" s="101"/>
      <c r="C4" s="1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7"/>
      <c r="R4" s="209"/>
      <c r="S4" s="210"/>
    </row>
    <row r="5" spans="1:19">
      <c r="A5" s="101" t="s">
        <v>24</v>
      </c>
      <c r="B5" s="101"/>
      <c r="C5" s="101"/>
      <c r="D5" s="2" t="s">
        <v>30</v>
      </c>
      <c r="E5" s="201"/>
      <c r="F5" s="202"/>
      <c r="G5" s="193" t="s">
        <v>54</v>
      </c>
      <c r="H5" s="133"/>
      <c r="I5" s="134"/>
      <c r="J5" s="134"/>
      <c r="K5" s="135"/>
      <c r="L5" s="193" t="s">
        <v>19</v>
      </c>
      <c r="M5" s="62"/>
      <c r="N5" s="62"/>
      <c r="O5" s="193" t="s">
        <v>19</v>
      </c>
      <c r="P5" s="195" t="str">
        <f>'1. 소켓인수검사'!R2</f>
        <v>26.06.16 웰스홈_우리이앤씨_LT삼보_LX판토스 신항에코 물류센터</v>
      </c>
      <c r="Q5" s="196"/>
      <c r="R5" s="196"/>
      <c r="S5" s="197"/>
    </row>
    <row r="6" spans="1:19">
      <c r="A6" s="101"/>
      <c r="B6" s="101"/>
      <c r="C6" s="101"/>
      <c r="D6" s="2" t="s">
        <v>27</v>
      </c>
      <c r="E6" s="201"/>
      <c r="F6" s="202"/>
      <c r="G6" s="194"/>
      <c r="H6" s="203"/>
      <c r="I6" s="204"/>
      <c r="J6" s="204"/>
      <c r="K6" s="205"/>
      <c r="L6" s="194"/>
      <c r="M6" s="63"/>
      <c r="N6" s="63"/>
      <c r="O6" s="194"/>
      <c r="P6" s="198"/>
      <c r="Q6" s="199"/>
      <c r="R6" s="199"/>
      <c r="S6" s="200"/>
    </row>
    <row r="7" spans="1:19" ht="8.1" customHeight="1">
      <c r="A7" s="203"/>
      <c r="B7" s="204"/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  <c r="Q7" s="204"/>
      <c r="R7" s="204"/>
      <c r="S7" s="205"/>
    </row>
    <row r="8" spans="1:19" ht="16.5" customHeight="1">
      <c r="A8" s="150" t="s">
        <v>51</v>
      </c>
      <c r="B8" s="214" t="s">
        <v>58</v>
      </c>
      <c r="C8" s="214" t="s">
        <v>56</v>
      </c>
      <c r="D8" s="214" t="s">
        <v>61</v>
      </c>
      <c r="E8" s="214" t="s">
        <v>46</v>
      </c>
      <c r="F8" s="214" t="s">
        <v>53</v>
      </c>
      <c r="G8" s="214" t="s">
        <v>21</v>
      </c>
      <c r="H8" s="214"/>
      <c r="I8" s="214"/>
      <c r="J8" s="214" t="s">
        <v>0</v>
      </c>
      <c r="K8" s="214"/>
      <c r="L8" s="214"/>
      <c r="M8" s="214" t="s">
        <v>0</v>
      </c>
      <c r="N8" s="214"/>
      <c r="O8" s="214"/>
      <c r="P8" s="214" t="s">
        <v>0</v>
      </c>
      <c r="Q8" s="214"/>
      <c r="R8" s="214"/>
      <c r="S8" s="216"/>
    </row>
    <row r="9" spans="1:19" ht="33" customHeight="1">
      <c r="A9" s="213"/>
      <c r="B9" s="215"/>
      <c r="C9" s="215"/>
      <c r="D9" s="215"/>
      <c r="E9" s="215"/>
      <c r="F9" s="215"/>
      <c r="G9" s="67" t="s">
        <v>31</v>
      </c>
      <c r="H9" s="67" t="s">
        <v>49</v>
      </c>
      <c r="I9" s="67" t="s">
        <v>48</v>
      </c>
      <c r="J9" s="67" t="s">
        <v>17</v>
      </c>
      <c r="K9" s="67" t="s">
        <v>49</v>
      </c>
      <c r="L9" s="67" t="s">
        <v>48</v>
      </c>
      <c r="M9" s="67" t="s">
        <v>23</v>
      </c>
      <c r="N9" s="67" t="s">
        <v>49</v>
      </c>
      <c r="O9" s="67" t="s">
        <v>48</v>
      </c>
      <c r="P9" s="67" t="s">
        <v>20</v>
      </c>
      <c r="Q9" s="67" t="s">
        <v>49</v>
      </c>
      <c r="R9" s="215" t="s">
        <v>48</v>
      </c>
      <c r="S9" s="217"/>
    </row>
    <row r="10" spans="1:19">
      <c r="A10" s="45" t="str">
        <f>'1. 소켓인수검사'!A9</f>
        <v>01</v>
      </c>
      <c r="B10" s="29">
        <f>'1. 소켓인수검사'!C9</f>
        <v>900</v>
      </c>
      <c r="C10" s="29">
        <f>'1. 소켓인수검사'!D9</f>
        <v>900</v>
      </c>
      <c r="D10" s="73" t="s">
        <v>63</v>
      </c>
      <c r="E10" s="61">
        <f t="shared" ref="E10:E69" si="0">B10*C10/1000000</f>
        <v>0.81</v>
      </c>
      <c r="F10" s="61">
        <f t="shared" ref="F10:F69" si="1">(B10+C10)*2/1000</f>
        <v>3.6</v>
      </c>
      <c r="G10" s="23"/>
      <c r="H10" s="29"/>
      <c r="I10" s="23"/>
      <c r="J10" s="23">
        <f t="shared" ref="J10:J69" si="2">(F10+0.5)</f>
        <v>4.0999999999999996</v>
      </c>
      <c r="K10" s="23">
        <v>2</v>
      </c>
      <c r="L10" s="23">
        <f t="shared" ref="L10:L69" si="3">J10*K10</f>
        <v>8.1999999999999993</v>
      </c>
      <c r="M10" s="23"/>
      <c r="N10" s="23"/>
      <c r="O10" s="23"/>
      <c r="P10" s="23"/>
      <c r="Q10" s="23"/>
      <c r="R10" s="211"/>
      <c r="S10" s="212"/>
    </row>
    <row r="11" spans="1:19">
      <c r="A11" s="45" t="str">
        <f>'1. 소켓인수검사'!A10</f>
        <v>02</v>
      </c>
      <c r="B11" s="29">
        <f>'1. 소켓인수검사'!C10</f>
        <v>900</v>
      </c>
      <c r="C11" s="29">
        <f>'1. 소켓인수검사'!D10</f>
        <v>900</v>
      </c>
      <c r="D11" s="73" t="s">
        <v>63</v>
      </c>
      <c r="E11" s="61">
        <f t="shared" si="0"/>
        <v>0.81</v>
      </c>
      <c r="F11" s="61">
        <f t="shared" si="1"/>
        <v>3.6</v>
      </c>
      <c r="G11" s="23"/>
      <c r="H11" s="29"/>
      <c r="I11" s="23"/>
      <c r="J11" s="23">
        <f t="shared" si="2"/>
        <v>4.0999999999999996</v>
      </c>
      <c r="K11" s="23">
        <v>2</v>
      </c>
      <c r="L11" s="23">
        <f t="shared" si="3"/>
        <v>8.1999999999999993</v>
      </c>
      <c r="M11" s="23"/>
      <c r="N11" s="23"/>
      <c r="O11" s="23"/>
      <c r="P11" s="23"/>
      <c r="Q11" s="23"/>
      <c r="R11" s="211"/>
      <c r="S11" s="212"/>
    </row>
    <row r="12" spans="1:19">
      <c r="A12" s="45" t="str">
        <f>'1. 소켓인수검사'!A11</f>
        <v>03</v>
      </c>
      <c r="B12" s="29">
        <f>'1. 소켓인수검사'!C11</f>
        <v>900</v>
      </c>
      <c r="C12" s="29">
        <f>'1. 소켓인수검사'!D11</f>
        <v>900</v>
      </c>
      <c r="D12" s="73" t="s">
        <v>63</v>
      </c>
      <c r="E12" s="61">
        <f t="shared" si="0"/>
        <v>0.81</v>
      </c>
      <c r="F12" s="61">
        <f t="shared" si="1"/>
        <v>3.6</v>
      </c>
      <c r="G12" s="23"/>
      <c r="H12" s="29"/>
      <c r="I12" s="23"/>
      <c r="J12" s="23">
        <f t="shared" si="2"/>
        <v>4.0999999999999996</v>
      </c>
      <c r="K12" s="23">
        <v>2</v>
      </c>
      <c r="L12" s="23">
        <f t="shared" si="3"/>
        <v>8.1999999999999993</v>
      </c>
      <c r="M12" s="23"/>
      <c r="N12" s="23"/>
      <c r="O12" s="23"/>
      <c r="P12" s="23"/>
      <c r="Q12" s="23"/>
      <c r="R12" s="211"/>
      <c r="S12" s="212"/>
    </row>
    <row r="13" spans="1:19">
      <c r="A13" s="45" t="str">
        <f>'1. 소켓인수검사'!A12</f>
        <v>04</v>
      </c>
      <c r="B13" s="29">
        <f>'1. 소켓인수검사'!C12</f>
        <v>900</v>
      </c>
      <c r="C13" s="29">
        <f>'1. 소켓인수검사'!D12</f>
        <v>900</v>
      </c>
      <c r="D13" s="73" t="s">
        <v>63</v>
      </c>
      <c r="E13" s="61">
        <f t="shared" si="0"/>
        <v>0.81</v>
      </c>
      <c r="F13" s="61">
        <f t="shared" si="1"/>
        <v>3.6</v>
      </c>
      <c r="G13" s="23"/>
      <c r="H13" s="29"/>
      <c r="I13" s="23"/>
      <c r="J13" s="23">
        <f t="shared" si="2"/>
        <v>4.0999999999999996</v>
      </c>
      <c r="K13" s="23">
        <v>2</v>
      </c>
      <c r="L13" s="23">
        <f t="shared" si="3"/>
        <v>8.1999999999999993</v>
      </c>
      <c r="M13" s="23"/>
      <c r="N13" s="23"/>
      <c r="O13" s="23"/>
      <c r="P13" s="23"/>
      <c r="Q13" s="23"/>
      <c r="R13" s="211"/>
      <c r="S13" s="212"/>
    </row>
    <row r="14" spans="1:19">
      <c r="A14" s="45" t="str">
        <f>'1. 소켓인수검사'!A13</f>
        <v>05</v>
      </c>
      <c r="B14" s="29">
        <f>'1. 소켓인수검사'!C13</f>
        <v>900</v>
      </c>
      <c r="C14" s="29">
        <f>'1. 소켓인수검사'!D13</f>
        <v>900</v>
      </c>
      <c r="D14" s="73" t="s">
        <v>63</v>
      </c>
      <c r="E14" s="61">
        <f t="shared" si="0"/>
        <v>0.81</v>
      </c>
      <c r="F14" s="61">
        <f t="shared" si="1"/>
        <v>3.6</v>
      </c>
      <c r="G14" s="23"/>
      <c r="H14" s="29"/>
      <c r="I14" s="23"/>
      <c r="J14" s="23">
        <f t="shared" si="2"/>
        <v>4.0999999999999996</v>
      </c>
      <c r="K14" s="23">
        <v>2</v>
      </c>
      <c r="L14" s="23">
        <f t="shared" si="3"/>
        <v>8.1999999999999993</v>
      </c>
      <c r="M14" s="23"/>
      <c r="N14" s="23"/>
      <c r="O14" s="23"/>
      <c r="P14" s="23"/>
      <c r="Q14" s="23"/>
      <c r="R14" s="211"/>
      <c r="S14" s="212"/>
    </row>
    <row r="15" spans="1:19">
      <c r="A15" s="45" t="str">
        <f>'1. 소켓인수검사'!A14</f>
        <v>06</v>
      </c>
      <c r="B15" s="29">
        <f>'1. 소켓인수검사'!C14</f>
        <v>900</v>
      </c>
      <c r="C15" s="29">
        <f>'1. 소켓인수검사'!D14</f>
        <v>900</v>
      </c>
      <c r="D15" s="73" t="s">
        <v>63</v>
      </c>
      <c r="E15" s="61">
        <f t="shared" si="0"/>
        <v>0.81</v>
      </c>
      <c r="F15" s="61">
        <f t="shared" si="1"/>
        <v>3.6</v>
      </c>
      <c r="G15" s="23"/>
      <c r="H15" s="29"/>
      <c r="I15" s="23"/>
      <c r="J15" s="23">
        <f t="shared" si="2"/>
        <v>4.0999999999999996</v>
      </c>
      <c r="K15" s="23">
        <v>2</v>
      </c>
      <c r="L15" s="23">
        <f t="shared" si="3"/>
        <v>8.1999999999999993</v>
      </c>
      <c r="M15" s="23"/>
      <c r="N15" s="23"/>
      <c r="O15" s="23"/>
      <c r="P15" s="23"/>
      <c r="Q15" s="23"/>
      <c r="R15" s="211"/>
      <c r="S15" s="212"/>
    </row>
    <row r="16" spans="1:19">
      <c r="A16" s="45" t="str">
        <f>'1. 소켓인수검사'!A15</f>
        <v>07</v>
      </c>
      <c r="B16" s="29">
        <f>'1. 소켓인수검사'!C15</f>
        <v>900</v>
      </c>
      <c r="C16" s="29">
        <f>'1. 소켓인수검사'!D15</f>
        <v>900</v>
      </c>
      <c r="D16" s="73" t="s">
        <v>63</v>
      </c>
      <c r="E16" s="61">
        <f t="shared" si="0"/>
        <v>0.81</v>
      </c>
      <c r="F16" s="61">
        <f t="shared" si="1"/>
        <v>3.6</v>
      </c>
      <c r="G16" s="23"/>
      <c r="H16" s="29"/>
      <c r="I16" s="23"/>
      <c r="J16" s="23">
        <f t="shared" si="2"/>
        <v>4.0999999999999996</v>
      </c>
      <c r="K16" s="23">
        <v>2</v>
      </c>
      <c r="L16" s="23">
        <f t="shared" si="3"/>
        <v>8.1999999999999993</v>
      </c>
      <c r="M16" s="23"/>
      <c r="N16" s="23"/>
      <c r="O16" s="23"/>
      <c r="P16" s="23"/>
      <c r="Q16" s="23"/>
      <c r="R16" s="211"/>
      <c r="S16" s="212"/>
    </row>
    <row r="17" spans="1:19">
      <c r="A17" s="45" t="str">
        <f>'1. 소켓인수검사'!A16</f>
        <v>08</v>
      </c>
      <c r="B17" s="29">
        <f>'1. 소켓인수검사'!C16</f>
        <v>900</v>
      </c>
      <c r="C17" s="29">
        <f>'1. 소켓인수검사'!D16</f>
        <v>900</v>
      </c>
      <c r="D17" s="73" t="s">
        <v>63</v>
      </c>
      <c r="E17" s="61">
        <f t="shared" si="0"/>
        <v>0.81</v>
      </c>
      <c r="F17" s="61">
        <f t="shared" si="1"/>
        <v>3.6</v>
      </c>
      <c r="G17" s="23"/>
      <c r="H17" s="29"/>
      <c r="I17" s="23"/>
      <c r="J17" s="23">
        <f t="shared" si="2"/>
        <v>4.0999999999999996</v>
      </c>
      <c r="K17" s="23">
        <v>2</v>
      </c>
      <c r="L17" s="23">
        <f t="shared" si="3"/>
        <v>8.1999999999999993</v>
      </c>
      <c r="M17" s="23"/>
      <c r="N17" s="23"/>
      <c r="O17" s="23"/>
      <c r="P17" s="23"/>
      <c r="Q17" s="23"/>
      <c r="R17" s="211"/>
      <c r="S17" s="212"/>
    </row>
    <row r="18" spans="1:19">
      <c r="A18" s="45" t="str">
        <f>'1. 소켓인수검사'!A17</f>
        <v>09</v>
      </c>
      <c r="B18" s="29">
        <f>'1. 소켓인수검사'!C17</f>
        <v>900</v>
      </c>
      <c r="C18" s="29">
        <f>'1. 소켓인수검사'!D17</f>
        <v>900</v>
      </c>
      <c r="D18" s="73" t="s">
        <v>63</v>
      </c>
      <c r="E18" s="61">
        <f t="shared" si="0"/>
        <v>0.81</v>
      </c>
      <c r="F18" s="61">
        <f t="shared" si="1"/>
        <v>3.6</v>
      </c>
      <c r="G18" s="23"/>
      <c r="H18" s="29"/>
      <c r="I18" s="23"/>
      <c r="J18" s="23">
        <f t="shared" si="2"/>
        <v>4.0999999999999996</v>
      </c>
      <c r="K18" s="23">
        <v>2</v>
      </c>
      <c r="L18" s="23">
        <f t="shared" si="3"/>
        <v>8.1999999999999993</v>
      </c>
      <c r="M18" s="23"/>
      <c r="N18" s="23"/>
      <c r="O18" s="23"/>
      <c r="P18" s="23"/>
      <c r="Q18" s="23"/>
      <c r="R18" s="211"/>
      <c r="S18" s="212"/>
    </row>
    <row r="19" spans="1:19">
      <c r="A19" s="45" t="str">
        <f>'1. 소켓인수검사'!A18</f>
        <v>10</v>
      </c>
      <c r="B19" s="29">
        <f>'1. 소켓인수검사'!C18</f>
        <v>900</v>
      </c>
      <c r="C19" s="29">
        <f>'1. 소켓인수검사'!D18</f>
        <v>900</v>
      </c>
      <c r="D19" s="73" t="s">
        <v>63</v>
      </c>
      <c r="E19" s="61">
        <f t="shared" si="0"/>
        <v>0.81</v>
      </c>
      <c r="F19" s="61">
        <f t="shared" si="1"/>
        <v>3.6</v>
      </c>
      <c r="G19" s="23"/>
      <c r="H19" s="29"/>
      <c r="I19" s="23"/>
      <c r="J19" s="23">
        <f t="shared" si="2"/>
        <v>4.0999999999999996</v>
      </c>
      <c r="K19" s="23">
        <v>2</v>
      </c>
      <c r="L19" s="23">
        <f t="shared" si="3"/>
        <v>8.1999999999999993</v>
      </c>
      <c r="M19" s="23"/>
      <c r="N19" s="23"/>
      <c r="O19" s="23"/>
      <c r="P19" s="23"/>
      <c r="Q19" s="23"/>
      <c r="R19" s="211"/>
      <c r="S19" s="212"/>
    </row>
    <row r="20" spans="1:19">
      <c r="A20" s="45" t="str">
        <f>'1. 소켓인수검사'!A19</f>
        <v>11</v>
      </c>
      <c r="B20" s="29">
        <f>'1. 소켓인수검사'!C19</f>
        <v>900</v>
      </c>
      <c r="C20" s="29">
        <f>'1. 소켓인수검사'!D19</f>
        <v>900</v>
      </c>
      <c r="D20" s="73" t="s">
        <v>63</v>
      </c>
      <c r="E20" s="61">
        <f t="shared" si="0"/>
        <v>0.81</v>
      </c>
      <c r="F20" s="61">
        <f t="shared" si="1"/>
        <v>3.6</v>
      </c>
      <c r="G20" s="23"/>
      <c r="H20" s="29"/>
      <c r="I20" s="23"/>
      <c r="J20" s="23">
        <f t="shared" si="2"/>
        <v>4.0999999999999996</v>
      </c>
      <c r="K20" s="23">
        <v>2</v>
      </c>
      <c r="L20" s="23">
        <f t="shared" si="3"/>
        <v>8.1999999999999993</v>
      </c>
      <c r="M20" s="23"/>
      <c r="N20" s="23"/>
      <c r="O20" s="23"/>
      <c r="P20" s="23"/>
      <c r="Q20" s="23"/>
      <c r="R20" s="211"/>
      <c r="S20" s="212"/>
    </row>
    <row r="21" spans="1:19">
      <c r="A21" s="45" t="str">
        <f>'1. 소켓인수검사'!A20</f>
        <v>12</v>
      </c>
      <c r="B21" s="29">
        <f>'1. 소켓인수검사'!C20</f>
        <v>900</v>
      </c>
      <c r="C21" s="29">
        <f>'1. 소켓인수검사'!D20</f>
        <v>900</v>
      </c>
      <c r="D21" s="73" t="s">
        <v>63</v>
      </c>
      <c r="E21" s="61">
        <f t="shared" si="0"/>
        <v>0.81</v>
      </c>
      <c r="F21" s="61">
        <f t="shared" si="1"/>
        <v>3.6</v>
      </c>
      <c r="G21" s="23"/>
      <c r="H21" s="29"/>
      <c r="I21" s="23"/>
      <c r="J21" s="23">
        <f t="shared" si="2"/>
        <v>4.0999999999999996</v>
      </c>
      <c r="K21" s="23">
        <v>2</v>
      </c>
      <c r="L21" s="23">
        <f t="shared" si="3"/>
        <v>8.1999999999999993</v>
      </c>
      <c r="M21" s="23"/>
      <c r="N21" s="23"/>
      <c r="O21" s="23"/>
      <c r="P21" s="23"/>
      <c r="Q21" s="23"/>
      <c r="R21" s="211"/>
      <c r="S21" s="212"/>
    </row>
    <row r="22" spans="1:19">
      <c r="A22" s="45" t="str">
        <f>'1. 소켓인수검사'!A21</f>
        <v>13</v>
      </c>
      <c r="B22" s="29">
        <f>'1. 소켓인수검사'!C21</f>
        <v>900</v>
      </c>
      <c r="C22" s="29">
        <f>'1. 소켓인수검사'!D21</f>
        <v>900</v>
      </c>
      <c r="D22" s="73" t="s">
        <v>63</v>
      </c>
      <c r="E22" s="61">
        <f t="shared" si="0"/>
        <v>0.81</v>
      </c>
      <c r="F22" s="61">
        <f t="shared" si="1"/>
        <v>3.6</v>
      </c>
      <c r="G22" s="23"/>
      <c r="H22" s="29"/>
      <c r="I22" s="23"/>
      <c r="J22" s="23">
        <f t="shared" si="2"/>
        <v>4.0999999999999996</v>
      </c>
      <c r="K22" s="23">
        <v>2</v>
      </c>
      <c r="L22" s="23">
        <f t="shared" si="3"/>
        <v>8.1999999999999993</v>
      </c>
      <c r="M22" s="23"/>
      <c r="N22" s="23"/>
      <c r="O22" s="23"/>
      <c r="P22" s="23"/>
      <c r="Q22" s="23"/>
      <c r="R22" s="211"/>
      <c r="S22" s="212"/>
    </row>
    <row r="23" spans="1:19">
      <c r="A23" s="45" t="str">
        <f>'1. 소켓인수검사'!A22</f>
        <v>14</v>
      </c>
      <c r="B23" s="29">
        <f>'1. 소켓인수검사'!C22</f>
        <v>900</v>
      </c>
      <c r="C23" s="29">
        <f>'1. 소켓인수검사'!D22</f>
        <v>900</v>
      </c>
      <c r="D23" s="73" t="s">
        <v>63</v>
      </c>
      <c r="E23" s="61">
        <f t="shared" si="0"/>
        <v>0.81</v>
      </c>
      <c r="F23" s="61">
        <f t="shared" si="1"/>
        <v>3.6</v>
      </c>
      <c r="G23" s="23"/>
      <c r="H23" s="29"/>
      <c r="I23" s="23"/>
      <c r="J23" s="23">
        <f t="shared" si="2"/>
        <v>4.0999999999999996</v>
      </c>
      <c r="K23" s="23">
        <v>2</v>
      </c>
      <c r="L23" s="23">
        <f t="shared" si="3"/>
        <v>8.1999999999999993</v>
      </c>
      <c r="M23" s="23"/>
      <c r="N23" s="23"/>
      <c r="O23" s="23"/>
      <c r="P23" s="23"/>
      <c r="Q23" s="23"/>
      <c r="R23" s="211"/>
      <c r="S23" s="212"/>
    </row>
    <row r="24" spans="1:19">
      <c r="A24" s="45" t="str">
        <f>'1. 소켓인수검사'!A23</f>
        <v>15</v>
      </c>
      <c r="B24" s="29">
        <f>'1. 소켓인수검사'!C23</f>
        <v>900</v>
      </c>
      <c r="C24" s="29">
        <f>'1. 소켓인수검사'!D23</f>
        <v>900</v>
      </c>
      <c r="D24" s="73" t="s">
        <v>63</v>
      </c>
      <c r="E24" s="61">
        <f t="shared" si="0"/>
        <v>0.81</v>
      </c>
      <c r="F24" s="61">
        <f t="shared" si="1"/>
        <v>3.6</v>
      </c>
      <c r="G24" s="23"/>
      <c r="H24" s="29"/>
      <c r="I24" s="23"/>
      <c r="J24" s="23">
        <f t="shared" si="2"/>
        <v>4.0999999999999996</v>
      </c>
      <c r="K24" s="23">
        <v>2</v>
      </c>
      <c r="L24" s="23">
        <f t="shared" si="3"/>
        <v>8.1999999999999993</v>
      </c>
      <c r="M24" s="23"/>
      <c r="N24" s="23"/>
      <c r="O24" s="23"/>
      <c r="P24" s="23"/>
      <c r="Q24" s="23"/>
      <c r="R24" s="211"/>
      <c r="S24" s="212"/>
    </row>
    <row r="25" spans="1:19">
      <c r="A25" s="45" t="str">
        <f>'1. 소켓인수검사'!A24</f>
        <v>16</v>
      </c>
      <c r="B25" s="29">
        <f>'1. 소켓인수검사'!C24</f>
        <v>900</v>
      </c>
      <c r="C25" s="29">
        <f>'1. 소켓인수검사'!D24</f>
        <v>900</v>
      </c>
      <c r="D25" s="73" t="s">
        <v>63</v>
      </c>
      <c r="E25" s="61">
        <f t="shared" si="0"/>
        <v>0.81</v>
      </c>
      <c r="F25" s="61">
        <f t="shared" si="1"/>
        <v>3.6</v>
      </c>
      <c r="G25" s="23"/>
      <c r="H25" s="29"/>
      <c r="I25" s="23"/>
      <c r="J25" s="23">
        <f t="shared" si="2"/>
        <v>4.0999999999999996</v>
      </c>
      <c r="K25" s="23">
        <v>2</v>
      </c>
      <c r="L25" s="23">
        <f t="shared" si="3"/>
        <v>8.1999999999999993</v>
      </c>
      <c r="M25" s="23"/>
      <c r="N25" s="23"/>
      <c r="O25" s="23"/>
      <c r="P25" s="23"/>
      <c r="Q25" s="23"/>
      <c r="R25" s="211"/>
      <c r="S25" s="212"/>
    </row>
    <row r="26" spans="1:19">
      <c r="A26" s="45" t="str">
        <f>'1. 소켓인수검사'!A25</f>
        <v>17</v>
      </c>
      <c r="B26" s="29">
        <f>'1. 소켓인수검사'!C25</f>
        <v>900</v>
      </c>
      <c r="C26" s="29">
        <f>'1. 소켓인수검사'!D25</f>
        <v>900</v>
      </c>
      <c r="D26" s="73" t="s">
        <v>63</v>
      </c>
      <c r="E26" s="61">
        <f t="shared" si="0"/>
        <v>0.81</v>
      </c>
      <c r="F26" s="61">
        <f t="shared" si="1"/>
        <v>3.6</v>
      </c>
      <c r="G26" s="23"/>
      <c r="H26" s="29"/>
      <c r="I26" s="23"/>
      <c r="J26" s="23">
        <f t="shared" si="2"/>
        <v>4.0999999999999996</v>
      </c>
      <c r="K26" s="23">
        <v>2</v>
      </c>
      <c r="L26" s="23">
        <f t="shared" si="3"/>
        <v>8.1999999999999993</v>
      </c>
      <c r="M26" s="23"/>
      <c r="N26" s="23"/>
      <c r="O26" s="23"/>
      <c r="P26" s="23"/>
      <c r="Q26" s="23"/>
      <c r="R26" s="211"/>
      <c r="S26" s="212"/>
    </row>
    <row r="27" spans="1:19">
      <c r="A27" s="45" t="str">
        <f>'1. 소켓인수검사'!A26</f>
        <v>18</v>
      </c>
      <c r="B27" s="29">
        <f>'1. 소켓인수검사'!C26</f>
        <v>900</v>
      </c>
      <c r="C27" s="29">
        <f>'1. 소켓인수검사'!D26</f>
        <v>900</v>
      </c>
      <c r="D27" s="73" t="s">
        <v>63</v>
      </c>
      <c r="E27" s="61">
        <f t="shared" si="0"/>
        <v>0.81</v>
      </c>
      <c r="F27" s="61">
        <f t="shared" si="1"/>
        <v>3.6</v>
      </c>
      <c r="G27" s="23"/>
      <c r="H27" s="29"/>
      <c r="I27" s="23"/>
      <c r="J27" s="23">
        <f t="shared" si="2"/>
        <v>4.0999999999999996</v>
      </c>
      <c r="K27" s="23">
        <v>2</v>
      </c>
      <c r="L27" s="23">
        <f t="shared" si="3"/>
        <v>8.1999999999999993</v>
      </c>
      <c r="M27" s="23"/>
      <c r="N27" s="23"/>
      <c r="O27" s="23"/>
      <c r="P27" s="23"/>
      <c r="Q27" s="23"/>
      <c r="R27" s="211"/>
      <c r="S27" s="212"/>
    </row>
    <row r="28" spans="1:19">
      <c r="A28" s="45" t="str">
        <f>'1. 소켓인수검사'!A27</f>
        <v>19</v>
      </c>
      <c r="B28" s="29">
        <f>'1. 소켓인수검사'!C27</f>
        <v>900</v>
      </c>
      <c r="C28" s="29">
        <f>'1. 소켓인수검사'!D27</f>
        <v>900</v>
      </c>
      <c r="D28" s="73" t="s">
        <v>63</v>
      </c>
      <c r="E28" s="61">
        <f t="shared" si="0"/>
        <v>0.81</v>
      </c>
      <c r="F28" s="61">
        <f t="shared" si="1"/>
        <v>3.6</v>
      </c>
      <c r="G28" s="23"/>
      <c r="H28" s="29"/>
      <c r="I28" s="23"/>
      <c r="J28" s="23">
        <f t="shared" si="2"/>
        <v>4.0999999999999996</v>
      </c>
      <c r="K28" s="23">
        <v>2</v>
      </c>
      <c r="L28" s="23">
        <f t="shared" si="3"/>
        <v>8.1999999999999993</v>
      </c>
      <c r="M28" s="23"/>
      <c r="N28" s="23"/>
      <c r="O28" s="23"/>
      <c r="P28" s="23"/>
      <c r="Q28" s="23"/>
      <c r="R28" s="211"/>
      <c r="S28" s="212"/>
    </row>
    <row r="29" spans="1:19">
      <c r="A29" s="45" t="str">
        <f>'1. 소켓인수검사'!A28</f>
        <v>20</v>
      </c>
      <c r="B29" s="29">
        <f>'1. 소켓인수검사'!C28</f>
        <v>900</v>
      </c>
      <c r="C29" s="29">
        <f>'1. 소켓인수검사'!D28</f>
        <v>900</v>
      </c>
      <c r="D29" s="73" t="s">
        <v>63</v>
      </c>
      <c r="E29" s="61">
        <f t="shared" si="0"/>
        <v>0.81</v>
      </c>
      <c r="F29" s="61">
        <f t="shared" si="1"/>
        <v>3.6</v>
      </c>
      <c r="G29" s="23"/>
      <c r="H29" s="29"/>
      <c r="I29" s="23"/>
      <c r="J29" s="23">
        <f t="shared" si="2"/>
        <v>4.0999999999999996</v>
      </c>
      <c r="K29" s="23">
        <v>2</v>
      </c>
      <c r="L29" s="23">
        <f t="shared" si="3"/>
        <v>8.1999999999999993</v>
      </c>
      <c r="M29" s="23"/>
      <c r="N29" s="23"/>
      <c r="O29" s="23"/>
      <c r="P29" s="23"/>
      <c r="Q29" s="23"/>
      <c r="R29" s="211"/>
      <c r="S29" s="212"/>
    </row>
    <row r="30" spans="1:19">
      <c r="A30" s="45" t="str">
        <f>'1. 소켓인수검사'!A29</f>
        <v>21</v>
      </c>
      <c r="B30" s="29">
        <f>'1. 소켓인수검사'!C29</f>
        <v>900</v>
      </c>
      <c r="C30" s="29">
        <f>'1. 소켓인수검사'!D29</f>
        <v>900</v>
      </c>
      <c r="D30" s="73" t="s">
        <v>63</v>
      </c>
      <c r="E30" s="61">
        <f t="shared" si="0"/>
        <v>0.81</v>
      </c>
      <c r="F30" s="61">
        <f t="shared" si="1"/>
        <v>3.6</v>
      </c>
      <c r="G30" s="23"/>
      <c r="H30" s="29"/>
      <c r="I30" s="23"/>
      <c r="J30" s="23">
        <f t="shared" si="2"/>
        <v>4.0999999999999996</v>
      </c>
      <c r="K30" s="23">
        <v>2</v>
      </c>
      <c r="L30" s="23">
        <f t="shared" si="3"/>
        <v>8.1999999999999993</v>
      </c>
      <c r="M30" s="23"/>
      <c r="N30" s="23"/>
      <c r="O30" s="23"/>
      <c r="P30" s="23"/>
      <c r="Q30" s="23"/>
      <c r="R30" s="211"/>
      <c r="S30" s="212"/>
    </row>
    <row r="31" spans="1:19">
      <c r="A31" s="45" t="str">
        <f>'1. 소켓인수검사'!A30</f>
        <v>22</v>
      </c>
      <c r="B31" s="29">
        <f>'1. 소켓인수검사'!C30</f>
        <v>900</v>
      </c>
      <c r="C31" s="29">
        <f>'1. 소켓인수검사'!D30</f>
        <v>900</v>
      </c>
      <c r="D31" s="73" t="s">
        <v>63</v>
      </c>
      <c r="E31" s="61">
        <f t="shared" si="0"/>
        <v>0.81</v>
      </c>
      <c r="F31" s="61">
        <f t="shared" si="1"/>
        <v>3.6</v>
      </c>
      <c r="G31" s="23"/>
      <c r="H31" s="29"/>
      <c r="I31" s="23"/>
      <c r="J31" s="23">
        <f t="shared" si="2"/>
        <v>4.0999999999999996</v>
      </c>
      <c r="K31" s="23">
        <v>2</v>
      </c>
      <c r="L31" s="23">
        <f t="shared" si="3"/>
        <v>8.1999999999999993</v>
      </c>
      <c r="M31" s="23"/>
      <c r="N31" s="23"/>
      <c r="O31" s="23"/>
      <c r="P31" s="23"/>
      <c r="Q31" s="23"/>
      <c r="R31" s="211"/>
      <c r="S31" s="212"/>
    </row>
    <row r="32" spans="1:19">
      <c r="A32" s="45" t="str">
        <f>'1. 소켓인수검사'!A31</f>
        <v>23</v>
      </c>
      <c r="B32" s="29">
        <f>'1. 소켓인수검사'!C31</f>
        <v>900</v>
      </c>
      <c r="C32" s="29">
        <f>'1. 소켓인수검사'!D31</f>
        <v>900</v>
      </c>
      <c r="D32" s="73" t="s">
        <v>63</v>
      </c>
      <c r="E32" s="61">
        <f t="shared" si="0"/>
        <v>0.81</v>
      </c>
      <c r="F32" s="61">
        <f t="shared" si="1"/>
        <v>3.6</v>
      </c>
      <c r="G32" s="23"/>
      <c r="H32" s="29"/>
      <c r="I32" s="23"/>
      <c r="J32" s="23">
        <f t="shared" si="2"/>
        <v>4.0999999999999996</v>
      </c>
      <c r="K32" s="23">
        <v>2</v>
      </c>
      <c r="L32" s="23">
        <f t="shared" si="3"/>
        <v>8.1999999999999993</v>
      </c>
      <c r="M32" s="23"/>
      <c r="N32" s="23"/>
      <c r="O32" s="23"/>
      <c r="P32" s="23"/>
      <c r="Q32" s="23"/>
      <c r="R32" s="211"/>
      <c r="S32" s="212"/>
    </row>
    <row r="33" spans="1:19">
      <c r="A33" s="45" t="str">
        <f>'1. 소켓인수검사'!A32</f>
        <v>24</v>
      </c>
      <c r="B33" s="29">
        <f>'1. 소켓인수검사'!C32</f>
        <v>900</v>
      </c>
      <c r="C33" s="29">
        <f>'1. 소켓인수검사'!D32</f>
        <v>900</v>
      </c>
      <c r="D33" s="73" t="s">
        <v>63</v>
      </c>
      <c r="E33" s="61">
        <f t="shared" si="0"/>
        <v>0.81</v>
      </c>
      <c r="F33" s="61">
        <f t="shared" si="1"/>
        <v>3.6</v>
      </c>
      <c r="G33" s="23"/>
      <c r="H33" s="29"/>
      <c r="I33" s="23"/>
      <c r="J33" s="23">
        <f t="shared" si="2"/>
        <v>4.0999999999999996</v>
      </c>
      <c r="K33" s="23">
        <v>2</v>
      </c>
      <c r="L33" s="23">
        <f t="shared" si="3"/>
        <v>8.1999999999999993</v>
      </c>
      <c r="M33" s="23"/>
      <c r="N33" s="23"/>
      <c r="O33" s="23"/>
      <c r="P33" s="23"/>
      <c r="Q33" s="23"/>
      <c r="R33" s="211"/>
      <c r="S33" s="212"/>
    </row>
    <row r="34" spans="1:19">
      <c r="A34" s="45" t="str">
        <f>'1. 소켓인수검사'!A33</f>
        <v>25</v>
      </c>
      <c r="B34" s="29">
        <f>'1. 소켓인수검사'!C33</f>
        <v>900</v>
      </c>
      <c r="C34" s="29">
        <f>'1. 소켓인수검사'!D33</f>
        <v>900</v>
      </c>
      <c r="D34" s="73" t="s">
        <v>63</v>
      </c>
      <c r="E34" s="61">
        <f t="shared" si="0"/>
        <v>0.81</v>
      </c>
      <c r="F34" s="61">
        <f t="shared" si="1"/>
        <v>3.6</v>
      </c>
      <c r="G34" s="23"/>
      <c r="H34" s="29"/>
      <c r="I34" s="23"/>
      <c r="J34" s="23">
        <f t="shared" si="2"/>
        <v>4.0999999999999996</v>
      </c>
      <c r="K34" s="23">
        <v>2</v>
      </c>
      <c r="L34" s="23">
        <f t="shared" si="3"/>
        <v>8.1999999999999993</v>
      </c>
      <c r="M34" s="23"/>
      <c r="N34" s="23"/>
      <c r="O34" s="23"/>
      <c r="P34" s="23"/>
      <c r="Q34" s="23"/>
      <c r="R34" s="211"/>
      <c r="S34" s="212"/>
    </row>
    <row r="35" spans="1:19">
      <c r="A35" s="45" t="str">
        <f>'1. 소켓인수검사'!A34</f>
        <v>26</v>
      </c>
      <c r="B35" s="29">
        <f>'1. 소켓인수검사'!C34</f>
        <v>900</v>
      </c>
      <c r="C35" s="29">
        <f>'1. 소켓인수검사'!D34</f>
        <v>900</v>
      </c>
      <c r="D35" s="73" t="s">
        <v>63</v>
      </c>
      <c r="E35" s="61">
        <f t="shared" si="0"/>
        <v>0.81</v>
      </c>
      <c r="F35" s="61">
        <f t="shared" si="1"/>
        <v>3.6</v>
      </c>
      <c r="G35" s="23"/>
      <c r="H35" s="29"/>
      <c r="I35" s="23"/>
      <c r="J35" s="23">
        <f t="shared" si="2"/>
        <v>4.0999999999999996</v>
      </c>
      <c r="K35" s="23">
        <v>2</v>
      </c>
      <c r="L35" s="23">
        <f t="shared" si="3"/>
        <v>8.1999999999999993</v>
      </c>
      <c r="M35" s="23"/>
      <c r="N35" s="23"/>
      <c r="O35" s="23"/>
      <c r="P35" s="23"/>
      <c r="Q35" s="23"/>
      <c r="R35" s="211"/>
      <c r="S35" s="212"/>
    </row>
    <row r="36" spans="1:19">
      <c r="A36" s="45" t="str">
        <f>'1. 소켓인수검사'!A35</f>
        <v>27</v>
      </c>
      <c r="B36" s="29">
        <f>'1. 소켓인수검사'!C35</f>
        <v>900</v>
      </c>
      <c r="C36" s="29">
        <f>'1. 소켓인수검사'!D35</f>
        <v>900</v>
      </c>
      <c r="D36" s="73" t="s">
        <v>63</v>
      </c>
      <c r="E36" s="61">
        <f t="shared" si="0"/>
        <v>0.81</v>
      </c>
      <c r="F36" s="61">
        <f t="shared" si="1"/>
        <v>3.6</v>
      </c>
      <c r="G36" s="23"/>
      <c r="H36" s="29"/>
      <c r="I36" s="23"/>
      <c r="J36" s="23">
        <f t="shared" si="2"/>
        <v>4.0999999999999996</v>
      </c>
      <c r="K36" s="23">
        <v>2</v>
      </c>
      <c r="L36" s="23">
        <f t="shared" si="3"/>
        <v>8.1999999999999993</v>
      </c>
      <c r="M36" s="23"/>
      <c r="N36" s="23"/>
      <c r="O36" s="23"/>
      <c r="P36" s="23"/>
      <c r="Q36" s="23"/>
      <c r="R36" s="211"/>
      <c r="S36" s="212"/>
    </row>
    <row r="37" spans="1:19">
      <c r="A37" s="45" t="str">
        <f>'1. 소켓인수검사'!A36</f>
        <v>28</v>
      </c>
      <c r="B37" s="29">
        <f>'1. 소켓인수검사'!C36</f>
        <v>900</v>
      </c>
      <c r="C37" s="29">
        <f>'1. 소켓인수검사'!D36</f>
        <v>900</v>
      </c>
      <c r="D37" s="73" t="s">
        <v>63</v>
      </c>
      <c r="E37" s="61">
        <f t="shared" si="0"/>
        <v>0.81</v>
      </c>
      <c r="F37" s="61">
        <f t="shared" si="1"/>
        <v>3.6</v>
      </c>
      <c r="G37" s="23"/>
      <c r="H37" s="29"/>
      <c r="I37" s="23"/>
      <c r="J37" s="23">
        <f t="shared" si="2"/>
        <v>4.0999999999999996</v>
      </c>
      <c r="K37" s="23">
        <v>2</v>
      </c>
      <c r="L37" s="23">
        <f t="shared" si="3"/>
        <v>8.1999999999999993</v>
      </c>
      <c r="M37" s="23"/>
      <c r="N37" s="23"/>
      <c r="O37" s="23"/>
      <c r="P37" s="23"/>
      <c r="Q37" s="23"/>
      <c r="R37" s="211"/>
      <c r="S37" s="212"/>
    </row>
    <row r="38" spans="1:19">
      <c r="A38" s="45" t="str">
        <f>'1. 소켓인수검사'!A37</f>
        <v>29</v>
      </c>
      <c r="B38" s="29">
        <f>'1. 소켓인수검사'!C37</f>
        <v>900</v>
      </c>
      <c r="C38" s="29">
        <f>'1. 소켓인수검사'!D37</f>
        <v>900</v>
      </c>
      <c r="D38" s="73" t="s">
        <v>63</v>
      </c>
      <c r="E38" s="61">
        <f t="shared" si="0"/>
        <v>0.81</v>
      </c>
      <c r="F38" s="61">
        <f t="shared" si="1"/>
        <v>3.6</v>
      </c>
      <c r="G38" s="23"/>
      <c r="H38" s="29"/>
      <c r="I38" s="23"/>
      <c r="J38" s="23">
        <f t="shared" si="2"/>
        <v>4.0999999999999996</v>
      </c>
      <c r="K38" s="23">
        <v>2</v>
      </c>
      <c r="L38" s="23">
        <f t="shared" si="3"/>
        <v>8.1999999999999993</v>
      </c>
      <c r="M38" s="23"/>
      <c r="N38" s="23"/>
      <c r="O38" s="23"/>
      <c r="P38" s="23"/>
      <c r="Q38" s="23"/>
      <c r="R38" s="211"/>
      <c r="S38" s="212"/>
    </row>
    <row r="39" spans="1:19">
      <c r="A39" s="45" t="str">
        <f>'1. 소켓인수검사'!A38</f>
        <v>30</v>
      </c>
      <c r="B39" s="29">
        <f>'1. 소켓인수검사'!C38</f>
        <v>900</v>
      </c>
      <c r="C39" s="29">
        <f>'1. 소켓인수검사'!D38</f>
        <v>900</v>
      </c>
      <c r="D39" s="73" t="s">
        <v>63</v>
      </c>
      <c r="E39" s="61">
        <f t="shared" si="0"/>
        <v>0.81</v>
      </c>
      <c r="F39" s="61">
        <f t="shared" si="1"/>
        <v>3.6</v>
      </c>
      <c r="G39" s="23"/>
      <c r="H39" s="29"/>
      <c r="I39" s="23"/>
      <c r="J39" s="23">
        <f t="shared" si="2"/>
        <v>4.0999999999999996</v>
      </c>
      <c r="K39" s="23">
        <v>2</v>
      </c>
      <c r="L39" s="23">
        <f t="shared" si="3"/>
        <v>8.1999999999999993</v>
      </c>
      <c r="M39" s="23"/>
      <c r="N39" s="23"/>
      <c r="O39" s="23"/>
      <c r="P39" s="23"/>
      <c r="Q39" s="23"/>
      <c r="R39" s="211"/>
      <c r="S39" s="212"/>
    </row>
    <row r="40" spans="1:19">
      <c r="A40" s="45" t="str">
        <f>'1. 소켓인수검사'!A39</f>
        <v>31</v>
      </c>
      <c r="B40" s="29">
        <f>'1. 소켓인수검사'!C39</f>
        <v>900</v>
      </c>
      <c r="C40" s="29">
        <f>'1. 소켓인수검사'!D39</f>
        <v>900</v>
      </c>
      <c r="D40" s="73" t="s">
        <v>63</v>
      </c>
      <c r="E40" s="61">
        <f t="shared" si="0"/>
        <v>0.81</v>
      </c>
      <c r="F40" s="61">
        <f t="shared" si="1"/>
        <v>3.6</v>
      </c>
      <c r="G40" s="23"/>
      <c r="H40" s="29"/>
      <c r="I40" s="23"/>
      <c r="J40" s="23">
        <f t="shared" si="2"/>
        <v>4.0999999999999996</v>
      </c>
      <c r="K40" s="23">
        <v>2</v>
      </c>
      <c r="L40" s="23">
        <f t="shared" si="3"/>
        <v>8.1999999999999993</v>
      </c>
      <c r="M40" s="23"/>
      <c r="N40" s="23"/>
      <c r="O40" s="23"/>
      <c r="P40" s="23"/>
      <c r="Q40" s="23"/>
      <c r="R40" s="211"/>
      <c r="S40" s="212"/>
    </row>
    <row r="41" spans="1:19">
      <c r="A41" s="45" t="str">
        <f>'1. 소켓인수검사'!A40</f>
        <v>32</v>
      </c>
      <c r="B41" s="29">
        <f>'1. 소켓인수검사'!C40</f>
        <v>900</v>
      </c>
      <c r="C41" s="29">
        <f>'1. 소켓인수검사'!D40</f>
        <v>900</v>
      </c>
      <c r="D41" s="73" t="s">
        <v>63</v>
      </c>
      <c r="E41" s="61">
        <f t="shared" si="0"/>
        <v>0.81</v>
      </c>
      <c r="F41" s="61">
        <f t="shared" si="1"/>
        <v>3.6</v>
      </c>
      <c r="G41" s="23"/>
      <c r="H41" s="29"/>
      <c r="I41" s="23"/>
      <c r="J41" s="23">
        <f t="shared" si="2"/>
        <v>4.0999999999999996</v>
      </c>
      <c r="K41" s="23">
        <v>2</v>
      </c>
      <c r="L41" s="23">
        <f t="shared" si="3"/>
        <v>8.1999999999999993</v>
      </c>
      <c r="M41" s="23"/>
      <c r="N41" s="23"/>
      <c r="O41" s="23"/>
      <c r="P41" s="23"/>
      <c r="Q41" s="23"/>
      <c r="R41" s="211"/>
      <c r="S41" s="212"/>
    </row>
    <row r="42" spans="1:19">
      <c r="A42" s="45" t="str">
        <f>'1. 소켓인수검사'!A41</f>
        <v>33</v>
      </c>
      <c r="B42" s="29">
        <f>'1. 소켓인수검사'!C41</f>
        <v>900</v>
      </c>
      <c r="C42" s="29">
        <f>'1. 소켓인수검사'!D41</f>
        <v>900</v>
      </c>
      <c r="D42" s="73" t="s">
        <v>63</v>
      </c>
      <c r="E42" s="61">
        <f t="shared" si="0"/>
        <v>0.81</v>
      </c>
      <c r="F42" s="61">
        <f t="shared" si="1"/>
        <v>3.6</v>
      </c>
      <c r="G42" s="23"/>
      <c r="H42" s="29"/>
      <c r="I42" s="23"/>
      <c r="J42" s="23">
        <f t="shared" si="2"/>
        <v>4.0999999999999996</v>
      </c>
      <c r="K42" s="23">
        <v>2</v>
      </c>
      <c r="L42" s="23">
        <f t="shared" si="3"/>
        <v>8.1999999999999993</v>
      </c>
      <c r="M42" s="23"/>
      <c r="N42" s="23"/>
      <c r="O42" s="23"/>
      <c r="P42" s="23"/>
      <c r="Q42" s="23"/>
      <c r="R42" s="211"/>
      <c r="S42" s="212"/>
    </row>
    <row r="43" spans="1:19">
      <c r="A43" s="45" t="str">
        <f>'1. 소켓인수검사'!A42</f>
        <v>34</v>
      </c>
      <c r="B43" s="29">
        <f>'1. 소켓인수검사'!C42</f>
        <v>900</v>
      </c>
      <c r="C43" s="29">
        <f>'1. 소켓인수검사'!D42</f>
        <v>900</v>
      </c>
      <c r="D43" s="73" t="s">
        <v>63</v>
      </c>
      <c r="E43" s="61">
        <f t="shared" si="0"/>
        <v>0.81</v>
      </c>
      <c r="F43" s="61">
        <f t="shared" si="1"/>
        <v>3.6</v>
      </c>
      <c r="G43" s="23"/>
      <c r="H43" s="29"/>
      <c r="I43" s="23"/>
      <c r="J43" s="23">
        <f t="shared" si="2"/>
        <v>4.0999999999999996</v>
      </c>
      <c r="K43" s="23">
        <v>2</v>
      </c>
      <c r="L43" s="23">
        <f t="shared" si="3"/>
        <v>8.1999999999999993</v>
      </c>
      <c r="M43" s="23"/>
      <c r="N43" s="23"/>
      <c r="O43" s="23"/>
      <c r="P43" s="23"/>
      <c r="Q43" s="23"/>
      <c r="R43" s="211"/>
      <c r="S43" s="212"/>
    </row>
    <row r="44" spans="1:19">
      <c r="A44" s="45" t="str">
        <f>'1. 소켓인수검사'!A43</f>
        <v>35</v>
      </c>
      <c r="B44" s="29">
        <f>'1. 소켓인수검사'!C43</f>
        <v>900</v>
      </c>
      <c r="C44" s="29">
        <f>'1. 소켓인수검사'!D43</f>
        <v>900</v>
      </c>
      <c r="D44" s="73" t="s">
        <v>63</v>
      </c>
      <c r="E44" s="61">
        <f t="shared" si="0"/>
        <v>0.81</v>
      </c>
      <c r="F44" s="61">
        <f t="shared" si="1"/>
        <v>3.6</v>
      </c>
      <c r="G44" s="23"/>
      <c r="H44" s="29"/>
      <c r="I44" s="23"/>
      <c r="J44" s="23">
        <f t="shared" si="2"/>
        <v>4.0999999999999996</v>
      </c>
      <c r="K44" s="23">
        <v>2</v>
      </c>
      <c r="L44" s="23">
        <f t="shared" si="3"/>
        <v>8.1999999999999993</v>
      </c>
      <c r="M44" s="23"/>
      <c r="N44" s="23"/>
      <c r="O44" s="23"/>
      <c r="P44" s="23"/>
      <c r="Q44" s="23"/>
      <c r="R44" s="211"/>
      <c r="S44" s="212"/>
    </row>
    <row r="45" spans="1:19">
      <c r="A45" s="45" t="str">
        <f>'1. 소켓인수검사'!A44</f>
        <v>36</v>
      </c>
      <c r="B45" s="29">
        <f>'1. 소켓인수검사'!C44</f>
        <v>900</v>
      </c>
      <c r="C45" s="29">
        <f>'1. 소켓인수검사'!D44</f>
        <v>900</v>
      </c>
      <c r="D45" s="73" t="s">
        <v>63</v>
      </c>
      <c r="E45" s="61">
        <f t="shared" si="0"/>
        <v>0.81</v>
      </c>
      <c r="F45" s="61">
        <f t="shared" si="1"/>
        <v>3.6</v>
      </c>
      <c r="G45" s="23"/>
      <c r="H45" s="29"/>
      <c r="I45" s="23"/>
      <c r="J45" s="23">
        <f t="shared" si="2"/>
        <v>4.0999999999999996</v>
      </c>
      <c r="K45" s="23">
        <v>2</v>
      </c>
      <c r="L45" s="23">
        <f t="shared" si="3"/>
        <v>8.1999999999999993</v>
      </c>
      <c r="M45" s="23"/>
      <c r="N45" s="23"/>
      <c r="O45" s="23"/>
      <c r="P45" s="23"/>
      <c r="Q45" s="23"/>
      <c r="R45" s="211"/>
      <c r="S45" s="212"/>
    </row>
    <row r="46" spans="1:19">
      <c r="A46" s="45" t="str">
        <f>'1. 소켓인수검사'!A45</f>
        <v>37</v>
      </c>
      <c r="B46" s="29">
        <f>'1. 소켓인수검사'!C45</f>
        <v>900</v>
      </c>
      <c r="C46" s="29">
        <f>'1. 소켓인수검사'!D45</f>
        <v>900</v>
      </c>
      <c r="D46" s="73" t="s">
        <v>63</v>
      </c>
      <c r="E46" s="61">
        <f t="shared" si="0"/>
        <v>0.81</v>
      </c>
      <c r="F46" s="61">
        <f t="shared" si="1"/>
        <v>3.6</v>
      </c>
      <c r="G46" s="23"/>
      <c r="H46" s="29"/>
      <c r="I46" s="23"/>
      <c r="J46" s="23">
        <f t="shared" si="2"/>
        <v>4.0999999999999996</v>
      </c>
      <c r="K46" s="23">
        <v>2</v>
      </c>
      <c r="L46" s="23">
        <f t="shared" si="3"/>
        <v>8.1999999999999993</v>
      </c>
      <c r="M46" s="23"/>
      <c r="N46" s="23"/>
      <c r="O46" s="23"/>
      <c r="P46" s="23"/>
      <c r="Q46" s="23"/>
      <c r="R46" s="211"/>
      <c r="S46" s="212"/>
    </row>
    <row r="47" spans="1:19">
      <c r="A47" s="45" t="str">
        <f>'1. 소켓인수검사'!A46</f>
        <v>38</v>
      </c>
      <c r="B47" s="29">
        <f>'1. 소켓인수검사'!C46</f>
        <v>900</v>
      </c>
      <c r="C47" s="29">
        <f>'1. 소켓인수검사'!D46</f>
        <v>900</v>
      </c>
      <c r="D47" s="73" t="s">
        <v>63</v>
      </c>
      <c r="E47" s="61">
        <f t="shared" si="0"/>
        <v>0.81</v>
      </c>
      <c r="F47" s="61">
        <f t="shared" si="1"/>
        <v>3.6</v>
      </c>
      <c r="G47" s="23"/>
      <c r="H47" s="29"/>
      <c r="I47" s="23"/>
      <c r="J47" s="23">
        <f t="shared" si="2"/>
        <v>4.0999999999999996</v>
      </c>
      <c r="K47" s="23">
        <v>2</v>
      </c>
      <c r="L47" s="23">
        <f t="shared" si="3"/>
        <v>8.1999999999999993</v>
      </c>
      <c r="M47" s="23"/>
      <c r="N47" s="23"/>
      <c r="O47" s="23"/>
      <c r="P47" s="23"/>
      <c r="Q47" s="23"/>
      <c r="R47" s="211"/>
      <c r="S47" s="212"/>
    </row>
    <row r="48" spans="1:19">
      <c r="A48" s="45" t="str">
        <f>'1. 소켓인수검사'!A47</f>
        <v>39</v>
      </c>
      <c r="B48" s="29">
        <f>'1. 소켓인수검사'!C47</f>
        <v>900</v>
      </c>
      <c r="C48" s="29">
        <f>'1. 소켓인수검사'!D47</f>
        <v>900</v>
      </c>
      <c r="D48" s="73" t="s">
        <v>63</v>
      </c>
      <c r="E48" s="61">
        <f t="shared" si="0"/>
        <v>0.81</v>
      </c>
      <c r="F48" s="61">
        <f t="shared" si="1"/>
        <v>3.6</v>
      </c>
      <c r="G48" s="23"/>
      <c r="H48" s="29"/>
      <c r="I48" s="23"/>
      <c r="J48" s="23">
        <f t="shared" si="2"/>
        <v>4.0999999999999996</v>
      </c>
      <c r="K48" s="23">
        <v>2</v>
      </c>
      <c r="L48" s="23">
        <f t="shared" si="3"/>
        <v>8.1999999999999993</v>
      </c>
      <c r="M48" s="23"/>
      <c r="N48" s="23"/>
      <c r="O48" s="23"/>
      <c r="P48" s="23"/>
      <c r="Q48" s="23"/>
      <c r="R48" s="211"/>
      <c r="S48" s="212"/>
    </row>
    <row r="49" spans="1:19">
      <c r="A49" s="45" t="str">
        <f>'1. 소켓인수검사'!A48</f>
        <v>40</v>
      </c>
      <c r="B49" s="29">
        <f>'1. 소켓인수검사'!C48</f>
        <v>900</v>
      </c>
      <c r="C49" s="29">
        <f>'1. 소켓인수검사'!D48</f>
        <v>900</v>
      </c>
      <c r="D49" s="73" t="s">
        <v>63</v>
      </c>
      <c r="E49" s="61">
        <f t="shared" si="0"/>
        <v>0.81</v>
      </c>
      <c r="F49" s="61">
        <f t="shared" si="1"/>
        <v>3.6</v>
      </c>
      <c r="G49" s="23"/>
      <c r="H49" s="29"/>
      <c r="I49" s="23"/>
      <c r="J49" s="23">
        <f t="shared" si="2"/>
        <v>4.0999999999999996</v>
      </c>
      <c r="K49" s="23">
        <v>2</v>
      </c>
      <c r="L49" s="23">
        <f t="shared" si="3"/>
        <v>8.1999999999999993</v>
      </c>
      <c r="M49" s="23"/>
      <c r="N49" s="23"/>
      <c r="O49" s="23"/>
      <c r="P49" s="23"/>
      <c r="Q49" s="23"/>
      <c r="R49" s="211"/>
      <c r="S49" s="212"/>
    </row>
    <row r="50" spans="1:19">
      <c r="A50" s="45" t="str">
        <f>'1. 소켓인수검사'!A49</f>
        <v>41</v>
      </c>
      <c r="B50" s="29">
        <f>'1. 소켓인수검사'!C49</f>
        <v>900</v>
      </c>
      <c r="C50" s="29">
        <f>'1. 소켓인수검사'!D49</f>
        <v>900</v>
      </c>
      <c r="D50" s="73" t="s">
        <v>63</v>
      </c>
      <c r="E50" s="61">
        <f t="shared" si="0"/>
        <v>0.81</v>
      </c>
      <c r="F50" s="61">
        <f t="shared" si="1"/>
        <v>3.6</v>
      </c>
      <c r="G50" s="23"/>
      <c r="H50" s="29"/>
      <c r="I50" s="23"/>
      <c r="J50" s="23">
        <f t="shared" si="2"/>
        <v>4.0999999999999996</v>
      </c>
      <c r="K50" s="23">
        <v>2</v>
      </c>
      <c r="L50" s="23">
        <f t="shared" si="3"/>
        <v>8.1999999999999993</v>
      </c>
      <c r="M50" s="23"/>
      <c r="N50" s="23"/>
      <c r="O50" s="23"/>
      <c r="P50" s="23"/>
      <c r="Q50" s="23"/>
      <c r="R50" s="211"/>
      <c r="S50" s="212"/>
    </row>
    <row r="51" spans="1:19">
      <c r="A51" s="45" t="str">
        <f>'1. 소켓인수검사'!A50</f>
        <v>42</v>
      </c>
      <c r="B51" s="29">
        <f>'1. 소켓인수검사'!C50</f>
        <v>900</v>
      </c>
      <c r="C51" s="29">
        <f>'1. 소켓인수검사'!D50</f>
        <v>900</v>
      </c>
      <c r="D51" s="73" t="s">
        <v>63</v>
      </c>
      <c r="E51" s="61">
        <f t="shared" si="0"/>
        <v>0.81</v>
      </c>
      <c r="F51" s="61">
        <f t="shared" si="1"/>
        <v>3.6</v>
      </c>
      <c r="G51" s="23"/>
      <c r="H51" s="29"/>
      <c r="I51" s="23"/>
      <c r="J51" s="23">
        <f t="shared" si="2"/>
        <v>4.0999999999999996</v>
      </c>
      <c r="K51" s="23">
        <v>2</v>
      </c>
      <c r="L51" s="23">
        <f t="shared" si="3"/>
        <v>8.1999999999999993</v>
      </c>
      <c r="M51" s="23"/>
      <c r="N51" s="23"/>
      <c r="O51" s="23"/>
      <c r="P51" s="23"/>
      <c r="Q51" s="23"/>
      <c r="R51" s="211"/>
      <c r="S51" s="212"/>
    </row>
    <row r="52" spans="1:19">
      <c r="A52" s="45" t="str">
        <f>'1. 소켓인수검사'!A51</f>
        <v>43</v>
      </c>
      <c r="B52" s="29">
        <f>'1. 소켓인수검사'!C51</f>
        <v>900</v>
      </c>
      <c r="C52" s="29">
        <f>'1. 소켓인수검사'!D51</f>
        <v>900</v>
      </c>
      <c r="D52" s="73" t="s">
        <v>63</v>
      </c>
      <c r="E52" s="61">
        <f t="shared" si="0"/>
        <v>0.81</v>
      </c>
      <c r="F52" s="61">
        <f t="shared" si="1"/>
        <v>3.6</v>
      </c>
      <c r="G52" s="23"/>
      <c r="H52" s="29"/>
      <c r="I52" s="23"/>
      <c r="J52" s="23">
        <f t="shared" si="2"/>
        <v>4.0999999999999996</v>
      </c>
      <c r="K52" s="23">
        <v>2</v>
      </c>
      <c r="L52" s="23">
        <f t="shared" si="3"/>
        <v>8.1999999999999993</v>
      </c>
      <c r="M52" s="23"/>
      <c r="N52" s="23"/>
      <c r="O52" s="23"/>
      <c r="P52" s="23"/>
      <c r="Q52" s="23"/>
      <c r="R52" s="211"/>
      <c r="S52" s="212"/>
    </row>
    <row r="53" spans="1:19">
      <c r="A53" s="45" t="str">
        <f>'1. 소켓인수검사'!A52</f>
        <v>44</v>
      </c>
      <c r="B53" s="29">
        <f>'1. 소켓인수검사'!C52</f>
        <v>900</v>
      </c>
      <c r="C53" s="29">
        <f>'1. 소켓인수검사'!D52</f>
        <v>900</v>
      </c>
      <c r="D53" s="73" t="s">
        <v>63</v>
      </c>
      <c r="E53" s="61">
        <f t="shared" si="0"/>
        <v>0.81</v>
      </c>
      <c r="F53" s="61">
        <f t="shared" si="1"/>
        <v>3.6</v>
      </c>
      <c r="G53" s="23"/>
      <c r="H53" s="29"/>
      <c r="I53" s="23"/>
      <c r="J53" s="23">
        <f t="shared" si="2"/>
        <v>4.0999999999999996</v>
      </c>
      <c r="K53" s="23">
        <v>2</v>
      </c>
      <c r="L53" s="23">
        <f t="shared" si="3"/>
        <v>8.1999999999999993</v>
      </c>
      <c r="M53" s="23"/>
      <c r="N53" s="23"/>
      <c r="O53" s="23"/>
      <c r="P53" s="23"/>
      <c r="Q53" s="23"/>
      <c r="R53" s="211"/>
      <c r="S53" s="212"/>
    </row>
    <row r="54" spans="1:19">
      <c r="A54" s="45" t="str">
        <f>'1. 소켓인수검사'!A53</f>
        <v>45</v>
      </c>
      <c r="B54" s="29">
        <f>'1. 소켓인수검사'!C53</f>
        <v>900</v>
      </c>
      <c r="C54" s="29">
        <f>'1. 소켓인수검사'!D53</f>
        <v>900</v>
      </c>
      <c r="D54" s="73" t="s">
        <v>63</v>
      </c>
      <c r="E54" s="61">
        <f t="shared" si="0"/>
        <v>0.81</v>
      </c>
      <c r="F54" s="61">
        <f t="shared" si="1"/>
        <v>3.6</v>
      </c>
      <c r="G54" s="23"/>
      <c r="H54" s="29"/>
      <c r="I54" s="23"/>
      <c r="J54" s="23">
        <f t="shared" si="2"/>
        <v>4.0999999999999996</v>
      </c>
      <c r="K54" s="23">
        <v>2</v>
      </c>
      <c r="L54" s="23">
        <f t="shared" si="3"/>
        <v>8.1999999999999993</v>
      </c>
      <c r="M54" s="23"/>
      <c r="N54" s="23"/>
      <c r="O54" s="23"/>
      <c r="P54" s="23"/>
      <c r="Q54" s="23"/>
      <c r="R54" s="211"/>
      <c r="S54" s="212"/>
    </row>
    <row r="55" spans="1:19">
      <c r="A55" s="45" t="str">
        <f>'1. 소켓인수검사'!A54</f>
        <v>46</v>
      </c>
      <c r="B55" s="29">
        <f>'1. 소켓인수검사'!C54</f>
        <v>900</v>
      </c>
      <c r="C55" s="29">
        <f>'1. 소켓인수검사'!D54</f>
        <v>900</v>
      </c>
      <c r="D55" s="73" t="s">
        <v>63</v>
      </c>
      <c r="E55" s="61">
        <f t="shared" si="0"/>
        <v>0.81</v>
      </c>
      <c r="F55" s="61">
        <f t="shared" si="1"/>
        <v>3.6</v>
      </c>
      <c r="G55" s="23"/>
      <c r="H55" s="29"/>
      <c r="I55" s="23"/>
      <c r="J55" s="23">
        <f t="shared" si="2"/>
        <v>4.0999999999999996</v>
      </c>
      <c r="K55" s="23">
        <v>2</v>
      </c>
      <c r="L55" s="23">
        <f t="shared" si="3"/>
        <v>8.1999999999999993</v>
      </c>
      <c r="M55" s="23"/>
      <c r="N55" s="23"/>
      <c r="O55" s="23"/>
      <c r="P55" s="23"/>
      <c r="Q55" s="23"/>
      <c r="R55" s="211"/>
      <c r="S55" s="212"/>
    </row>
    <row r="56" spans="1:19">
      <c r="A56" s="45" t="str">
        <f>'1. 소켓인수검사'!A55</f>
        <v>47</v>
      </c>
      <c r="B56" s="29">
        <f>'1. 소켓인수검사'!C55</f>
        <v>900</v>
      </c>
      <c r="C56" s="29">
        <f>'1. 소켓인수검사'!D55</f>
        <v>900</v>
      </c>
      <c r="D56" s="73" t="s">
        <v>63</v>
      </c>
      <c r="E56" s="61">
        <f t="shared" si="0"/>
        <v>0.81</v>
      </c>
      <c r="F56" s="61">
        <f t="shared" si="1"/>
        <v>3.6</v>
      </c>
      <c r="G56" s="23"/>
      <c r="H56" s="29"/>
      <c r="I56" s="23"/>
      <c r="J56" s="23">
        <f t="shared" si="2"/>
        <v>4.0999999999999996</v>
      </c>
      <c r="K56" s="23">
        <v>2</v>
      </c>
      <c r="L56" s="23">
        <f t="shared" si="3"/>
        <v>8.1999999999999993</v>
      </c>
      <c r="M56" s="23"/>
      <c r="N56" s="23"/>
      <c r="O56" s="23"/>
      <c r="P56" s="23"/>
      <c r="Q56" s="23"/>
      <c r="R56" s="211"/>
      <c r="S56" s="212"/>
    </row>
    <row r="57" spans="1:19">
      <c r="A57" s="45" t="str">
        <f>'1. 소켓인수검사'!A56</f>
        <v>48</v>
      </c>
      <c r="B57" s="29">
        <f>'1. 소켓인수검사'!C56</f>
        <v>900</v>
      </c>
      <c r="C57" s="29">
        <f>'1. 소켓인수검사'!D56</f>
        <v>900</v>
      </c>
      <c r="D57" s="73" t="s">
        <v>63</v>
      </c>
      <c r="E57" s="61">
        <f t="shared" si="0"/>
        <v>0.81</v>
      </c>
      <c r="F57" s="61">
        <f t="shared" si="1"/>
        <v>3.6</v>
      </c>
      <c r="G57" s="23"/>
      <c r="H57" s="29"/>
      <c r="I57" s="23"/>
      <c r="J57" s="23">
        <f t="shared" si="2"/>
        <v>4.0999999999999996</v>
      </c>
      <c r="K57" s="23">
        <v>2</v>
      </c>
      <c r="L57" s="23">
        <f t="shared" si="3"/>
        <v>8.1999999999999993</v>
      </c>
      <c r="M57" s="23"/>
      <c r="N57" s="23"/>
      <c r="O57" s="23"/>
      <c r="P57" s="23"/>
      <c r="Q57" s="23"/>
      <c r="R57" s="211"/>
      <c r="S57" s="212"/>
    </row>
    <row r="58" spans="1:19">
      <c r="A58" s="45" t="str">
        <f>'1. 소켓인수검사'!A57</f>
        <v>49</v>
      </c>
      <c r="B58" s="29">
        <f>'1. 소켓인수검사'!C57</f>
        <v>900</v>
      </c>
      <c r="C58" s="29">
        <f>'1. 소켓인수검사'!D57</f>
        <v>900</v>
      </c>
      <c r="D58" s="73" t="s">
        <v>63</v>
      </c>
      <c r="E58" s="61">
        <f t="shared" si="0"/>
        <v>0.81</v>
      </c>
      <c r="F58" s="61">
        <f t="shared" si="1"/>
        <v>3.6</v>
      </c>
      <c r="G58" s="23"/>
      <c r="H58" s="29"/>
      <c r="I58" s="23"/>
      <c r="J58" s="23">
        <f t="shared" si="2"/>
        <v>4.0999999999999996</v>
      </c>
      <c r="K58" s="23">
        <v>2</v>
      </c>
      <c r="L58" s="23">
        <f t="shared" si="3"/>
        <v>8.1999999999999993</v>
      </c>
      <c r="M58" s="23"/>
      <c r="N58" s="23"/>
      <c r="O58" s="23"/>
      <c r="P58" s="23"/>
      <c r="Q58" s="23"/>
      <c r="R58" s="211"/>
      <c r="S58" s="212"/>
    </row>
    <row r="59" spans="1:19">
      <c r="A59" s="45" t="str">
        <f>'1. 소켓인수검사'!A58</f>
        <v>50</v>
      </c>
      <c r="B59" s="29">
        <f>'1. 소켓인수검사'!C58</f>
        <v>900</v>
      </c>
      <c r="C59" s="29">
        <f>'1. 소켓인수검사'!D58</f>
        <v>900</v>
      </c>
      <c r="D59" s="73" t="s">
        <v>63</v>
      </c>
      <c r="E59" s="61">
        <f t="shared" si="0"/>
        <v>0.81</v>
      </c>
      <c r="F59" s="61">
        <f t="shared" si="1"/>
        <v>3.6</v>
      </c>
      <c r="G59" s="23"/>
      <c r="H59" s="29"/>
      <c r="I59" s="23"/>
      <c r="J59" s="23">
        <f t="shared" si="2"/>
        <v>4.0999999999999996</v>
      </c>
      <c r="K59" s="23">
        <v>2</v>
      </c>
      <c r="L59" s="23">
        <f t="shared" si="3"/>
        <v>8.1999999999999993</v>
      </c>
      <c r="M59" s="23"/>
      <c r="N59" s="23"/>
      <c r="O59" s="23"/>
      <c r="P59" s="23"/>
      <c r="Q59" s="23"/>
      <c r="R59" s="211"/>
      <c r="S59" s="212"/>
    </row>
    <row r="60" spans="1:19">
      <c r="A60" s="45" t="str">
        <f>'1. 소켓인수검사'!A59</f>
        <v>51</v>
      </c>
      <c r="B60" s="29">
        <f>'1. 소켓인수검사'!C59</f>
        <v>900</v>
      </c>
      <c r="C60" s="29">
        <f>'1. 소켓인수검사'!D59</f>
        <v>900</v>
      </c>
      <c r="D60" s="73" t="s">
        <v>63</v>
      </c>
      <c r="E60" s="61">
        <f t="shared" si="0"/>
        <v>0.81</v>
      </c>
      <c r="F60" s="61">
        <f t="shared" si="1"/>
        <v>3.6</v>
      </c>
      <c r="G60" s="23"/>
      <c r="H60" s="29"/>
      <c r="I60" s="23"/>
      <c r="J60" s="23">
        <f t="shared" si="2"/>
        <v>4.0999999999999996</v>
      </c>
      <c r="K60" s="23">
        <v>2</v>
      </c>
      <c r="L60" s="23">
        <f t="shared" si="3"/>
        <v>8.1999999999999993</v>
      </c>
      <c r="M60" s="23"/>
      <c r="N60" s="23"/>
      <c r="O60" s="23"/>
      <c r="P60" s="23"/>
      <c r="Q60" s="23"/>
      <c r="R60" s="211"/>
      <c r="S60" s="212"/>
    </row>
    <row r="61" spans="1:19">
      <c r="A61" s="45" t="str">
        <f>'1. 소켓인수검사'!A60</f>
        <v>52</v>
      </c>
      <c r="B61" s="29">
        <f>'1. 소켓인수검사'!C60</f>
        <v>900</v>
      </c>
      <c r="C61" s="29">
        <f>'1. 소켓인수검사'!D60</f>
        <v>900</v>
      </c>
      <c r="D61" s="73" t="s">
        <v>63</v>
      </c>
      <c r="E61" s="61">
        <f t="shared" si="0"/>
        <v>0.81</v>
      </c>
      <c r="F61" s="61">
        <f t="shared" si="1"/>
        <v>3.6</v>
      </c>
      <c r="G61" s="23"/>
      <c r="H61" s="29"/>
      <c r="I61" s="23"/>
      <c r="J61" s="23">
        <f t="shared" si="2"/>
        <v>4.0999999999999996</v>
      </c>
      <c r="K61" s="23">
        <v>2</v>
      </c>
      <c r="L61" s="23">
        <f t="shared" si="3"/>
        <v>8.1999999999999993</v>
      </c>
      <c r="M61" s="23"/>
      <c r="N61" s="23"/>
      <c r="O61" s="23"/>
      <c r="P61" s="23"/>
      <c r="Q61" s="23"/>
      <c r="R61" s="211"/>
      <c r="S61" s="212"/>
    </row>
    <row r="62" spans="1:19">
      <c r="A62" s="45" t="str">
        <f>'1. 소켓인수검사'!A61</f>
        <v>53</v>
      </c>
      <c r="B62" s="29">
        <f>'1. 소켓인수검사'!C61</f>
        <v>900</v>
      </c>
      <c r="C62" s="29">
        <f>'1. 소켓인수검사'!D61</f>
        <v>900</v>
      </c>
      <c r="D62" s="73" t="s">
        <v>63</v>
      </c>
      <c r="E62" s="61">
        <f t="shared" si="0"/>
        <v>0.81</v>
      </c>
      <c r="F62" s="61">
        <f t="shared" si="1"/>
        <v>3.6</v>
      </c>
      <c r="G62" s="23"/>
      <c r="H62" s="29"/>
      <c r="I62" s="23"/>
      <c r="J62" s="23">
        <f t="shared" si="2"/>
        <v>4.0999999999999996</v>
      </c>
      <c r="K62" s="23">
        <v>2</v>
      </c>
      <c r="L62" s="23">
        <f t="shared" si="3"/>
        <v>8.1999999999999993</v>
      </c>
      <c r="M62" s="23"/>
      <c r="N62" s="23"/>
      <c r="O62" s="23"/>
      <c r="P62" s="23"/>
      <c r="Q62" s="23"/>
      <c r="R62" s="211"/>
      <c r="S62" s="212"/>
    </row>
    <row r="63" spans="1:19">
      <c r="A63" s="45" t="str">
        <f>'1. 소켓인수검사'!A62</f>
        <v>54</v>
      </c>
      <c r="B63" s="29">
        <f>'1. 소켓인수검사'!C62</f>
        <v>900</v>
      </c>
      <c r="C63" s="29">
        <f>'1. 소켓인수검사'!D62</f>
        <v>900</v>
      </c>
      <c r="D63" s="73" t="s">
        <v>63</v>
      </c>
      <c r="E63" s="61">
        <f t="shared" si="0"/>
        <v>0.81</v>
      </c>
      <c r="F63" s="61">
        <f t="shared" si="1"/>
        <v>3.6</v>
      </c>
      <c r="G63" s="23"/>
      <c r="H63" s="29"/>
      <c r="I63" s="23"/>
      <c r="J63" s="23">
        <f t="shared" si="2"/>
        <v>4.0999999999999996</v>
      </c>
      <c r="K63" s="23">
        <v>2</v>
      </c>
      <c r="L63" s="23">
        <f t="shared" si="3"/>
        <v>8.1999999999999993</v>
      </c>
      <c r="M63" s="23"/>
      <c r="N63" s="23"/>
      <c r="O63" s="23"/>
      <c r="P63" s="23"/>
      <c r="Q63" s="23"/>
      <c r="R63" s="211"/>
      <c r="S63" s="212"/>
    </row>
    <row r="64" spans="1:19">
      <c r="A64" s="45" t="str">
        <f>'1. 소켓인수검사'!A63</f>
        <v>55</v>
      </c>
      <c r="B64" s="29">
        <f>'1. 소켓인수검사'!C63</f>
        <v>900</v>
      </c>
      <c r="C64" s="29">
        <f>'1. 소켓인수검사'!D63</f>
        <v>900</v>
      </c>
      <c r="D64" s="73" t="s">
        <v>63</v>
      </c>
      <c r="E64" s="61">
        <f t="shared" si="0"/>
        <v>0.81</v>
      </c>
      <c r="F64" s="61">
        <f t="shared" si="1"/>
        <v>3.6</v>
      </c>
      <c r="G64" s="23"/>
      <c r="H64" s="29"/>
      <c r="I64" s="23"/>
      <c r="J64" s="23">
        <f t="shared" si="2"/>
        <v>4.0999999999999996</v>
      </c>
      <c r="K64" s="23">
        <v>2</v>
      </c>
      <c r="L64" s="23">
        <f t="shared" si="3"/>
        <v>8.1999999999999993</v>
      </c>
      <c r="M64" s="23"/>
      <c r="N64" s="23"/>
      <c r="O64" s="23"/>
      <c r="P64" s="23"/>
      <c r="Q64" s="23"/>
      <c r="R64" s="211"/>
      <c r="S64" s="212"/>
    </row>
    <row r="65" spans="1:19">
      <c r="A65" s="45" t="str">
        <f>'1. 소켓인수검사'!A64</f>
        <v>56</v>
      </c>
      <c r="B65" s="29">
        <f>'1. 소켓인수검사'!C64</f>
        <v>900</v>
      </c>
      <c r="C65" s="29">
        <f>'1. 소켓인수검사'!D64</f>
        <v>900</v>
      </c>
      <c r="D65" s="73" t="s">
        <v>63</v>
      </c>
      <c r="E65" s="61">
        <f t="shared" si="0"/>
        <v>0.81</v>
      </c>
      <c r="F65" s="61">
        <f t="shared" si="1"/>
        <v>3.6</v>
      </c>
      <c r="G65" s="23"/>
      <c r="H65" s="29"/>
      <c r="I65" s="23"/>
      <c r="J65" s="23">
        <f t="shared" si="2"/>
        <v>4.0999999999999996</v>
      </c>
      <c r="K65" s="23">
        <v>2</v>
      </c>
      <c r="L65" s="23">
        <f t="shared" si="3"/>
        <v>8.1999999999999993</v>
      </c>
      <c r="M65" s="23"/>
      <c r="N65" s="23"/>
      <c r="O65" s="23"/>
      <c r="P65" s="23"/>
      <c r="Q65" s="23"/>
      <c r="R65" s="211"/>
      <c r="S65" s="212"/>
    </row>
    <row r="66" spans="1:19">
      <c r="A66" s="45" t="str">
        <f>'1. 소켓인수검사'!A65</f>
        <v>57</v>
      </c>
      <c r="B66" s="29">
        <f>'1. 소켓인수검사'!C65</f>
        <v>900</v>
      </c>
      <c r="C66" s="29">
        <f>'1. 소켓인수검사'!D65</f>
        <v>900</v>
      </c>
      <c r="D66" s="73" t="s">
        <v>63</v>
      </c>
      <c r="E66" s="61">
        <f t="shared" si="0"/>
        <v>0.81</v>
      </c>
      <c r="F66" s="61">
        <f t="shared" si="1"/>
        <v>3.6</v>
      </c>
      <c r="G66" s="23"/>
      <c r="H66" s="29"/>
      <c r="I66" s="23"/>
      <c r="J66" s="23">
        <f t="shared" si="2"/>
        <v>4.0999999999999996</v>
      </c>
      <c r="K66" s="23">
        <v>2</v>
      </c>
      <c r="L66" s="23">
        <f t="shared" si="3"/>
        <v>8.1999999999999993</v>
      </c>
      <c r="M66" s="23"/>
      <c r="N66" s="23"/>
      <c r="O66" s="23"/>
      <c r="P66" s="23"/>
      <c r="Q66" s="23"/>
      <c r="R66" s="211"/>
      <c r="S66" s="212"/>
    </row>
    <row r="67" spans="1:19">
      <c r="A67" s="45" t="str">
        <f>'1. 소켓인수검사'!A66</f>
        <v>58</v>
      </c>
      <c r="B67" s="29">
        <f>'1. 소켓인수검사'!C66</f>
        <v>900</v>
      </c>
      <c r="C67" s="29">
        <f>'1. 소켓인수검사'!D66</f>
        <v>900</v>
      </c>
      <c r="D67" s="73" t="s">
        <v>63</v>
      </c>
      <c r="E67" s="61">
        <f t="shared" si="0"/>
        <v>0.81</v>
      </c>
      <c r="F67" s="61">
        <f t="shared" si="1"/>
        <v>3.6</v>
      </c>
      <c r="G67" s="23"/>
      <c r="H67" s="29"/>
      <c r="I67" s="23"/>
      <c r="J67" s="23">
        <f t="shared" si="2"/>
        <v>4.0999999999999996</v>
      </c>
      <c r="K67" s="23">
        <v>2</v>
      </c>
      <c r="L67" s="23">
        <f t="shared" si="3"/>
        <v>8.1999999999999993</v>
      </c>
      <c r="M67" s="23"/>
      <c r="N67" s="23"/>
      <c r="O67" s="23"/>
      <c r="P67" s="23"/>
      <c r="Q67" s="23"/>
      <c r="R67" s="211"/>
      <c r="S67" s="212"/>
    </row>
    <row r="68" spans="1:19">
      <c r="A68" s="45" t="str">
        <f>'1. 소켓인수검사'!A67</f>
        <v>59</v>
      </c>
      <c r="B68" s="29">
        <f>'1. 소켓인수검사'!C67</f>
        <v>900</v>
      </c>
      <c r="C68" s="29">
        <f>'1. 소켓인수검사'!D67</f>
        <v>900</v>
      </c>
      <c r="D68" s="73" t="s">
        <v>63</v>
      </c>
      <c r="E68" s="61">
        <f t="shared" si="0"/>
        <v>0.81</v>
      </c>
      <c r="F68" s="61">
        <f t="shared" si="1"/>
        <v>3.6</v>
      </c>
      <c r="G68" s="23"/>
      <c r="H68" s="29"/>
      <c r="I68" s="23"/>
      <c r="J68" s="23">
        <f t="shared" si="2"/>
        <v>4.0999999999999996</v>
      </c>
      <c r="K68" s="23">
        <v>2</v>
      </c>
      <c r="L68" s="23">
        <f t="shared" si="3"/>
        <v>8.1999999999999993</v>
      </c>
      <c r="M68" s="23"/>
      <c r="N68" s="23"/>
      <c r="O68" s="23"/>
      <c r="P68" s="23"/>
      <c r="Q68" s="23"/>
      <c r="R68" s="211"/>
      <c r="S68" s="212"/>
    </row>
    <row r="69" spans="1:19">
      <c r="A69" s="45" t="str">
        <f>'1. 소켓인수검사'!A68</f>
        <v>60</v>
      </c>
      <c r="B69" s="29">
        <f>'1. 소켓인수검사'!C68</f>
        <v>900</v>
      </c>
      <c r="C69" s="29">
        <f>'1. 소켓인수검사'!D68</f>
        <v>900</v>
      </c>
      <c r="D69" s="73" t="s">
        <v>63</v>
      </c>
      <c r="E69" s="61">
        <f t="shared" si="0"/>
        <v>0.81</v>
      </c>
      <c r="F69" s="61">
        <f t="shared" si="1"/>
        <v>3.6</v>
      </c>
      <c r="G69" s="23"/>
      <c r="H69" s="29"/>
      <c r="I69" s="23"/>
      <c r="J69" s="23">
        <f t="shared" si="2"/>
        <v>4.0999999999999996</v>
      </c>
      <c r="K69" s="23">
        <v>2</v>
      </c>
      <c r="L69" s="23">
        <f t="shared" si="3"/>
        <v>8.1999999999999993</v>
      </c>
      <c r="M69" s="23"/>
      <c r="N69" s="23"/>
      <c r="O69" s="23"/>
      <c r="P69" s="23"/>
      <c r="Q69" s="23"/>
      <c r="R69" s="211"/>
      <c r="S69" s="212"/>
    </row>
    <row r="70" spans="1:19">
      <c r="A70" s="218" t="s">
        <v>3</v>
      </c>
      <c r="B70" s="219"/>
      <c r="C70" s="219"/>
      <c r="D70" s="219"/>
      <c r="E70" s="219"/>
      <c r="F70" s="220"/>
      <c r="G70" s="27"/>
      <c r="H70" s="37"/>
      <c r="I70" s="78">
        <f>SUM(I10:I69)</f>
        <v>0</v>
      </c>
      <c r="J70" s="27"/>
      <c r="K70" s="27"/>
      <c r="L70" s="78">
        <f>SUM(L10:L69)</f>
        <v>491.99999999999955</v>
      </c>
      <c r="M70" s="27"/>
      <c r="N70" s="27"/>
      <c r="O70" s="78">
        <f>SUM(O10:O69)</f>
        <v>0</v>
      </c>
      <c r="P70" s="27"/>
      <c r="Q70" s="27"/>
      <c r="R70" s="221">
        <f>SUM(R10:S69)</f>
        <v>0</v>
      </c>
      <c r="S70" s="222"/>
    </row>
    <row r="71" spans="1:19" ht="17.25" customHeight="1">
      <c r="A71" s="225" t="s">
        <v>12</v>
      </c>
      <c r="B71" s="226"/>
      <c r="C71" s="226"/>
      <c r="D71" s="226"/>
      <c r="E71" s="226"/>
      <c r="F71" s="227"/>
      <c r="G71" s="228">
        <f>I70/20</f>
        <v>0</v>
      </c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30"/>
    </row>
    <row r="72" spans="1:19">
      <c r="A72" s="225" t="s">
        <v>11</v>
      </c>
      <c r="B72" s="226"/>
      <c r="C72" s="226"/>
      <c r="D72" s="226"/>
      <c r="E72" s="226"/>
      <c r="F72" s="227"/>
      <c r="G72" s="228">
        <f>L70/3.6</f>
        <v>136.66666666666654</v>
      </c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30"/>
    </row>
    <row r="73" spans="1:19">
      <c r="A73" s="231" t="s">
        <v>73</v>
      </c>
      <c r="B73" s="226"/>
      <c r="C73" s="226"/>
      <c r="D73" s="226"/>
      <c r="E73" s="226"/>
      <c r="F73" s="227"/>
      <c r="G73" s="228">
        <f>O70/7.4</f>
        <v>0</v>
      </c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30"/>
    </row>
    <row r="74" spans="1:19">
      <c r="A74" s="225" t="s">
        <v>13</v>
      </c>
      <c r="B74" s="226"/>
      <c r="C74" s="226"/>
      <c r="D74" s="226"/>
      <c r="E74" s="226"/>
      <c r="F74" s="227"/>
      <c r="G74" s="228">
        <f>R70/3.6</f>
        <v>0</v>
      </c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30"/>
    </row>
    <row r="75" spans="1:19" ht="8.1" customHeight="1">
      <c r="A75" s="134"/>
      <c r="B75" s="134"/>
      <c r="C75" s="134"/>
      <c r="D75" s="134"/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</row>
    <row r="76" spans="1:19">
      <c r="A76" s="101" t="s">
        <v>42</v>
      </c>
      <c r="B76" s="101"/>
      <c r="C76" s="223"/>
      <c r="D76" s="224"/>
      <c r="E76" s="224"/>
      <c r="F76" s="224"/>
      <c r="G76" s="224"/>
      <c r="H76" s="224"/>
      <c r="I76" s="224"/>
      <c r="J76" s="224"/>
      <c r="K76" s="224"/>
      <c r="L76" s="224"/>
      <c r="M76" s="224"/>
      <c r="N76" s="224"/>
      <c r="O76" s="224"/>
      <c r="P76" s="224"/>
      <c r="Q76" s="224"/>
      <c r="R76" s="224"/>
      <c r="S76" s="224"/>
    </row>
    <row r="77" spans="1:19">
      <c r="A77" s="101"/>
      <c r="B77" s="101"/>
      <c r="C77" s="224"/>
      <c r="D77" s="224"/>
      <c r="E77" s="224"/>
      <c r="F77" s="224"/>
      <c r="G77" s="224"/>
      <c r="H77" s="224"/>
      <c r="I77" s="224"/>
      <c r="J77" s="224"/>
      <c r="K77" s="224"/>
      <c r="L77" s="224"/>
      <c r="M77" s="224"/>
      <c r="N77" s="224"/>
      <c r="O77" s="224"/>
      <c r="P77" s="224"/>
      <c r="Q77" s="224"/>
      <c r="R77" s="224"/>
      <c r="S77" s="224"/>
    </row>
    <row r="78" spans="1:19">
      <c r="A78" s="101"/>
      <c r="B78" s="101"/>
      <c r="C78" s="224"/>
      <c r="D78" s="224"/>
      <c r="E78" s="224"/>
      <c r="F78" s="224"/>
      <c r="G78" s="224"/>
      <c r="H78" s="224"/>
      <c r="I78" s="224"/>
      <c r="J78" s="224"/>
      <c r="K78" s="224"/>
      <c r="L78" s="224"/>
      <c r="M78" s="224"/>
      <c r="N78" s="224"/>
      <c r="O78" s="224"/>
      <c r="P78" s="224"/>
      <c r="Q78" s="224"/>
      <c r="R78" s="224"/>
      <c r="S78" s="224"/>
    </row>
    <row r="79" spans="1:19">
      <c r="A79" s="101"/>
      <c r="B79" s="101"/>
      <c r="C79" s="224"/>
      <c r="D79" s="224"/>
      <c r="E79" s="224"/>
      <c r="F79" s="224"/>
      <c r="G79" s="224"/>
      <c r="H79" s="224"/>
      <c r="I79" s="224"/>
      <c r="J79" s="224"/>
      <c r="K79" s="224"/>
      <c r="L79" s="224"/>
      <c r="M79" s="224"/>
      <c r="N79" s="224"/>
      <c r="O79" s="224"/>
      <c r="P79" s="224"/>
      <c r="Q79" s="224"/>
      <c r="R79" s="224"/>
      <c r="S79" s="224"/>
    </row>
  </sheetData>
  <mergeCells count="99">
    <mergeCell ref="A76:B79"/>
    <mergeCell ref="C76:S79"/>
    <mergeCell ref="A71:F71"/>
    <mergeCell ref="G71:S71"/>
    <mergeCell ref="A72:F72"/>
    <mergeCell ref="G72:S72"/>
    <mergeCell ref="A73:F73"/>
    <mergeCell ref="G73:S73"/>
    <mergeCell ref="A74:F74"/>
    <mergeCell ref="G74:S74"/>
    <mergeCell ref="A75:S75"/>
    <mergeCell ref="R58:S58"/>
    <mergeCell ref="R59:S59"/>
    <mergeCell ref="A70:F70"/>
    <mergeCell ref="R70:S70"/>
    <mergeCell ref="R64:S64"/>
    <mergeCell ref="R65:S65"/>
    <mergeCell ref="R66:S66"/>
    <mergeCell ref="R67:S67"/>
    <mergeCell ref="R68:S68"/>
    <mergeCell ref="R69:S69"/>
    <mergeCell ref="R60:S60"/>
    <mergeCell ref="R61:S61"/>
    <mergeCell ref="R62:S62"/>
    <mergeCell ref="R63:S63"/>
    <mergeCell ref="R57:S57"/>
    <mergeCell ref="R45:S45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51:S51"/>
    <mergeCell ref="R22:S22"/>
    <mergeCell ref="R23:S23"/>
    <mergeCell ref="R42:S42"/>
    <mergeCell ref="R43:S43"/>
    <mergeCell ref="R56:S56"/>
    <mergeCell ref="R52:S52"/>
    <mergeCell ref="R53:S53"/>
    <mergeCell ref="R54:S54"/>
    <mergeCell ref="R55:S55"/>
    <mergeCell ref="R46:S46"/>
    <mergeCell ref="R47:S47"/>
    <mergeCell ref="R48:S48"/>
    <mergeCell ref="R49:S49"/>
    <mergeCell ref="R50:S50"/>
    <mergeCell ref="R44:S44"/>
    <mergeCell ref="R24:S24"/>
    <mergeCell ref="R25:S25"/>
    <mergeCell ref="R26:S26"/>
    <mergeCell ref="R27:S27"/>
    <mergeCell ref="R41:S41"/>
    <mergeCell ref="R17:S17"/>
    <mergeCell ref="R18:S18"/>
    <mergeCell ref="R19:S19"/>
    <mergeCell ref="R10:S10"/>
    <mergeCell ref="R11:S11"/>
    <mergeCell ref="R12:S12"/>
    <mergeCell ref="R13:S13"/>
    <mergeCell ref="R14:S14"/>
    <mergeCell ref="R20:S20"/>
    <mergeCell ref="R21:S21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R15:S15"/>
    <mergeCell ref="R16:S16"/>
    <mergeCell ref="A1:C3"/>
    <mergeCell ref="D1:Q4"/>
    <mergeCell ref="R1:R4"/>
    <mergeCell ref="S2:S4"/>
    <mergeCell ref="A4:B4"/>
    <mergeCell ref="L5:L6"/>
    <mergeCell ref="O5:O6"/>
    <mergeCell ref="P5:S6"/>
    <mergeCell ref="E6:F6"/>
    <mergeCell ref="A5:B6"/>
    <mergeCell ref="C5:C6"/>
    <mergeCell ref="E5:F5"/>
    <mergeCell ref="G5:G6"/>
    <mergeCell ref="H5:K6"/>
  </mergeCells>
  <phoneticPr fontId="26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74"/>
  <sheetViews>
    <sheetView tabSelected="1"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S61" sqref="S61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101"/>
      <c r="B1" s="101"/>
      <c r="C1" s="101"/>
      <c r="D1" s="101"/>
      <c r="E1" s="85" t="s">
        <v>7</v>
      </c>
      <c r="F1" s="234" t="s">
        <v>68</v>
      </c>
      <c r="G1" s="234"/>
      <c r="H1" s="234"/>
      <c r="I1" s="234"/>
      <c r="J1" s="234"/>
      <c r="K1" s="237" t="str">
        <f>'1. 소켓인수검사'!R2</f>
        <v>26.06.16 웰스홈_우리이앤씨_LT삼보_LX판토스 신항에코 물류센터</v>
      </c>
      <c r="L1" s="237"/>
      <c r="M1" s="237"/>
      <c r="N1" s="237"/>
      <c r="O1" s="237"/>
      <c r="P1" s="237"/>
      <c r="Q1" s="237"/>
      <c r="R1" s="237"/>
      <c r="S1" s="237"/>
      <c r="T1" s="237"/>
      <c r="U1" s="238"/>
    </row>
    <row r="2" spans="1:21" ht="16.5" customHeight="1">
      <c r="A2" s="101"/>
      <c r="B2" s="101"/>
      <c r="C2" s="101"/>
      <c r="D2" s="101"/>
      <c r="E2" s="84"/>
      <c r="F2" s="235"/>
      <c r="G2" s="235"/>
      <c r="H2" s="235"/>
      <c r="I2" s="235"/>
      <c r="J2" s="235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40"/>
    </row>
    <row r="3" spans="1:21" ht="24" customHeight="1">
      <c r="A3" s="101"/>
      <c r="B3" s="101"/>
      <c r="C3" s="101"/>
      <c r="D3" s="101"/>
      <c r="E3" s="86"/>
      <c r="F3" s="236"/>
      <c r="G3" s="236"/>
      <c r="H3" s="236"/>
      <c r="I3" s="236"/>
      <c r="J3" s="236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2"/>
    </row>
    <row r="4" spans="1:21" ht="8.1" customHeight="1">
      <c r="A4" s="203"/>
      <c r="B4" s="204"/>
      <c r="C4" s="204"/>
      <c r="D4" s="204"/>
      <c r="E4" s="204"/>
      <c r="F4" s="204"/>
      <c r="G4" s="204"/>
      <c r="H4" s="203"/>
      <c r="I4" s="204"/>
      <c r="J4" s="204"/>
      <c r="K4" s="204"/>
      <c r="L4" s="204"/>
      <c r="M4" s="204"/>
      <c r="N4" s="204"/>
      <c r="O4" s="204"/>
      <c r="P4" s="204"/>
      <c r="Q4" s="3"/>
      <c r="S4" s="3"/>
      <c r="T4" s="3"/>
      <c r="U4" s="3"/>
    </row>
    <row r="5" spans="1:21" ht="16.5" customHeight="1">
      <c r="A5" s="150" t="s">
        <v>51</v>
      </c>
      <c r="B5" s="243" t="s">
        <v>35</v>
      </c>
      <c r="C5" s="214" t="s">
        <v>58</v>
      </c>
      <c r="D5" s="214" t="s">
        <v>56</v>
      </c>
      <c r="E5" s="214" t="s">
        <v>22</v>
      </c>
      <c r="F5" s="214" t="s">
        <v>46</v>
      </c>
      <c r="G5" s="214" t="s">
        <v>53</v>
      </c>
      <c r="H5" s="214" t="s">
        <v>38</v>
      </c>
      <c r="I5" s="214" t="s">
        <v>21</v>
      </c>
      <c r="J5" s="214"/>
      <c r="K5" s="214" t="s">
        <v>0</v>
      </c>
      <c r="L5" s="214"/>
      <c r="M5" s="214" t="s">
        <v>0</v>
      </c>
      <c r="N5" s="214"/>
      <c r="O5" s="214" t="s">
        <v>0</v>
      </c>
      <c r="P5" s="214"/>
      <c r="Q5" s="245" t="s">
        <v>45</v>
      </c>
      <c r="R5" s="245"/>
      <c r="S5" s="246" t="s">
        <v>28</v>
      </c>
      <c r="T5" s="246" t="s">
        <v>50</v>
      </c>
      <c r="U5" s="232" t="s">
        <v>16</v>
      </c>
    </row>
    <row r="6" spans="1:21" ht="26.45" customHeight="1">
      <c r="A6" s="213"/>
      <c r="B6" s="244"/>
      <c r="C6" s="215"/>
      <c r="D6" s="215"/>
      <c r="E6" s="215"/>
      <c r="F6" s="215"/>
      <c r="G6" s="215"/>
      <c r="H6" s="215"/>
      <c r="I6" s="67" t="s">
        <v>8</v>
      </c>
      <c r="J6" s="28" t="s">
        <v>49</v>
      </c>
      <c r="K6" s="67" t="s">
        <v>71</v>
      </c>
      <c r="L6" s="28" t="s">
        <v>49</v>
      </c>
      <c r="M6" s="67" t="s">
        <v>34</v>
      </c>
      <c r="N6" s="28" t="s">
        <v>49</v>
      </c>
      <c r="O6" s="67" t="s">
        <v>36</v>
      </c>
      <c r="P6" s="28" t="s">
        <v>49</v>
      </c>
      <c r="Q6" s="67" t="s">
        <v>47</v>
      </c>
      <c r="R6" s="28" t="s">
        <v>59</v>
      </c>
      <c r="S6" s="247"/>
      <c r="T6" s="247"/>
      <c r="U6" s="233"/>
    </row>
    <row r="7" spans="1:21">
      <c r="A7" s="45" t="str">
        <f>'1. 소켓인수검사'!A9</f>
        <v>01</v>
      </c>
      <c r="B7" s="74" t="s">
        <v>32</v>
      </c>
      <c r="C7" s="29">
        <f>'1. 소켓인수검사'!C9</f>
        <v>900</v>
      </c>
      <c r="D7" s="29">
        <f>'1. 소켓인수검사'!D9</f>
        <v>900</v>
      </c>
      <c r="E7" s="30"/>
      <c r="F7" s="31">
        <f t="shared" ref="F7:F66" si="0">C7*D7/1000000</f>
        <v>0.81</v>
      </c>
      <c r="G7" s="31">
        <f t="shared" ref="G7:G66" si="1">(C7+D7)*2/1000</f>
        <v>3.6</v>
      </c>
      <c r="H7" s="34">
        <v>1</v>
      </c>
      <c r="I7" s="67"/>
      <c r="J7" s="35"/>
      <c r="K7" s="23"/>
      <c r="L7" s="28"/>
      <c r="M7" s="23">
        <f>G7+0.5</f>
        <v>4.0999999999999996</v>
      </c>
      <c r="N7" s="28">
        <v>2</v>
      </c>
      <c r="O7" s="67"/>
      <c r="P7" s="35"/>
      <c r="Q7" s="32">
        <f t="shared" ref="Q7:Q47" si="2">(((C7+60)+250+(D7+60))*2/1000)*2</f>
        <v>8.68</v>
      </c>
      <c r="R7" s="88">
        <f t="shared" ref="R7:R44" si="3">Q7</f>
        <v>8.68</v>
      </c>
      <c r="S7" s="75" t="s">
        <v>40</v>
      </c>
      <c r="T7" s="36" t="s">
        <v>6</v>
      </c>
      <c r="U7" s="33">
        <f>'1. 소켓인수검사'!G9</f>
        <v>0</v>
      </c>
    </row>
    <row r="8" spans="1:21">
      <c r="A8" s="45" t="str">
        <f>'1. 소켓인수검사'!A10</f>
        <v>02</v>
      </c>
      <c r="B8" s="74" t="s">
        <v>32</v>
      </c>
      <c r="C8" s="29">
        <f>'1. 소켓인수검사'!C10</f>
        <v>900</v>
      </c>
      <c r="D8" s="29">
        <f>'1. 소켓인수검사'!D10</f>
        <v>900</v>
      </c>
      <c r="E8" s="30"/>
      <c r="F8" s="31">
        <f t="shared" si="0"/>
        <v>0.81</v>
      </c>
      <c r="G8" s="31">
        <f t="shared" si="1"/>
        <v>3.6</v>
      </c>
      <c r="H8" s="34">
        <v>1</v>
      </c>
      <c r="I8" s="67"/>
      <c r="J8" s="35"/>
      <c r="K8" s="23"/>
      <c r="L8" s="28"/>
      <c r="M8" s="23">
        <f t="shared" ref="M8:M66" si="4">G8+0.5</f>
        <v>4.0999999999999996</v>
      </c>
      <c r="N8" s="28">
        <v>2</v>
      </c>
      <c r="O8" s="67"/>
      <c r="P8" s="35"/>
      <c r="Q8" s="32">
        <f t="shared" si="2"/>
        <v>8.68</v>
      </c>
      <c r="R8" s="88">
        <f t="shared" si="3"/>
        <v>8.68</v>
      </c>
      <c r="S8" s="75" t="s">
        <v>40</v>
      </c>
      <c r="T8" s="36" t="s">
        <v>6</v>
      </c>
      <c r="U8" s="33">
        <f>'1. 소켓인수검사'!G10</f>
        <v>0</v>
      </c>
    </row>
    <row r="9" spans="1:21">
      <c r="A9" s="45" t="str">
        <f>'1. 소켓인수검사'!A11</f>
        <v>03</v>
      </c>
      <c r="B9" s="74" t="s">
        <v>32</v>
      </c>
      <c r="C9" s="29">
        <f>'1. 소켓인수검사'!C11</f>
        <v>900</v>
      </c>
      <c r="D9" s="29">
        <f>'1. 소켓인수검사'!D11</f>
        <v>900</v>
      </c>
      <c r="E9" s="30"/>
      <c r="F9" s="31">
        <f t="shared" si="0"/>
        <v>0.81</v>
      </c>
      <c r="G9" s="31">
        <f t="shared" si="1"/>
        <v>3.6</v>
      </c>
      <c r="H9" s="34">
        <v>1</v>
      </c>
      <c r="I9" s="67"/>
      <c r="J9" s="35"/>
      <c r="K9" s="23"/>
      <c r="L9" s="28"/>
      <c r="M9" s="23">
        <f t="shared" si="4"/>
        <v>4.0999999999999996</v>
      </c>
      <c r="N9" s="28">
        <v>2</v>
      </c>
      <c r="O9" s="67"/>
      <c r="P9" s="35"/>
      <c r="Q9" s="32">
        <f t="shared" si="2"/>
        <v>8.68</v>
      </c>
      <c r="R9" s="88">
        <f t="shared" si="3"/>
        <v>8.68</v>
      </c>
      <c r="S9" s="75" t="s">
        <v>40</v>
      </c>
      <c r="T9" s="36" t="s">
        <v>6</v>
      </c>
      <c r="U9" s="33">
        <f>'1. 소켓인수검사'!G11</f>
        <v>0</v>
      </c>
    </row>
    <row r="10" spans="1:21">
      <c r="A10" s="45" t="str">
        <f>'1. 소켓인수검사'!A12</f>
        <v>04</v>
      </c>
      <c r="B10" s="74" t="s">
        <v>32</v>
      </c>
      <c r="C10" s="29">
        <f>'1. 소켓인수검사'!C12</f>
        <v>900</v>
      </c>
      <c r="D10" s="29">
        <f>'1. 소켓인수검사'!D12</f>
        <v>900</v>
      </c>
      <c r="E10" s="30"/>
      <c r="F10" s="31">
        <f t="shared" si="0"/>
        <v>0.81</v>
      </c>
      <c r="G10" s="31">
        <f t="shared" si="1"/>
        <v>3.6</v>
      </c>
      <c r="H10" s="34">
        <v>1</v>
      </c>
      <c r="I10" s="67"/>
      <c r="J10" s="35"/>
      <c r="K10" s="23"/>
      <c r="L10" s="28"/>
      <c r="M10" s="23">
        <f t="shared" si="4"/>
        <v>4.0999999999999996</v>
      </c>
      <c r="N10" s="28">
        <v>2</v>
      </c>
      <c r="O10" s="67"/>
      <c r="P10" s="35"/>
      <c r="Q10" s="32">
        <f t="shared" si="2"/>
        <v>8.68</v>
      </c>
      <c r="R10" s="88">
        <f t="shared" si="3"/>
        <v>8.68</v>
      </c>
      <c r="S10" s="75" t="s">
        <v>40</v>
      </c>
      <c r="T10" s="36" t="s">
        <v>6</v>
      </c>
      <c r="U10" s="33">
        <f>'1. 소켓인수검사'!G12</f>
        <v>0</v>
      </c>
    </row>
    <row r="11" spans="1:21">
      <c r="A11" s="45" t="str">
        <f>'1. 소켓인수검사'!A13</f>
        <v>05</v>
      </c>
      <c r="B11" s="74" t="s">
        <v>32</v>
      </c>
      <c r="C11" s="29">
        <f>'1. 소켓인수검사'!C13</f>
        <v>900</v>
      </c>
      <c r="D11" s="29">
        <f>'1. 소켓인수검사'!D13</f>
        <v>900</v>
      </c>
      <c r="E11" s="30"/>
      <c r="F11" s="31">
        <f t="shared" si="0"/>
        <v>0.81</v>
      </c>
      <c r="G11" s="31">
        <f t="shared" si="1"/>
        <v>3.6</v>
      </c>
      <c r="H11" s="34">
        <v>1</v>
      </c>
      <c r="I11" s="67"/>
      <c r="J11" s="35"/>
      <c r="K11" s="23"/>
      <c r="L11" s="28"/>
      <c r="M11" s="23">
        <f t="shared" si="4"/>
        <v>4.0999999999999996</v>
      </c>
      <c r="N11" s="28">
        <v>2</v>
      </c>
      <c r="O11" s="67"/>
      <c r="P11" s="35"/>
      <c r="Q11" s="32">
        <f t="shared" si="2"/>
        <v>8.68</v>
      </c>
      <c r="R11" s="88">
        <f t="shared" si="3"/>
        <v>8.68</v>
      </c>
      <c r="S11" s="75" t="s">
        <v>40</v>
      </c>
      <c r="T11" s="36" t="s">
        <v>6</v>
      </c>
      <c r="U11" s="33">
        <f>'1. 소켓인수검사'!G13</f>
        <v>0</v>
      </c>
    </row>
    <row r="12" spans="1:21">
      <c r="A12" s="45" t="str">
        <f>'1. 소켓인수검사'!A14</f>
        <v>06</v>
      </c>
      <c r="B12" s="74" t="s">
        <v>32</v>
      </c>
      <c r="C12" s="29">
        <f>'1. 소켓인수검사'!C14</f>
        <v>900</v>
      </c>
      <c r="D12" s="29">
        <f>'1. 소켓인수검사'!D14</f>
        <v>900</v>
      </c>
      <c r="E12" s="30"/>
      <c r="F12" s="31">
        <f t="shared" si="0"/>
        <v>0.81</v>
      </c>
      <c r="G12" s="31">
        <f t="shared" si="1"/>
        <v>3.6</v>
      </c>
      <c r="H12" s="34">
        <v>1</v>
      </c>
      <c r="I12" s="67"/>
      <c r="J12" s="35"/>
      <c r="K12" s="23"/>
      <c r="L12" s="28"/>
      <c r="M12" s="23">
        <f t="shared" si="4"/>
        <v>4.0999999999999996</v>
      </c>
      <c r="N12" s="28">
        <v>2</v>
      </c>
      <c r="O12" s="67"/>
      <c r="P12" s="35"/>
      <c r="Q12" s="32">
        <f t="shared" si="2"/>
        <v>8.68</v>
      </c>
      <c r="R12" s="88">
        <f t="shared" si="3"/>
        <v>8.68</v>
      </c>
      <c r="S12" s="75" t="s">
        <v>40</v>
      </c>
      <c r="T12" s="36" t="s">
        <v>6</v>
      </c>
      <c r="U12" s="33">
        <f>'1. 소켓인수검사'!G14</f>
        <v>0</v>
      </c>
    </row>
    <row r="13" spans="1:21">
      <c r="A13" s="45" t="str">
        <f>'1. 소켓인수검사'!A15</f>
        <v>07</v>
      </c>
      <c r="B13" s="74" t="s">
        <v>32</v>
      </c>
      <c r="C13" s="29">
        <f>'1. 소켓인수검사'!C15</f>
        <v>900</v>
      </c>
      <c r="D13" s="29">
        <f>'1. 소켓인수검사'!D15</f>
        <v>900</v>
      </c>
      <c r="E13" s="30"/>
      <c r="F13" s="31">
        <f t="shared" si="0"/>
        <v>0.81</v>
      </c>
      <c r="G13" s="31">
        <f t="shared" si="1"/>
        <v>3.6</v>
      </c>
      <c r="H13" s="34">
        <v>1</v>
      </c>
      <c r="I13" s="67"/>
      <c r="J13" s="35"/>
      <c r="K13" s="23"/>
      <c r="L13" s="28"/>
      <c r="M13" s="23">
        <f t="shared" si="4"/>
        <v>4.0999999999999996</v>
      </c>
      <c r="N13" s="28">
        <v>2</v>
      </c>
      <c r="O13" s="67"/>
      <c r="P13" s="35"/>
      <c r="Q13" s="32">
        <f t="shared" si="2"/>
        <v>8.68</v>
      </c>
      <c r="R13" s="88">
        <f t="shared" si="3"/>
        <v>8.68</v>
      </c>
      <c r="S13" s="75" t="s">
        <v>40</v>
      </c>
      <c r="T13" s="36" t="s">
        <v>6</v>
      </c>
      <c r="U13" s="33">
        <f>'1. 소켓인수검사'!G15</f>
        <v>0</v>
      </c>
    </row>
    <row r="14" spans="1:21">
      <c r="A14" s="45" t="str">
        <f>'1. 소켓인수검사'!A16</f>
        <v>08</v>
      </c>
      <c r="B14" s="74" t="s">
        <v>32</v>
      </c>
      <c r="C14" s="29">
        <f>'1. 소켓인수검사'!C16</f>
        <v>900</v>
      </c>
      <c r="D14" s="29">
        <f>'1. 소켓인수검사'!D16</f>
        <v>900</v>
      </c>
      <c r="E14" s="30"/>
      <c r="F14" s="31">
        <f t="shared" si="0"/>
        <v>0.81</v>
      </c>
      <c r="G14" s="31">
        <f t="shared" si="1"/>
        <v>3.6</v>
      </c>
      <c r="H14" s="34">
        <v>1</v>
      </c>
      <c r="I14" s="67"/>
      <c r="J14" s="35"/>
      <c r="K14" s="23"/>
      <c r="L14" s="28"/>
      <c r="M14" s="23">
        <f t="shared" si="4"/>
        <v>4.0999999999999996</v>
      </c>
      <c r="N14" s="28">
        <v>2</v>
      </c>
      <c r="O14" s="67"/>
      <c r="P14" s="35"/>
      <c r="Q14" s="32">
        <f t="shared" si="2"/>
        <v>8.68</v>
      </c>
      <c r="R14" s="88">
        <f t="shared" si="3"/>
        <v>8.68</v>
      </c>
      <c r="S14" s="75" t="s">
        <v>40</v>
      </c>
      <c r="T14" s="36" t="s">
        <v>6</v>
      </c>
      <c r="U14" s="33">
        <f>'1. 소켓인수검사'!G16</f>
        <v>0</v>
      </c>
    </row>
    <row r="15" spans="1:21">
      <c r="A15" s="45" t="str">
        <f>'1. 소켓인수검사'!A17</f>
        <v>09</v>
      </c>
      <c r="B15" s="74" t="s">
        <v>32</v>
      </c>
      <c r="C15" s="29">
        <f>'1. 소켓인수검사'!C17</f>
        <v>900</v>
      </c>
      <c r="D15" s="29">
        <f>'1. 소켓인수검사'!D17</f>
        <v>900</v>
      </c>
      <c r="E15" s="30"/>
      <c r="F15" s="31">
        <f t="shared" si="0"/>
        <v>0.81</v>
      </c>
      <c r="G15" s="31">
        <f t="shared" si="1"/>
        <v>3.6</v>
      </c>
      <c r="H15" s="34">
        <v>1</v>
      </c>
      <c r="I15" s="67"/>
      <c r="J15" s="35"/>
      <c r="K15" s="23"/>
      <c r="L15" s="28"/>
      <c r="M15" s="23">
        <f t="shared" si="4"/>
        <v>4.0999999999999996</v>
      </c>
      <c r="N15" s="28">
        <v>2</v>
      </c>
      <c r="O15" s="67"/>
      <c r="P15" s="35"/>
      <c r="Q15" s="32">
        <f t="shared" si="2"/>
        <v>8.68</v>
      </c>
      <c r="R15" s="88">
        <f t="shared" si="3"/>
        <v>8.68</v>
      </c>
      <c r="S15" s="75" t="s">
        <v>40</v>
      </c>
      <c r="T15" s="36" t="s">
        <v>6</v>
      </c>
      <c r="U15" s="33">
        <f>'1. 소켓인수검사'!G17</f>
        <v>0</v>
      </c>
    </row>
    <row r="16" spans="1:21">
      <c r="A16" s="45" t="str">
        <f>'1. 소켓인수검사'!A18</f>
        <v>10</v>
      </c>
      <c r="B16" s="74" t="s">
        <v>32</v>
      </c>
      <c r="C16" s="29">
        <f>'1. 소켓인수검사'!C18</f>
        <v>900</v>
      </c>
      <c r="D16" s="29">
        <f>'1. 소켓인수검사'!D18</f>
        <v>900</v>
      </c>
      <c r="E16" s="30"/>
      <c r="F16" s="31">
        <f t="shared" si="0"/>
        <v>0.81</v>
      </c>
      <c r="G16" s="31">
        <f t="shared" si="1"/>
        <v>3.6</v>
      </c>
      <c r="H16" s="34">
        <v>1</v>
      </c>
      <c r="I16" s="67"/>
      <c r="J16" s="35"/>
      <c r="K16" s="23"/>
      <c r="L16" s="28"/>
      <c r="M16" s="23">
        <f t="shared" si="4"/>
        <v>4.0999999999999996</v>
      </c>
      <c r="N16" s="28">
        <v>2</v>
      </c>
      <c r="O16" s="67"/>
      <c r="P16" s="35"/>
      <c r="Q16" s="32">
        <f t="shared" si="2"/>
        <v>8.68</v>
      </c>
      <c r="R16" s="88">
        <f t="shared" si="3"/>
        <v>8.68</v>
      </c>
      <c r="S16" s="75" t="s">
        <v>40</v>
      </c>
      <c r="T16" s="36" t="s">
        <v>6</v>
      </c>
      <c r="U16" s="33">
        <f>'1. 소켓인수검사'!G18</f>
        <v>0</v>
      </c>
    </row>
    <row r="17" spans="1:21">
      <c r="A17" s="45" t="str">
        <f>'1. 소켓인수검사'!A19</f>
        <v>11</v>
      </c>
      <c r="B17" s="74" t="s">
        <v>32</v>
      </c>
      <c r="C17" s="29">
        <f>'1. 소켓인수검사'!C19</f>
        <v>900</v>
      </c>
      <c r="D17" s="29">
        <f>'1. 소켓인수검사'!D19</f>
        <v>900</v>
      </c>
      <c r="E17" s="30"/>
      <c r="F17" s="31">
        <f t="shared" si="0"/>
        <v>0.81</v>
      </c>
      <c r="G17" s="31">
        <f t="shared" si="1"/>
        <v>3.6</v>
      </c>
      <c r="H17" s="34">
        <v>1</v>
      </c>
      <c r="I17" s="67"/>
      <c r="J17" s="35"/>
      <c r="K17" s="23"/>
      <c r="L17" s="28"/>
      <c r="M17" s="23">
        <f t="shared" si="4"/>
        <v>4.0999999999999996</v>
      </c>
      <c r="N17" s="28">
        <v>2</v>
      </c>
      <c r="O17" s="67"/>
      <c r="P17" s="35"/>
      <c r="Q17" s="32">
        <f t="shared" si="2"/>
        <v>8.68</v>
      </c>
      <c r="R17" s="88">
        <f t="shared" si="3"/>
        <v>8.68</v>
      </c>
      <c r="S17" s="75" t="s">
        <v>40</v>
      </c>
      <c r="T17" s="36" t="s">
        <v>6</v>
      </c>
      <c r="U17" s="33">
        <f>'1. 소켓인수검사'!G19</f>
        <v>0</v>
      </c>
    </row>
    <row r="18" spans="1:21">
      <c r="A18" s="45" t="str">
        <f>'1. 소켓인수검사'!A20</f>
        <v>12</v>
      </c>
      <c r="B18" s="74" t="s">
        <v>32</v>
      </c>
      <c r="C18" s="29">
        <f>'1. 소켓인수검사'!C20</f>
        <v>900</v>
      </c>
      <c r="D18" s="29">
        <f>'1. 소켓인수검사'!D20</f>
        <v>900</v>
      </c>
      <c r="E18" s="30"/>
      <c r="F18" s="31">
        <f t="shared" si="0"/>
        <v>0.81</v>
      </c>
      <c r="G18" s="31">
        <f t="shared" si="1"/>
        <v>3.6</v>
      </c>
      <c r="H18" s="34">
        <v>1</v>
      </c>
      <c r="I18" s="67"/>
      <c r="J18" s="35"/>
      <c r="K18" s="23"/>
      <c r="L18" s="28"/>
      <c r="M18" s="23">
        <f t="shared" si="4"/>
        <v>4.0999999999999996</v>
      </c>
      <c r="N18" s="28">
        <v>2</v>
      </c>
      <c r="O18" s="67"/>
      <c r="P18" s="35"/>
      <c r="Q18" s="32">
        <f t="shared" si="2"/>
        <v>8.68</v>
      </c>
      <c r="R18" s="88">
        <f t="shared" si="3"/>
        <v>8.68</v>
      </c>
      <c r="S18" s="75" t="s">
        <v>40</v>
      </c>
      <c r="T18" s="36" t="s">
        <v>6</v>
      </c>
      <c r="U18" s="33">
        <f>'1. 소켓인수검사'!G20</f>
        <v>0</v>
      </c>
    </row>
    <row r="19" spans="1:21">
      <c r="A19" s="45" t="str">
        <f>'1. 소켓인수검사'!A21</f>
        <v>13</v>
      </c>
      <c r="B19" s="74" t="s">
        <v>32</v>
      </c>
      <c r="C19" s="29">
        <f>'1. 소켓인수검사'!C21</f>
        <v>900</v>
      </c>
      <c r="D19" s="29">
        <f>'1. 소켓인수검사'!D21</f>
        <v>900</v>
      </c>
      <c r="E19" s="30"/>
      <c r="F19" s="31">
        <f t="shared" si="0"/>
        <v>0.81</v>
      </c>
      <c r="G19" s="31">
        <f t="shared" si="1"/>
        <v>3.6</v>
      </c>
      <c r="H19" s="34">
        <v>1</v>
      </c>
      <c r="I19" s="67"/>
      <c r="J19" s="35"/>
      <c r="K19" s="23"/>
      <c r="L19" s="28"/>
      <c r="M19" s="23">
        <f t="shared" si="4"/>
        <v>4.0999999999999996</v>
      </c>
      <c r="N19" s="28">
        <v>2</v>
      </c>
      <c r="O19" s="67"/>
      <c r="P19" s="35"/>
      <c r="Q19" s="32">
        <f t="shared" si="2"/>
        <v>8.68</v>
      </c>
      <c r="R19" s="88">
        <f t="shared" si="3"/>
        <v>8.68</v>
      </c>
      <c r="S19" s="75" t="s">
        <v>40</v>
      </c>
      <c r="T19" s="36" t="s">
        <v>6</v>
      </c>
      <c r="U19" s="33">
        <f>'1. 소켓인수검사'!G21</f>
        <v>0</v>
      </c>
    </row>
    <row r="20" spans="1:21">
      <c r="A20" s="45" t="str">
        <f>'1. 소켓인수검사'!A22</f>
        <v>14</v>
      </c>
      <c r="B20" s="74" t="s">
        <v>32</v>
      </c>
      <c r="C20" s="29">
        <f>'1. 소켓인수검사'!C22</f>
        <v>900</v>
      </c>
      <c r="D20" s="29">
        <f>'1. 소켓인수검사'!D22</f>
        <v>900</v>
      </c>
      <c r="E20" s="30"/>
      <c r="F20" s="31">
        <f t="shared" si="0"/>
        <v>0.81</v>
      </c>
      <c r="G20" s="31">
        <f t="shared" si="1"/>
        <v>3.6</v>
      </c>
      <c r="H20" s="34">
        <v>1</v>
      </c>
      <c r="I20" s="67"/>
      <c r="J20" s="35"/>
      <c r="K20" s="23"/>
      <c r="L20" s="28"/>
      <c r="M20" s="23">
        <f t="shared" si="4"/>
        <v>4.0999999999999996</v>
      </c>
      <c r="N20" s="28">
        <v>2</v>
      </c>
      <c r="O20" s="67"/>
      <c r="P20" s="35"/>
      <c r="Q20" s="32">
        <f t="shared" si="2"/>
        <v>8.68</v>
      </c>
      <c r="R20" s="88">
        <f t="shared" si="3"/>
        <v>8.68</v>
      </c>
      <c r="S20" s="75" t="s">
        <v>40</v>
      </c>
      <c r="T20" s="36" t="s">
        <v>6</v>
      </c>
      <c r="U20" s="33">
        <f>'1. 소켓인수검사'!G22</f>
        <v>0</v>
      </c>
    </row>
    <row r="21" spans="1:21">
      <c r="A21" s="45" t="str">
        <f>'1. 소켓인수검사'!A23</f>
        <v>15</v>
      </c>
      <c r="B21" s="74" t="s">
        <v>32</v>
      </c>
      <c r="C21" s="29">
        <f>'1. 소켓인수검사'!C23</f>
        <v>900</v>
      </c>
      <c r="D21" s="29">
        <f>'1. 소켓인수검사'!D23</f>
        <v>900</v>
      </c>
      <c r="E21" s="30"/>
      <c r="F21" s="31">
        <f t="shared" si="0"/>
        <v>0.81</v>
      </c>
      <c r="G21" s="31">
        <f t="shared" si="1"/>
        <v>3.6</v>
      </c>
      <c r="H21" s="34">
        <v>1</v>
      </c>
      <c r="I21" s="67"/>
      <c r="J21" s="35"/>
      <c r="K21" s="23"/>
      <c r="L21" s="28"/>
      <c r="M21" s="23">
        <f t="shared" si="4"/>
        <v>4.0999999999999996</v>
      </c>
      <c r="N21" s="28">
        <v>2</v>
      </c>
      <c r="O21" s="67"/>
      <c r="P21" s="35"/>
      <c r="Q21" s="32">
        <f t="shared" si="2"/>
        <v>8.68</v>
      </c>
      <c r="R21" s="88">
        <f t="shared" si="3"/>
        <v>8.68</v>
      </c>
      <c r="S21" s="75" t="s">
        <v>40</v>
      </c>
      <c r="T21" s="36" t="s">
        <v>6</v>
      </c>
      <c r="U21" s="33">
        <f>'1. 소켓인수검사'!G23</f>
        <v>0</v>
      </c>
    </row>
    <row r="22" spans="1:21">
      <c r="A22" s="45" t="str">
        <f>'1. 소켓인수검사'!A24</f>
        <v>16</v>
      </c>
      <c r="B22" s="74" t="s">
        <v>32</v>
      </c>
      <c r="C22" s="29">
        <f>'1. 소켓인수검사'!C24</f>
        <v>900</v>
      </c>
      <c r="D22" s="29">
        <f>'1. 소켓인수검사'!D24</f>
        <v>900</v>
      </c>
      <c r="E22" s="30"/>
      <c r="F22" s="31">
        <f t="shared" si="0"/>
        <v>0.81</v>
      </c>
      <c r="G22" s="31">
        <f t="shared" si="1"/>
        <v>3.6</v>
      </c>
      <c r="H22" s="34">
        <v>1</v>
      </c>
      <c r="I22" s="67"/>
      <c r="J22" s="35"/>
      <c r="K22" s="23"/>
      <c r="L22" s="28"/>
      <c r="M22" s="23">
        <f t="shared" si="4"/>
        <v>4.0999999999999996</v>
      </c>
      <c r="N22" s="28">
        <v>2</v>
      </c>
      <c r="O22" s="67"/>
      <c r="P22" s="35"/>
      <c r="Q22" s="32">
        <f t="shared" si="2"/>
        <v>8.68</v>
      </c>
      <c r="R22" s="88">
        <f t="shared" si="3"/>
        <v>8.68</v>
      </c>
      <c r="S22" s="75" t="s">
        <v>40</v>
      </c>
      <c r="T22" s="36" t="s">
        <v>6</v>
      </c>
      <c r="U22" s="33">
        <f>'1. 소켓인수검사'!G24</f>
        <v>0</v>
      </c>
    </row>
    <row r="23" spans="1:21">
      <c r="A23" s="45" t="str">
        <f>'1. 소켓인수검사'!A25</f>
        <v>17</v>
      </c>
      <c r="B23" s="74" t="s">
        <v>32</v>
      </c>
      <c r="C23" s="29">
        <f>'1. 소켓인수검사'!C25</f>
        <v>900</v>
      </c>
      <c r="D23" s="29">
        <f>'1. 소켓인수검사'!D25</f>
        <v>900</v>
      </c>
      <c r="E23" s="30"/>
      <c r="F23" s="31">
        <f t="shared" si="0"/>
        <v>0.81</v>
      </c>
      <c r="G23" s="31">
        <f t="shared" si="1"/>
        <v>3.6</v>
      </c>
      <c r="H23" s="34">
        <v>1</v>
      </c>
      <c r="I23" s="67"/>
      <c r="J23" s="35"/>
      <c r="K23" s="23"/>
      <c r="L23" s="28"/>
      <c r="M23" s="23">
        <f t="shared" si="4"/>
        <v>4.0999999999999996</v>
      </c>
      <c r="N23" s="28">
        <v>2</v>
      </c>
      <c r="O23" s="67"/>
      <c r="P23" s="35"/>
      <c r="Q23" s="32">
        <f t="shared" si="2"/>
        <v>8.68</v>
      </c>
      <c r="R23" s="88">
        <f t="shared" si="3"/>
        <v>8.68</v>
      </c>
      <c r="S23" s="75" t="s">
        <v>40</v>
      </c>
      <c r="T23" s="36" t="s">
        <v>6</v>
      </c>
      <c r="U23" s="33">
        <f>'1. 소켓인수검사'!G25</f>
        <v>0</v>
      </c>
    </row>
    <row r="24" spans="1:21">
      <c r="A24" s="45" t="str">
        <f>'1. 소켓인수검사'!A26</f>
        <v>18</v>
      </c>
      <c r="B24" s="74" t="s">
        <v>32</v>
      </c>
      <c r="C24" s="29">
        <f>'1. 소켓인수검사'!C26</f>
        <v>900</v>
      </c>
      <c r="D24" s="29">
        <f>'1. 소켓인수검사'!D26</f>
        <v>900</v>
      </c>
      <c r="E24" s="30"/>
      <c r="F24" s="31">
        <f t="shared" si="0"/>
        <v>0.81</v>
      </c>
      <c r="G24" s="31">
        <f t="shared" si="1"/>
        <v>3.6</v>
      </c>
      <c r="H24" s="34">
        <v>1</v>
      </c>
      <c r="I24" s="67"/>
      <c r="J24" s="35"/>
      <c r="K24" s="23"/>
      <c r="L24" s="28"/>
      <c r="M24" s="23">
        <f t="shared" si="4"/>
        <v>4.0999999999999996</v>
      </c>
      <c r="N24" s="28">
        <v>2</v>
      </c>
      <c r="O24" s="67"/>
      <c r="P24" s="35"/>
      <c r="Q24" s="32">
        <f t="shared" si="2"/>
        <v>8.68</v>
      </c>
      <c r="R24" s="88">
        <f t="shared" si="3"/>
        <v>8.68</v>
      </c>
      <c r="S24" s="75" t="s">
        <v>40</v>
      </c>
      <c r="T24" s="36" t="s">
        <v>6</v>
      </c>
      <c r="U24" s="33">
        <f>'1. 소켓인수검사'!G26</f>
        <v>0</v>
      </c>
    </row>
    <row r="25" spans="1:21">
      <c r="A25" s="45" t="str">
        <f>'1. 소켓인수검사'!A27</f>
        <v>19</v>
      </c>
      <c r="B25" s="74" t="s">
        <v>32</v>
      </c>
      <c r="C25" s="29">
        <f>'1. 소켓인수검사'!C27</f>
        <v>900</v>
      </c>
      <c r="D25" s="29">
        <f>'1. 소켓인수검사'!D27</f>
        <v>900</v>
      </c>
      <c r="E25" s="30"/>
      <c r="F25" s="31">
        <f t="shared" si="0"/>
        <v>0.81</v>
      </c>
      <c r="G25" s="31">
        <f t="shared" si="1"/>
        <v>3.6</v>
      </c>
      <c r="H25" s="34">
        <v>1</v>
      </c>
      <c r="I25" s="67"/>
      <c r="J25" s="35"/>
      <c r="K25" s="23"/>
      <c r="L25" s="28"/>
      <c r="M25" s="23">
        <f t="shared" si="4"/>
        <v>4.0999999999999996</v>
      </c>
      <c r="N25" s="28">
        <v>2</v>
      </c>
      <c r="O25" s="67"/>
      <c r="P25" s="35"/>
      <c r="Q25" s="32">
        <f t="shared" si="2"/>
        <v>8.68</v>
      </c>
      <c r="R25" s="88">
        <f t="shared" si="3"/>
        <v>8.68</v>
      </c>
      <c r="S25" s="75" t="s">
        <v>40</v>
      </c>
      <c r="T25" s="36" t="s">
        <v>6</v>
      </c>
      <c r="U25" s="33">
        <f>'1. 소켓인수검사'!G27</f>
        <v>0</v>
      </c>
    </row>
    <row r="26" spans="1:21">
      <c r="A26" s="45" t="str">
        <f>'1. 소켓인수검사'!A28</f>
        <v>20</v>
      </c>
      <c r="B26" s="74" t="s">
        <v>32</v>
      </c>
      <c r="C26" s="29">
        <f>'1. 소켓인수검사'!C28</f>
        <v>900</v>
      </c>
      <c r="D26" s="29">
        <f>'1. 소켓인수검사'!D28</f>
        <v>900</v>
      </c>
      <c r="E26" s="30"/>
      <c r="F26" s="31">
        <f t="shared" si="0"/>
        <v>0.81</v>
      </c>
      <c r="G26" s="31">
        <f t="shared" si="1"/>
        <v>3.6</v>
      </c>
      <c r="H26" s="34">
        <v>1</v>
      </c>
      <c r="I26" s="67"/>
      <c r="J26" s="35"/>
      <c r="K26" s="23"/>
      <c r="L26" s="28"/>
      <c r="M26" s="23">
        <f t="shared" si="4"/>
        <v>4.0999999999999996</v>
      </c>
      <c r="N26" s="28">
        <v>2</v>
      </c>
      <c r="O26" s="67"/>
      <c r="P26" s="35"/>
      <c r="Q26" s="32">
        <f t="shared" si="2"/>
        <v>8.68</v>
      </c>
      <c r="R26" s="88">
        <f t="shared" si="3"/>
        <v>8.68</v>
      </c>
      <c r="S26" s="75" t="s">
        <v>40</v>
      </c>
      <c r="T26" s="36" t="s">
        <v>6</v>
      </c>
      <c r="U26" s="33">
        <f>'1. 소켓인수검사'!G28</f>
        <v>0</v>
      </c>
    </row>
    <row r="27" spans="1:21">
      <c r="A27" s="45" t="str">
        <f>'1. 소켓인수검사'!A29</f>
        <v>21</v>
      </c>
      <c r="B27" s="74" t="s">
        <v>32</v>
      </c>
      <c r="C27" s="29">
        <f>'1. 소켓인수검사'!C29</f>
        <v>900</v>
      </c>
      <c r="D27" s="29">
        <f>'1. 소켓인수검사'!D29</f>
        <v>900</v>
      </c>
      <c r="E27" s="30"/>
      <c r="F27" s="31">
        <f t="shared" si="0"/>
        <v>0.81</v>
      </c>
      <c r="G27" s="31">
        <f t="shared" si="1"/>
        <v>3.6</v>
      </c>
      <c r="H27" s="34">
        <v>1</v>
      </c>
      <c r="I27" s="67"/>
      <c r="J27" s="35"/>
      <c r="K27" s="23"/>
      <c r="L27" s="28"/>
      <c r="M27" s="23">
        <f t="shared" si="4"/>
        <v>4.0999999999999996</v>
      </c>
      <c r="N27" s="28">
        <v>2</v>
      </c>
      <c r="O27" s="67"/>
      <c r="P27" s="35"/>
      <c r="Q27" s="32">
        <f t="shared" si="2"/>
        <v>8.68</v>
      </c>
      <c r="R27" s="88">
        <f t="shared" si="3"/>
        <v>8.68</v>
      </c>
      <c r="S27" s="75" t="s">
        <v>40</v>
      </c>
      <c r="T27" s="36" t="s">
        <v>6</v>
      </c>
      <c r="U27" s="33">
        <f>'1. 소켓인수검사'!G29</f>
        <v>0</v>
      </c>
    </row>
    <row r="28" spans="1:21">
      <c r="A28" s="45" t="str">
        <f>'1. 소켓인수검사'!A30</f>
        <v>22</v>
      </c>
      <c r="B28" s="74" t="s">
        <v>32</v>
      </c>
      <c r="C28" s="29">
        <f>'1. 소켓인수검사'!C30</f>
        <v>900</v>
      </c>
      <c r="D28" s="29">
        <f>'1. 소켓인수검사'!D30</f>
        <v>900</v>
      </c>
      <c r="E28" s="30"/>
      <c r="F28" s="31">
        <f t="shared" si="0"/>
        <v>0.81</v>
      </c>
      <c r="G28" s="31">
        <f t="shared" si="1"/>
        <v>3.6</v>
      </c>
      <c r="H28" s="34">
        <v>1</v>
      </c>
      <c r="I28" s="67"/>
      <c r="J28" s="35"/>
      <c r="K28" s="23"/>
      <c r="L28" s="28"/>
      <c r="M28" s="23">
        <f t="shared" si="4"/>
        <v>4.0999999999999996</v>
      </c>
      <c r="N28" s="28">
        <v>2</v>
      </c>
      <c r="O28" s="67"/>
      <c r="P28" s="35"/>
      <c r="Q28" s="32">
        <f t="shared" si="2"/>
        <v>8.68</v>
      </c>
      <c r="R28" s="88">
        <f t="shared" si="3"/>
        <v>8.68</v>
      </c>
      <c r="S28" s="75" t="s">
        <v>40</v>
      </c>
      <c r="T28" s="36" t="s">
        <v>6</v>
      </c>
      <c r="U28" s="33">
        <f>'1. 소켓인수검사'!G30</f>
        <v>0</v>
      </c>
    </row>
    <row r="29" spans="1:21">
      <c r="A29" s="45" t="str">
        <f>'1. 소켓인수검사'!A31</f>
        <v>23</v>
      </c>
      <c r="B29" s="74" t="s">
        <v>32</v>
      </c>
      <c r="C29" s="29">
        <f>'1. 소켓인수검사'!C31</f>
        <v>900</v>
      </c>
      <c r="D29" s="29">
        <f>'1. 소켓인수검사'!D31</f>
        <v>900</v>
      </c>
      <c r="E29" s="30"/>
      <c r="F29" s="31">
        <f t="shared" si="0"/>
        <v>0.81</v>
      </c>
      <c r="G29" s="31">
        <f t="shared" si="1"/>
        <v>3.6</v>
      </c>
      <c r="H29" s="34">
        <v>1</v>
      </c>
      <c r="I29" s="67"/>
      <c r="J29" s="35"/>
      <c r="K29" s="23"/>
      <c r="L29" s="28"/>
      <c r="M29" s="23">
        <f t="shared" si="4"/>
        <v>4.0999999999999996</v>
      </c>
      <c r="N29" s="28">
        <v>2</v>
      </c>
      <c r="O29" s="67"/>
      <c r="P29" s="35"/>
      <c r="Q29" s="32">
        <f t="shared" si="2"/>
        <v>8.68</v>
      </c>
      <c r="R29" s="88">
        <f t="shared" si="3"/>
        <v>8.68</v>
      </c>
      <c r="S29" s="75" t="s">
        <v>40</v>
      </c>
      <c r="T29" s="36" t="s">
        <v>6</v>
      </c>
      <c r="U29" s="33">
        <f>'1. 소켓인수검사'!G31</f>
        <v>0</v>
      </c>
    </row>
    <row r="30" spans="1:21">
      <c r="A30" s="45" t="str">
        <f>'1. 소켓인수검사'!A32</f>
        <v>24</v>
      </c>
      <c r="B30" s="74" t="s">
        <v>32</v>
      </c>
      <c r="C30" s="29">
        <f>'1. 소켓인수검사'!C32</f>
        <v>900</v>
      </c>
      <c r="D30" s="29">
        <f>'1. 소켓인수검사'!D32</f>
        <v>900</v>
      </c>
      <c r="E30" s="30"/>
      <c r="F30" s="31">
        <f t="shared" si="0"/>
        <v>0.81</v>
      </c>
      <c r="G30" s="31">
        <f t="shared" si="1"/>
        <v>3.6</v>
      </c>
      <c r="H30" s="34">
        <v>1</v>
      </c>
      <c r="I30" s="67"/>
      <c r="J30" s="35"/>
      <c r="K30" s="23"/>
      <c r="L30" s="28"/>
      <c r="M30" s="23">
        <f t="shared" si="4"/>
        <v>4.0999999999999996</v>
      </c>
      <c r="N30" s="28">
        <v>2</v>
      </c>
      <c r="O30" s="67"/>
      <c r="P30" s="35"/>
      <c r="Q30" s="32">
        <f t="shared" si="2"/>
        <v>8.68</v>
      </c>
      <c r="R30" s="88">
        <f t="shared" si="3"/>
        <v>8.68</v>
      </c>
      <c r="S30" s="75" t="s">
        <v>40</v>
      </c>
      <c r="T30" s="36" t="s">
        <v>6</v>
      </c>
      <c r="U30" s="33">
        <f>'1. 소켓인수검사'!G32</f>
        <v>0</v>
      </c>
    </row>
    <row r="31" spans="1:21">
      <c r="A31" s="45" t="str">
        <f>'1. 소켓인수검사'!A33</f>
        <v>25</v>
      </c>
      <c r="B31" s="74" t="s">
        <v>32</v>
      </c>
      <c r="C31" s="29">
        <f>'1. 소켓인수검사'!C33</f>
        <v>900</v>
      </c>
      <c r="D31" s="29">
        <f>'1. 소켓인수검사'!D33</f>
        <v>900</v>
      </c>
      <c r="E31" s="30"/>
      <c r="F31" s="31">
        <f t="shared" si="0"/>
        <v>0.81</v>
      </c>
      <c r="G31" s="31">
        <f t="shared" si="1"/>
        <v>3.6</v>
      </c>
      <c r="H31" s="34">
        <v>1</v>
      </c>
      <c r="I31" s="67"/>
      <c r="J31" s="35"/>
      <c r="K31" s="23"/>
      <c r="L31" s="28"/>
      <c r="M31" s="23">
        <f t="shared" si="4"/>
        <v>4.0999999999999996</v>
      </c>
      <c r="N31" s="28">
        <v>2</v>
      </c>
      <c r="O31" s="67"/>
      <c r="P31" s="35"/>
      <c r="Q31" s="32">
        <f t="shared" si="2"/>
        <v>8.68</v>
      </c>
      <c r="R31" s="88">
        <f t="shared" si="3"/>
        <v>8.68</v>
      </c>
      <c r="S31" s="75" t="s">
        <v>40</v>
      </c>
      <c r="T31" s="36" t="s">
        <v>6</v>
      </c>
      <c r="U31" s="33">
        <f>'1. 소켓인수검사'!G33</f>
        <v>0</v>
      </c>
    </row>
    <row r="32" spans="1:21">
      <c r="A32" s="45" t="str">
        <f>'1. 소켓인수검사'!A34</f>
        <v>26</v>
      </c>
      <c r="B32" s="74" t="s">
        <v>32</v>
      </c>
      <c r="C32" s="29">
        <f>'1. 소켓인수검사'!C34</f>
        <v>900</v>
      </c>
      <c r="D32" s="29">
        <f>'1. 소켓인수검사'!D34</f>
        <v>900</v>
      </c>
      <c r="E32" s="30"/>
      <c r="F32" s="31">
        <f t="shared" si="0"/>
        <v>0.81</v>
      </c>
      <c r="G32" s="31">
        <f t="shared" si="1"/>
        <v>3.6</v>
      </c>
      <c r="H32" s="34">
        <v>1</v>
      </c>
      <c r="I32" s="67"/>
      <c r="J32" s="35"/>
      <c r="K32" s="23"/>
      <c r="L32" s="28"/>
      <c r="M32" s="23">
        <f t="shared" si="4"/>
        <v>4.0999999999999996</v>
      </c>
      <c r="N32" s="28">
        <v>2</v>
      </c>
      <c r="O32" s="67"/>
      <c r="P32" s="35"/>
      <c r="Q32" s="32">
        <f t="shared" si="2"/>
        <v>8.68</v>
      </c>
      <c r="R32" s="88">
        <f t="shared" si="3"/>
        <v>8.68</v>
      </c>
      <c r="S32" s="75" t="s">
        <v>40</v>
      </c>
      <c r="T32" s="36" t="s">
        <v>6</v>
      </c>
      <c r="U32" s="33">
        <f>'1. 소켓인수검사'!G34</f>
        <v>0</v>
      </c>
    </row>
    <row r="33" spans="1:21">
      <c r="A33" s="45" t="str">
        <f>'1. 소켓인수검사'!A35</f>
        <v>27</v>
      </c>
      <c r="B33" s="74" t="s">
        <v>32</v>
      </c>
      <c r="C33" s="29">
        <f>'1. 소켓인수검사'!C35</f>
        <v>900</v>
      </c>
      <c r="D33" s="29">
        <f>'1. 소켓인수검사'!D35</f>
        <v>900</v>
      </c>
      <c r="E33" s="30"/>
      <c r="F33" s="31">
        <f t="shared" si="0"/>
        <v>0.81</v>
      </c>
      <c r="G33" s="31">
        <f t="shared" si="1"/>
        <v>3.6</v>
      </c>
      <c r="H33" s="34">
        <v>1</v>
      </c>
      <c r="I33" s="67"/>
      <c r="J33" s="35"/>
      <c r="K33" s="23"/>
      <c r="L33" s="28"/>
      <c r="M33" s="23">
        <f t="shared" si="4"/>
        <v>4.0999999999999996</v>
      </c>
      <c r="N33" s="28">
        <v>2</v>
      </c>
      <c r="O33" s="67"/>
      <c r="P33" s="35"/>
      <c r="Q33" s="32">
        <f t="shared" si="2"/>
        <v>8.68</v>
      </c>
      <c r="R33" s="88">
        <f t="shared" si="3"/>
        <v>8.68</v>
      </c>
      <c r="S33" s="75" t="s">
        <v>40</v>
      </c>
      <c r="T33" s="36" t="s">
        <v>6</v>
      </c>
      <c r="U33" s="33">
        <f>'1. 소켓인수검사'!G35</f>
        <v>0</v>
      </c>
    </row>
    <row r="34" spans="1:21">
      <c r="A34" s="45" t="str">
        <f>'1. 소켓인수검사'!A36</f>
        <v>28</v>
      </c>
      <c r="B34" s="74" t="s">
        <v>32</v>
      </c>
      <c r="C34" s="29">
        <f>'1. 소켓인수검사'!C36</f>
        <v>900</v>
      </c>
      <c r="D34" s="29">
        <f>'1. 소켓인수검사'!D36</f>
        <v>900</v>
      </c>
      <c r="E34" s="30"/>
      <c r="F34" s="31">
        <f t="shared" si="0"/>
        <v>0.81</v>
      </c>
      <c r="G34" s="31">
        <f t="shared" si="1"/>
        <v>3.6</v>
      </c>
      <c r="H34" s="34">
        <v>1</v>
      </c>
      <c r="I34" s="67"/>
      <c r="J34" s="35"/>
      <c r="K34" s="23"/>
      <c r="L34" s="28"/>
      <c r="M34" s="23">
        <f t="shared" si="4"/>
        <v>4.0999999999999996</v>
      </c>
      <c r="N34" s="28">
        <v>2</v>
      </c>
      <c r="O34" s="67"/>
      <c r="P34" s="35"/>
      <c r="Q34" s="32">
        <f t="shared" si="2"/>
        <v>8.68</v>
      </c>
      <c r="R34" s="88">
        <f t="shared" si="3"/>
        <v>8.68</v>
      </c>
      <c r="S34" s="75" t="s">
        <v>40</v>
      </c>
      <c r="T34" s="36" t="s">
        <v>6</v>
      </c>
      <c r="U34" s="33">
        <f>'1. 소켓인수검사'!G36</f>
        <v>0</v>
      </c>
    </row>
    <row r="35" spans="1:21">
      <c r="A35" s="45" t="str">
        <f>'1. 소켓인수검사'!A37</f>
        <v>29</v>
      </c>
      <c r="B35" s="74" t="s">
        <v>32</v>
      </c>
      <c r="C35" s="29">
        <f>'1. 소켓인수검사'!C37</f>
        <v>900</v>
      </c>
      <c r="D35" s="29">
        <f>'1. 소켓인수검사'!D37</f>
        <v>900</v>
      </c>
      <c r="E35" s="30"/>
      <c r="F35" s="31">
        <f t="shared" si="0"/>
        <v>0.81</v>
      </c>
      <c r="G35" s="31">
        <f t="shared" si="1"/>
        <v>3.6</v>
      </c>
      <c r="H35" s="34">
        <v>1</v>
      </c>
      <c r="I35" s="67"/>
      <c r="J35" s="35"/>
      <c r="K35" s="23"/>
      <c r="L35" s="28"/>
      <c r="M35" s="23">
        <f t="shared" si="4"/>
        <v>4.0999999999999996</v>
      </c>
      <c r="N35" s="28">
        <v>2</v>
      </c>
      <c r="O35" s="67"/>
      <c r="P35" s="35"/>
      <c r="Q35" s="32">
        <f t="shared" si="2"/>
        <v>8.68</v>
      </c>
      <c r="R35" s="88">
        <f t="shared" si="3"/>
        <v>8.68</v>
      </c>
      <c r="S35" s="75" t="s">
        <v>40</v>
      </c>
      <c r="T35" s="36" t="s">
        <v>6</v>
      </c>
      <c r="U35" s="33">
        <f>'1. 소켓인수검사'!G37</f>
        <v>0</v>
      </c>
    </row>
    <row r="36" spans="1:21">
      <c r="A36" s="45" t="str">
        <f>'1. 소켓인수검사'!A38</f>
        <v>30</v>
      </c>
      <c r="B36" s="74" t="s">
        <v>32</v>
      </c>
      <c r="C36" s="29">
        <f>'1. 소켓인수검사'!C38</f>
        <v>900</v>
      </c>
      <c r="D36" s="29">
        <f>'1. 소켓인수검사'!D38</f>
        <v>900</v>
      </c>
      <c r="E36" s="30"/>
      <c r="F36" s="31">
        <f t="shared" si="0"/>
        <v>0.81</v>
      </c>
      <c r="G36" s="31">
        <f t="shared" si="1"/>
        <v>3.6</v>
      </c>
      <c r="H36" s="34">
        <v>1</v>
      </c>
      <c r="I36" s="67"/>
      <c r="J36" s="35"/>
      <c r="K36" s="23"/>
      <c r="L36" s="28"/>
      <c r="M36" s="23">
        <f t="shared" si="4"/>
        <v>4.0999999999999996</v>
      </c>
      <c r="N36" s="28">
        <v>2</v>
      </c>
      <c r="O36" s="67"/>
      <c r="P36" s="35"/>
      <c r="Q36" s="32">
        <f t="shared" si="2"/>
        <v>8.68</v>
      </c>
      <c r="R36" s="88">
        <f t="shared" si="3"/>
        <v>8.68</v>
      </c>
      <c r="S36" s="75" t="s">
        <v>40</v>
      </c>
      <c r="T36" s="36" t="s">
        <v>6</v>
      </c>
      <c r="U36" s="33">
        <f>'1. 소켓인수검사'!G38</f>
        <v>0</v>
      </c>
    </row>
    <row r="37" spans="1:21">
      <c r="A37" s="45" t="str">
        <f>'1. 소켓인수검사'!A39</f>
        <v>31</v>
      </c>
      <c r="B37" s="74" t="s">
        <v>32</v>
      </c>
      <c r="C37" s="29">
        <f>'1. 소켓인수검사'!C39</f>
        <v>900</v>
      </c>
      <c r="D37" s="29">
        <f>'1. 소켓인수검사'!D39</f>
        <v>900</v>
      </c>
      <c r="E37" s="30"/>
      <c r="F37" s="31">
        <f t="shared" si="0"/>
        <v>0.81</v>
      </c>
      <c r="G37" s="31">
        <f t="shared" si="1"/>
        <v>3.6</v>
      </c>
      <c r="H37" s="34">
        <v>1</v>
      </c>
      <c r="I37" s="67"/>
      <c r="J37" s="35"/>
      <c r="K37" s="23"/>
      <c r="L37" s="28"/>
      <c r="M37" s="23">
        <f t="shared" si="4"/>
        <v>4.0999999999999996</v>
      </c>
      <c r="N37" s="28">
        <v>2</v>
      </c>
      <c r="O37" s="67"/>
      <c r="P37" s="35"/>
      <c r="Q37" s="32">
        <f t="shared" si="2"/>
        <v>8.68</v>
      </c>
      <c r="R37" s="88">
        <f t="shared" si="3"/>
        <v>8.68</v>
      </c>
      <c r="S37" s="75" t="s">
        <v>40</v>
      </c>
      <c r="T37" s="36" t="s">
        <v>6</v>
      </c>
      <c r="U37" s="33">
        <f>'1. 소켓인수검사'!G39</f>
        <v>0</v>
      </c>
    </row>
    <row r="38" spans="1:21">
      <c r="A38" s="45" t="str">
        <f>'1. 소켓인수검사'!A40</f>
        <v>32</v>
      </c>
      <c r="B38" s="74" t="s">
        <v>32</v>
      </c>
      <c r="C38" s="29">
        <f>'1. 소켓인수검사'!C40</f>
        <v>900</v>
      </c>
      <c r="D38" s="29">
        <f>'1. 소켓인수검사'!D40</f>
        <v>900</v>
      </c>
      <c r="E38" s="30"/>
      <c r="F38" s="31">
        <f t="shared" si="0"/>
        <v>0.81</v>
      </c>
      <c r="G38" s="31">
        <f t="shared" si="1"/>
        <v>3.6</v>
      </c>
      <c r="H38" s="34">
        <v>1</v>
      </c>
      <c r="I38" s="67"/>
      <c r="J38" s="35"/>
      <c r="K38" s="23"/>
      <c r="L38" s="28"/>
      <c r="M38" s="23">
        <f t="shared" si="4"/>
        <v>4.0999999999999996</v>
      </c>
      <c r="N38" s="28">
        <v>2</v>
      </c>
      <c r="O38" s="67"/>
      <c r="P38" s="35"/>
      <c r="Q38" s="32">
        <f t="shared" si="2"/>
        <v>8.68</v>
      </c>
      <c r="R38" s="88">
        <f t="shared" si="3"/>
        <v>8.68</v>
      </c>
      <c r="S38" s="75" t="s">
        <v>40</v>
      </c>
      <c r="T38" s="36" t="s">
        <v>6</v>
      </c>
      <c r="U38" s="33">
        <f>'1. 소켓인수검사'!G40</f>
        <v>0</v>
      </c>
    </row>
    <row r="39" spans="1:21">
      <c r="A39" s="45" t="str">
        <f>'1. 소켓인수검사'!A41</f>
        <v>33</v>
      </c>
      <c r="B39" s="74" t="s">
        <v>32</v>
      </c>
      <c r="C39" s="29">
        <f>'1. 소켓인수검사'!C41</f>
        <v>900</v>
      </c>
      <c r="D39" s="29">
        <f>'1. 소켓인수검사'!D41</f>
        <v>900</v>
      </c>
      <c r="E39" s="30"/>
      <c r="F39" s="31">
        <f t="shared" si="0"/>
        <v>0.81</v>
      </c>
      <c r="G39" s="31">
        <f t="shared" si="1"/>
        <v>3.6</v>
      </c>
      <c r="H39" s="34">
        <v>1</v>
      </c>
      <c r="I39" s="67"/>
      <c r="J39" s="35"/>
      <c r="K39" s="23"/>
      <c r="L39" s="28"/>
      <c r="M39" s="23">
        <f t="shared" si="4"/>
        <v>4.0999999999999996</v>
      </c>
      <c r="N39" s="28">
        <v>2</v>
      </c>
      <c r="O39" s="67"/>
      <c r="P39" s="35"/>
      <c r="Q39" s="32">
        <f t="shared" si="2"/>
        <v>8.68</v>
      </c>
      <c r="R39" s="88">
        <f t="shared" si="3"/>
        <v>8.68</v>
      </c>
      <c r="S39" s="75" t="s">
        <v>40</v>
      </c>
      <c r="T39" s="36" t="s">
        <v>6</v>
      </c>
      <c r="U39" s="33">
        <f>'1. 소켓인수검사'!G41</f>
        <v>0</v>
      </c>
    </row>
    <row r="40" spans="1:21">
      <c r="A40" s="45" t="str">
        <f>'1. 소켓인수검사'!A42</f>
        <v>34</v>
      </c>
      <c r="B40" s="74" t="s">
        <v>32</v>
      </c>
      <c r="C40" s="29">
        <f>'1. 소켓인수검사'!C42</f>
        <v>900</v>
      </c>
      <c r="D40" s="29">
        <f>'1. 소켓인수검사'!D42</f>
        <v>900</v>
      </c>
      <c r="E40" s="30"/>
      <c r="F40" s="31">
        <f t="shared" si="0"/>
        <v>0.81</v>
      </c>
      <c r="G40" s="31">
        <f t="shared" si="1"/>
        <v>3.6</v>
      </c>
      <c r="H40" s="34">
        <v>1</v>
      </c>
      <c r="I40" s="67"/>
      <c r="J40" s="35"/>
      <c r="K40" s="23"/>
      <c r="L40" s="28"/>
      <c r="M40" s="23">
        <f t="shared" si="4"/>
        <v>4.0999999999999996</v>
      </c>
      <c r="N40" s="28">
        <v>2</v>
      </c>
      <c r="O40" s="67"/>
      <c r="P40" s="35"/>
      <c r="Q40" s="32">
        <f t="shared" si="2"/>
        <v>8.68</v>
      </c>
      <c r="R40" s="88">
        <f t="shared" si="3"/>
        <v>8.68</v>
      </c>
      <c r="S40" s="75" t="s">
        <v>40</v>
      </c>
      <c r="T40" s="36" t="s">
        <v>6</v>
      </c>
      <c r="U40" s="33">
        <f>'1. 소켓인수검사'!G42</f>
        <v>0</v>
      </c>
    </row>
    <row r="41" spans="1:21">
      <c r="A41" s="45" t="str">
        <f>'1. 소켓인수검사'!A43</f>
        <v>35</v>
      </c>
      <c r="B41" s="74" t="s">
        <v>32</v>
      </c>
      <c r="C41" s="29">
        <f>'1. 소켓인수검사'!C43</f>
        <v>900</v>
      </c>
      <c r="D41" s="29">
        <f>'1. 소켓인수검사'!D43</f>
        <v>900</v>
      </c>
      <c r="E41" s="30"/>
      <c r="F41" s="31">
        <f t="shared" si="0"/>
        <v>0.81</v>
      </c>
      <c r="G41" s="31">
        <f t="shared" si="1"/>
        <v>3.6</v>
      </c>
      <c r="H41" s="34">
        <v>1</v>
      </c>
      <c r="I41" s="67"/>
      <c r="J41" s="35"/>
      <c r="K41" s="23"/>
      <c r="L41" s="28"/>
      <c r="M41" s="23">
        <f t="shared" si="4"/>
        <v>4.0999999999999996</v>
      </c>
      <c r="N41" s="28">
        <v>2</v>
      </c>
      <c r="O41" s="67"/>
      <c r="P41" s="35"/>
      <c r="Q41" s="32">
        <f t="shared" si="2"/>
        <v>8.68</v>
      </c>
      <c r="R41" s="88">
        <f t="shared" si="3"/>
        <v>8.68</v>
      </c>
      <c r="S41" s="75" t="s">
        <v>40</v>
      </c>
      <c r="T41" s="36" t="s">
        <v>6</v>
      </c>
      <c r="U41" s="33">
        <f>'1. 소켓인수검사'!G43</f>
        <v>0</v>
      </c>
    </row>
    <row r="42" spans="1:21">
      <c r="A42" s="45" t="str">
        <f>'1. 소켓인수검사'!A44</f>
        <v>36</v>
      </c>
      <c r="B42" s="74" t="s">
        <v>32</v>
      </c>
      <c r="C42" s="29">
        <f>'1. 소켓인수검사'!C44</f>
        <v>900</v>
      </c>
      <c r="D42" s="29">
        <f>'1. 소켓인수검사'!D44</f>
        <v>900</v>
      </c>
      <c r="E42" s="30"/>
      <c r="F42" s="31">
        <f t="shared" si="0"/>
        <v>0.81</v>
      </c>
      <c r="G42" s="31">
        <f t="shared" si="1"/>
        <v>3.6</v>
      </c>
      <c r="H42" s="34">
        <v>1</v>
      </c>
      <c r="I42" s="67"/>
      <c r="J42" s="35"/>
      <c r="K42" s="23"/>
      <c r="L42" s="28"/>
      <c r="M42" s="23">
        <f t="shared" si="4"/>
        <v>4.0999999999999996</v>
      </c>
      <c r="N42" s="28">
        <v>2</v>
      </c>
      <c r="O42" s="67"/>
      <c r="P42" s="35"/>
      <c r="Q42" s="32">
        <f t="shared" si="2"/>
        <v>8.68</v>
      </c>
      <c r="R42" s="88">
        <f t="shared" si="3"/>
        <v>8.68</v>
      </c>
      <c r="S42" s="75" t="s">
        <v>40</v>
      </c>
      <c r="T42" s="36" t="s">
        <v>6</v>
      </c>
      <c r="U42" s="33">
        <f>'1. 소켓인수검사'!G44</f>
        <v>0</v>
      </c>
    </row>
    <row r="43" spans="1:21">
      <c r="A43" s="45" t="str">
        <f>'1. 소켓인수검사'!A45</f>
        <v>37</v>
      </c>
      <c r="B43" s="74" t="s">
        <v>32</v>
      </c>
      <c r="C43" s="29">
        <f>'1. 소켓인수검사'!C45</f>
        <v>900</v>
      </c>
      <c r="D43" s="29">
        <f>'1. 소켓인수검사'!D45</f>
        <v>900</v>
      </c>
      <c r="E43" s="30"/>
      <c r="F43" s="31">
        <f t="shared" si="0"/>
        <v>0.81</v>
      </c>
      <c r="G43" s="31">
        <f t="shared" si="1"/>
        <v>3.6</v>
      </c>
      <c r="H43" s="34">
        <v>1</v>
      </c>
      <c r="I43" s="67"/>
      <c r="J43" s="35"/>
      <c r="K43" s="23"/>
      <c r="L43" s="28"/>
      <c r="M43" s="23">
        <f t="shared" si="4"/>
        <v>4.0999999999999996</v>
      </c>
      <c r="N43" s="28">
        <v>2</v>
      </c>
      <c r="O43" s="67"/>
      <c r="P43" s="35"/>
      <c r="Q43" s="32">
        <f t="shared" si="2"/>
        <v>8.68</v>
      </c>
      <c r="R43" s="88">
        <f t="shared" si="3"/>
        <v>8.68</v>
      </c>
      <c r="S43" s="75" t="s">
        <v>40</v>
      </c>
      <c r="T43" s="36" t="s">
        <v>6</v>
      </c>
      <c r="U43" s="33">
        <f>'1. 소켓인수검사'!G45</f>
        <v>0</v>
      </c>
    </row>
    <row r="44" spans="1:21">
      <c r="A44" s="45" t="str">
        <f>'1. 소켓인수검사'!A46</f>
        <v>38</v>
      </c>
      <c r="B44" s="74" t="s">
        <v>32</v>
      </c>
      <c r="C44" s="29">
        <f>'1. 소켓인수검사'!C46</f>
        <v>900</v>
      </c>
      <c r="D44" s="29">
        <f>'1. 소켓인수검사'!D46</f>
        <v>900</v>
      </c>
      <c r="E44" s="30"/>
      <c r="F44" s="31">
        <f t="shared" si="0"/>
        <v>0.81</v>
      </c>
      <c r="G44" s="31">
        <f t="shared" si="1"/>
        <v>3.6</v>
      </c>
      <c r="H44" s="34">
        <v>1</v>
      </c>
      <c r="I44" s="67"/>
      <c r="J44" s="35"/>
      <c r="K44" s="23"/>
      <c r="L44" s="28"/>
      <c r="M44" s="23">
        <f t="shared" si="4"/>
        <v>4.0999999999999996</v>
      </c>
      <c r="N44" s="28">
        <v>2</v>
      </c>
      <c r="O44" s="67"/>
      <c r="P44" s="35"/>
      <c r="Q44" s="32">
        <f t="shared" si="2"/>
        <v>8.68</v>
      </c>
      <c r="R44" s="88">
        <f t="shared" si="3"/>
        <v>8.68</v>
      </c>
      <c r="S44" s="75" t="s">
        <v>40</v>
      </c>
      <c r="T44" s="36" t="s">
        <v>6</v>
      </c>
      <c r="U44" s="33">
        <f>'1. 소켓인수검사'!G46</f>
        <v>0</v>
      </c>
    </row>
    <row r="45" spans="1:21">
      <c r="A45" s="45" t="str">
        <f>'1. 소켓인수검사'!A47</f>
        <v>39</v>
      </c>
      <c r="B45" s="74" t="s">
        <v>32</v>
      </c>
      <c r="C45" s="29">
        <f>'1. 소켓인수검사'!C47</f>
        <v>900</v>
      </c>
      <c r="D45" s="29">
        <f>'1. 소켓인수검사'!D47</f>
        <v>900</v>
      </c>
      <c r="E45" s="30"/>
      <c r="F45" s="31">
        <f t="shared" si="0"/>
        <v>0.81</v>
      </c>
      <c r="G45" s="31">
        <f t="shared" si="1"/>
        <v>3.6</v>
      </c>
      <c r="H45" s="34">
        <v>1</v>
      </c>
      <c r="I45" s="67"/>
      <c r="J45" s="35"/>
      <c r="K45" s="23"/>
      <c r="L45" s="28"/>
      <c r="M45" s="23">
        <f t="shared" si="4"/>
        <v>4.0999999999999996</v>
      </c>
      <c r="N45" s="28">
        <v>2</v>
      </c>
      <c r="O45" s="67"/>
      <c r="P45" s="35"/>
      <c r="Q45" s="32">
        <f t="shared" si="2"/>
        <v>8.68</v>
      </c>
      <c r="R45" s="88">
        <f t="shared" ref="R45:R66" si="5">Q45</f>
        <v>8.68</v>
      </c>
      <c r="S45" s="75" t="s">
        <v>40</v>
      </c>
      <c r="T45" s="36" t="s">
        <v>6</v>
      </c>
      <c r="U45" s="33">
        <f>'1. 소켓인수검사'!G47</f>
        <v>0</v>
      </c>
    </row>
    <row r="46" spans="1:21">
      <c r="A46" s="45" t="str">
        <f>'1. 소켓인수검사'!A48</f>
        <v>40</v>
      </c>
      <c r="B46" s="74" t="s">
        <v>32</v>
      </c>
      <c r="C46" s="29">
        <f>'1. 소켓인수검사'!C48</f>
        <v>900</v>
      </c>
      <c r="D46" s="29">
        <f>'1. 소켓인수검사'!D48</f>
        <v>900</v>
      </c>
      <c r="E46" s="30"/>
      <c r="F46" s="31">
        <f t="shared" si="0"/>
        <v>0.81</v>
      </c>
      <c r="G46" s="31">
        <f t="shared" si="1"/>
        <v>3.6</v>
      </c>
      <c r="H46" s="34">
        <v>1</v>
      </c>
      <c r="I46" s="67"/>
      <c r="J46" s="35"/>
      <c r="K46" s="23"/>
      <c r="L46" s="28"/>
      <c r="M46" s="23">
        <f t="shared" si="4"/>
        <v>4.0999999999999996</v>
      </c>
      <c r="N46" s="28">
        <v>2</v>
      </c>
      <c r="O46" s="67"/>
      <c r="P46" s="35"/>
      <c r="Q46" s="32">
        <f t="shared" si="2"/>
        <v>8.68</v>
      </c>
      <c r="R46" s="88">
        <f t="shared" si="5"/>
        <v>8.68</v>
      </c>
      <c r="S46" s="75" t="s">
        <v>40</v>
      </c>
      <c r="T46" s="36" t="s">
        <v>6</v>
      </c>
      <c r="U46" s="33">
        <f>'1. 소켓인수검사'!G48</f>
        <v>0</v>
      </c>
    </row>
    <row r="47" spans="1:21">
      <c r="A47" s="45" t="str">
        <f>'1. 소켓인수검사'!A49</f>
        <v>41</v>
      </c>
      <c r="B47" s="74" t="s">
        <v>32</v>
      </c>
      <c r="C47" s="29">
        <f>'1. 소켓인수검사'!C49</f>
        <v>900</v>
      </c>
      <c r="D47" s="29">
        <f>'1. 소켓인수검사'!D49</f>
        <v>900</v>
      </c>
      <c r="E47" s="30"/>
      <c r="F47" s="31">
        <f t="shared" si="0"/>
        <v>0.81</v>
      </c>
      <c r="G47" s="31">
        <f t="shared" si="1"/>
        <v>3.6</v>
      </c>
      <c r="H47" s="34">
        <v>1</v>
      </c>
      <c r="I47" s="67"/>
      <c r="J47" s="35"/>
      <c r="K47" s="23"/>
      <c r="L47" s="28"/>
      <c r="M47" s="23">
        <f t="shared" si="4"/>
        <v>4.0999999999999996</v>
      </c>
      <c r="N47" s="28">
        <v>2</v>
      </c>
      <c r="O47" s="67"/>
      <c r="P47" s="35"/>
      <c r="Q47" s="32">
        <f t="shared" si="2"/>
        <v>8.68</v>
      </c>
      <c r="R47" s="88">
        <f t="shared" si="5"/>
        <v>8.68</v>
      </c>
      <c r="S47" s="75" t="s">
        <v>40</v>
      </c>
      <c r="T47" s="36" t="s">
        <v>6</v>
      </c>
      <c r="U47" s="33">
        <f>'1. 소켓인수검사'!G49</f>
        <v>0</v>
      </c>
    </row>
    <row r="48" spans="1:21">
      <c r="A48" s="45" t="str">
        <f>'1. 소켓인수검사'!A50</f>
        <v>42</v>
      </c>
      <c r="B48" s="74" t="s">
        <v>32</v>
      </c>
      <c r="C48" s="29">
        <f>'1. 소켓인수검사'!C50</f>
        <v>900</v>
      </c>
      <c r="D48" s="29">
        <f>'1. 소켓인수검사'!D50</f>
        <v>900</v>
      </c>
      <c r="E48" s="30"/>
      <c r="F48" s="31">
        <f t="shared" si="0"/>
        <v>0.81</v>
      </c>
      <c r="G48" s="31">
        <f t="shared" si="1"/>
        <v>3.6</v>
      </c>
      <c r="H48" s="34">
        <v>1</v>
      </c>
      <c r="I48" s="67"/>
      <c r="J48" s="35"/>
      <c r="K48" s="23"/>
      <c r="L48" s="28"/>
      <c r="M48" s="23">
        <f t="shared" si="4"/>
        <v>4.0999999999999996</v>
      </c>
      <c r="N48" s="28">
        <v>2</v>
      </c>
      <c r="O48" s="67"/>
      <c r="P48" s="35"/>
      <c r="Q48" s="32">
        <f t="shared" ref="Q48:Q66" si="6">(((C48+60)+250+(D48+60))*2/1000)*2</f>
        <v>8.68</v>
      </c>
      <c r="R48" s="88">
        <f t="shared" si="5"/>
        <v>8.68</v>
      </c>
      <c r="S48" s="75" t="s">
        <v>40</v>
      </c>
      <c r="T48" s="36" t="s">
        <v>6</v>
      </c>
      <c r="U48" s="33">
        <f>'1. 소켓인수검사'!G50</f>
        <v>0</v>
      </c>
    </row>
    <row r="49" spans="1:21">
      <c r="A49" s="45" t="str">
        <f>'1. 소켓인수검사'!A51</f>
        <v>43</v>
      </c>
      <c r="B49" s="74" t="s">
        <v>32</v>
      </c>
      <c r="C49" s="29">
        <f>'1. 소켓인수검사'!C51</f>
        <v>900</v>
      </c>
      <c r="D49" s="29">
        <f>'1. 소켓인수검사'!D51</f>
        <v>900</v>
      </c>
      <c r="E49" s="30"/>
      <c r="F49" s="31">
        <f t="shared" si="0"/>
        <v>0.81</v>
      </c>
      <c r="G49" s="31">
        <f t="shared" si="1"/>
        <v>3.6</v>
      </c>
      <c r="H49" s="34">
        <v>1</v>
      </c>
      <c r="I49" s="67"/>
      <c r="J49" s="35"/>
      <c r="K49" s="23"/>
      <c r="L49" s="28"/>
      <c r="M49" s="23">
        <f t="shared" si="4"/>
        <v>4.0999999999999996</v>
      </c>
      <c r="N49" s="28">
        <v>2</v>
      </c>
      <c r="O49" s="67"/>
      <c r="P49" s="35"/>
      <c r="Q49" s="32">
        <f t="shared" si="6"/>
        <v>8.68</v>
      </c>
      <c r="R49" s="88">
        <f t="shared" si="5"/>
        <v>8.68</v>
      </c>
      <c r="S49" s="75" t="s">
        <v>40</v>
      </c>
      <c r="T49" s="36" t="s">
        <v>6</v>
      </c>
      <c r="U49" s="33">
        <f>'1. 소켓인수검사'!G51</f>
        <v>0</v>
      </c>
    </row>
    <row r="50" spans="1:21">
      <c r="A50" s="45" t="str">
        <f>'1. 소켓인수검사'!A52</f>
        <v>44</v>
      </c>
      <c r="B50" s="74" t="s">
        <v>32</v>
      </c>
      <c r="C50" s="29">
        <f>'1. 소켓인수검사'!C52</f>
        <v>900</v>
      </c>
      <c r="D50" s="29">
        <f>'1. 소켓인수검사'!D52</f>
        <v>900</v>
      </c>
      <c r="E50" s="30"/>
      <c r="F50" s="31">
        <f t="shared" si="0"/>
        <v>0.81</v>
      </c>
      <c r="G50" s="31">
        <f t="shared" si="1"/>
        <v>3.6</v>
      </c>
      <c r="H50" s="34">
        <v>1</v>
      </c>
      <c r="I50" s="67"/>
      <c r="J50" s="35"/>
      <c r="K50" s="23"/>
      <c r="L50" s="28"/>
      <c r="M50" s="23">
        <f t="shared" si="4"/>
        <v>4.0999999999999996</v>
      </c>
      <c r="N50" s="28">
        <v>2</v>
      </c>
      <c r="O50" s="67"/>
      <c r="P50" s="35"/>
      <c r="Q50" s="32">
        <f t="shared" si="6"/>
        <v>8.68</v>
      </c>
      <c r="R50" s="88">
        <f t="shared" si="5"/>
        <v>8.68</v>
      </c>
      <c r="S50" s="75" t="s">
        <v>40</v>
      </c>
      <c r="T50" s="36" t="s">
        <v>6</v>
      </c>
      <c r="U50" s="33">
        <f>'1. 소켓인수검사'!G52</f>
        <v>0</v>
      </c>
    </row>
    <row r="51" spans="1:21">
      <c r="A51" s="45" t="str">
        <f>'1. 소켓인수검사'!A53</f>
        <v>45</v>
      </c>
      <c r="B51" s="74" t="s">
        <v>32</v>
      </c>
      <c r="C51" s="29">
        <f>'1. 소켓인수검사'!C53</f>
        <v>900</v>
      </c>
      <c r="D51" s="29">
        <f>'1. 소켓인수검사'!D53</f>
        <v>900</v>
      </c>
      <c r="E51" s="30"/>
      <c r="F51" s="31">
        <f t="shared" si="0"/>
        <v>0.81</v>
      </c>
      <c r="G51" s="31">
        <f t="shared" si="1"/>
        <v>3.6</v>
      </c>
      <c r="H51" s="34">
        <v>1</v>
      </c>
      <c r="I51" s="67"/>
      <c r="J51" s="35"/>
      <c r="K51" s="23"/>
      <c r="L51" s="28"/>
      <c r="M51" s="23">
        <f t="shared" si="4"/>
        <v>4.0999999999999996</v>
      </c>
      <c r="N51" s="28">
        <v>2</v>
      </c>
      <c r="O51" s="67"/>
      <c r="P51" s="35"/>
      <c r="Q51" s="32">
        <f t="shared" si="6"/>
        <v>8.68</v>
      </c>
      <c r="R51" s="88">
        <f t="shared" si="5"/>
        <v>8.68</v>
      </c>
      <c r="S51" s="75" t="s">
        <v>40</v>
      </c>
      <c r="T51" s="36" t="s">
        <v>6</v>
      </c>
      <c r="U51" s="33">
        <f>'1. 소켓인수검사'!G53</f>
        <v>0</v>
      </c>
    </row>
    <row r="52" spans="1:21">
      <c r="A52" s="45" t="str">
        <f>'1. 소켓인수검사'!A54</f>
        <v>46</v>
      </c>
      <c r="B52" s="74" t="s">
        <v>32</v>
      </c>
      <c r="C52" s="29">
        <f>'1. 소켓인수검사'!C54</f>
        <v>900</v>
      </c>
      <c r="D52" s="29">
        <f>'1. 소켓인수검사'!D54</f>
        <v>900</v>
      </c>
      <c r="E52" s="30"/>
      <c r="F52" s="31">
        <f t="shared" si="0"/>
        <v>0.81</v>
      </c>
      <c r="G52" s="31">
        <f t="shared" si="1"/>
        <v>3.6</v>
      </c>
      <c r="H52" s="34">
        <v>1</v>
      </c>
      <c r="I52" s="67"/>
      <c r="J52" s="35"/>
      <c r="K52" s="23"/>
      <c r="L52" s="28"/>
      <c r="M52" s="23">
        <f t="shared" si="4"/>
        <v>4.0999999999999996</v>
      </c>
      <c r="N52" s="28">
        <v>2</v>
      </c>
      <c r="O52" s="67"/>
      <c r="P52" s="35"/>
      <c r="Q52" s="32">
        <f t="shared" si="6"/>
        <v>8.68</v>
      </c>
      <c r="R52" s="88">
        <f t="shared" si="5"/>
        <v>8.68</v>
      </c>
      <c r="S52" s="75" t="s">
        <v>40</v>
      </c>
      <c r="T52" s="36" t="s">
        <v>6</v>
      </c>
      <c r="U52" s="33">
        <f>'1. 소켓인수검사'!G54</f>
        <v>0</v>
      </c>
    </row>
    <row r="53" spans="1:21">
      <c r="A53" s="45" t="str">
        <f>'1. 소켓인수검사'!A55</f>
        <v>47</v>
      </c>
      <c r="B53" s="74" t="s">
        <v>32</v>
      </c>
      <c r="C53" s="29">
        <f>'1. 소켓인수검사'!C55</f>
        <v>900</v>
      </c>
      <c r="D53" s="29">
        <f>'1. 소켓인수검사'!D55</f>
        <v>900</v>
      </c>
      <c r="E53" s="30"/>
      <c r="F53" s="31">
        <f t="shared" si="0"/>
        <v>0.81</v>
      </c>
      <c r="G53" s="31">
        <f t="shared" si="1"/>
        <v>3.6</v>
      </c>
      <c r="H53" s="34">
        <v>1</v>
      </c>
      <c r="I53" s="67"/>
      <c r="J53" s="35"/>
      <c r="K53" s="23"/>
      <c r="L53" s="28"/>
      <c r="M53" s="23">
        <f t="shared" si="4"/>
        <v>4.0999999999999996</v>
      </c>
      <c r="N53" s="28">
        <v>2</v>
      </c>
      <c r="O53" s="67"/>
      <c r="P53" s="35"/>
      <c r="Q53" s="32">
        <f t="shared" si="6"/>
        <v>8.68</v>
      </c>
      <c r="R53" s="88">
        <f t="shared" si="5"/>
        <v>8.68</v>
      </c>
      <c r="S53" s="75" t="s">
        <v>40</v>
      </c>
      <c r="T53" s="36" t="s">
        <v>6</v>
      </c>
      <c r="U53" s="33">
        <f>'1. 소켓인수검사'!G55</f>
        <v>0</v>
      </c>
    </row>
    <row r="54" spans="1:21">
      <c r="A54" s="45" t="str">
        <f>'1. 소켓인수검사'!A56</f>
        <v>48</v>
      </c>
      <c r="B54" s="74" t="s">
        <v>32</v>
      </c>
      <c r="C54" s="29">
        <f>'1. 소켓인수검사'!C56</f>
        <v>900</v>
      </c>
      <c r="D54" s="29">
        <f>'1. 소켓인수검사'!D56</f>
        <v>900</v>
      </c>
      <c r="E54" s="30"/>
      <c r="F54" s="31">
        <f t="shared" si="0"/>
        <v>0.81</v>
      </c>
      <c r="G54" s="31">
        <f t="shared" si="1"/>
        <v>3.6</v>
      </c>
      <c r="H54" s="34">
        <v>1</v>
      </c>
      <c r="I54" s="67"/>
      <c r="J54" s="35"/>
      <c r="K54" s="23"/>
      <c r="L54" s="28"/>
      <c r="M54" s="23">
        <f t="shared" si="4"/>
        <v>4.0999999999999996</v>
      </c>
      <c r="N54" s="28">
        <v>2</v>
      </c>
      <c r="O54" s="67"/>
      <c r="P54" s="35"/>
      <c r="Q54" s="32">
        <f t="shared" si="6"/>
        <v>8.68</v>
      </c>
      <c r="R54" s="88">
        <f t="shared" si="5"/>
        <v>8.68</v>
      </c>
      <c r="S54" s="75" t="s">
        <v>40</v>
      </c>
      <c r="T54" s="36" t="s">
        <v>6</v>
      </c>
      <c r="U54" s="33">
        <f>'1. 소켓인수검사'!G56</f>
        <v>0</v>
      </c>
    </row>
    <row r="55" spans="1:21">
      <c r="A55" s="45" t="str">
        <f>'1. 소켓인수검사'!A57</f>
        <v>49</v>
      </c>
      <c r="B55" s="74" t="s">
        <v>32</v>
      </c>
      <c r="C55" s="29">
        <f>'1. 소켓인수검사'!C57</f>
        <v>900</v>
      </c>
      <c r="D55" s="29">
        <f>'1. 소켓인수검사'!D57</f>
        <v>900</v>
      </c>
      <c r="E55" s="30"/>
      <c r="F55" s="31">
        <f t="shared" si="0"/>
        <v>0.81</v>
      </c>
      <c r="G55" s="31">
        <f t="shared" si="1"/>
        <v>3.6</v>
      </c>
      <c r="H55" s="34">
        <v>1</v>
      </c>
      <c r="I55" s="67"/>
      <c r="J55" s="35"/>
      <c r="K55" s="23"/>
      <c r="L55" s="28"/>
      <c r="M55" s="23">
        <f t="shared" si="4"/>
        <v>4.0999999999999996</v>
      </c>
      <c r="N55" s="28">
        <v>2</v>
      </c>
      <c r="O55" s="67"/>
      <c r="P55" s="35"/>
      <c r="Q55" s="32">
        <f t="shared" si="6"/>
        <v>8.68</v>
      </c>
      <c r="R55" s="88">
        <f t="shared" si="5"/>
        <v>8.68</v>
      </c>
      <c r="S55" s="75" t="s">
        <v>40</v>
      </c>
      <c r="T55" s="36" t="s">
        <v>6</v>
      </c>
      <c r="U55" s="33">
        <f>'1. 소켓인수검사'!G57</f>
        <v>0</v>
      </c>
    </row>
    <row r="56" spans="1:21">
      <c r="A56" s="45" t="str">
        <f>'1. 소켓인수검사'!A58</f>
        <v>50</v>
      </c>
      <c r="B56" s="74" t="s">
        <v>32</v>
      </c>
      <c r="C56" s="29">
        <f>'1. 소켓인수검사'!C58</f>
        <v>900</v>
      </c>
      <c r="D56" s="29">
        <f>'1. 소켓인수검사'!D58</f>
        <v>900</v>
      </c>
      <c r="E56" s="30"/>
      <c r="F56" s="31">
        <f t="shared" si="0"/>
        <v>0.81</v>
      </c>
      <c r="G56" s="31">
        <f t="shared" si="1"/>
        <v>3.6</v>
      </c>
      <c r="H56" s="34">
        <v>1</v>
      </c>
      <c r="I56" s="67"/>
      <c r="J56" s="35"/>
      <c r="K56" s="23"/>
      <c r="L56" s="28"/>
      <c r="M56" s="23">
        <f t="shared" si="4"/>
        <v>4.0999999999999996</v>
      </c>
      <c r="N56" s="28">
        <v>2</v>
      </c>
      <c r="O56" s="67"/>
      <c r="P56" s="35"/>
      <c r="Q56" s="32">
        <f t="shared" si="6"/>
        <v>8.68</v>
      </c>
      <c r="R56" s="88">
        <f t="shared" si="5"/>
        <v>8.68</v>
      </c>
      <c r="S56" s="75" t="s">
        <v>40</v>
      </c>
      <c r="T56" s="36" t="s">
        <v>6</v>
      </c>
      <c r="U56" s="33">
        <f>'1. 소켓인수검사'!G58</f>
        <v>0</v>
      </c>
    </row>
    <row r="57" spans="1:21">
      <c r="A57" s="45" t="str">
        <f>'1. 소켓인수검사'!A59</f>
        <v>51</v>
      </c>
      <c r="B57" s="74" t="s">
        <v>32</v>
      </c>
      <c r="C57" s="29">
        <f>'1. 소켓인수검사'!C59</f>
        <v>900</v>
      </c>
      <c r="D57" s="29">
        <f>'1. 소켓인수검사'!D59</f>
        <v>900</v>
      </c>
      <c r="E57" s="30"/>
      <c r="F57" s="31">
        <f t="shared" si="0"/>
        <v>0.81</v>
      </c>
      <c r="G57" s="31">
        <f t="shared" si="1"/>
        <v>3.6</v>
      </c>
      <c r="H57" s="34">
        <v>1</v>
      </c>
      <c r="I57" s="67"/>
      <c r="J57" s="35"/>
      <c r="K57" s="23"/>
      <c r="L57" s="28"/>
      <c r="M57" s="23">
        <f t="shared" si="4"/>
        <v>4.0999999999999996</v>
      </c>
      <c r="N57" s="28">
        <v>2</v>
      </c>
      <c r="O57" s="67"/>
      <c r="P57" s="35"/>
      <c r="Q57" s="32">
        <f t="shared" si="6"/>
        <v>8.68</v>
      </c>
      <c r="R57" s="88">
        <f t="shared" si="5"/>
        <v>8.68</v>
      </c>
      <c r="S57" s="75" t="s">
        <v>40</v>
      </c>
      <c r="T57" s="36" t="s">
        <v>6</v>
      </c>
      <c r="U57" s="33">
        <f>'1. 소켓인수검사'!G59</f>
        <v>0</v>
      </c>
    </row>
    <row r="58" spans="1:21">
      <c r="A58" s="45" t="str">
        <f>'1. 소켓인수검사'!A60</f>
        <v>52</v>
      </c>
      <c r="B58" s="74" t="s">
        <v>32</v>
      </c>
      <c r="C58" s="29">
        <f>'1. 소켓인수검사'!C60</f>
        <v>900</v>
      </c>
      <c r="D58" s="29">
        <f>'1. 소켓인수검사'!D60</f>
        <v>900</v>
      </c>
      <c r="E58" s="30"/>
      <c r="F58" s="31">
        <f t="shared" si="0"/>
        <v>0.81</v>
      </c>
      <c r="G58" s="31">
        <f t="shared" si="1"/>
        <v>3.6</v>
      </c>
      <c r="H58" s="34">
        <v>1</v>
      </c>
      <c r="I58" s="67"/>
      <c r="J58" s="35"/>
      <c r="K58" s="23"/>
      <c r="L58" s="28"/>
      <c r="M58" s="23">
        <f t="shared" si="4"/>
        <v>4.0999999999999996</v>
      </c>
      <c r="N58" s="28">
        <v>2</v>
      </c>
      <c r="O58" s="67"/>
      <c r="P58" s="35"/>
      <c r="Q58" s="32">
        <f t="shared" si="6"/>
        <v>8.68</v>
      </c>
      <c r="R58" s="88">
        <f t="shared" si="5"/>
        <v>8.68</v>
      </c>
      <c r="S58" s="75" t="s">
        <v>40</v>
      </c>
      <c r="T58" s="36" t="s">
        <v>6</v>
      </c>
      <c r="U58" s="33">
        <f>'1. 소켓인수검사'!G60</f>
        <v>0</v>
      </c>
    </row>
    <row r="59" spans="1:21">
      <c r="A59" s="45" t="str">
        <f>'1. 소켓인수검사'!A61</f>
        <v>53</v>
      </c>
      <c r="B59" s="74" t="s">
        <v>32</v>
      </c>
      <c r="C59" s="29">
        <f>'1. 소켓인수검사'!C61</f>
        <v>900</v>
      </c>
      <c r="D59" s="29">
        <f>'1. 소켓인수검사'!D61</f>
        <v>900</v>
      </c>
      <c r="E59" s="30"/>
      <c r="F59" s="31">
        <f t="shared" si="0"/>
        <v>0.81</v>
      </c>
      <c r="G59" s="31">
        <f t="shared" si="1"/>
        <v>3.6</v>
      </c>
      <c r="H59" s="34">
        <v>1</v>
      </c>
      <c r="I59" s="67"/>
      <c r="J59" s="35"/>
      <c r="K59" s="23"/>
      <c r="L59" s="28"/>
      <c r="M59" s="23">
        <f t="shared" si="4"/>
        <v>4.0999999999999996</v>
      </c>
      <c r="N59" s="28">
        <v>2</v>
      </c>
      <c r="O59" s="67"/>
      <c r="P59" s="35"/>
      <c r="Q59" s="32">
        <f t="shared" si="6"/>
        <v>8.68</v>
      </c>
      <c r="R59" s="88">
        <f t="shared" si="5"/>
        <v>8.68</v>
      </c>
      <c r="S59" s="75" t="s">
        <v>40</v>
      </c>
      <c r="T59" s="36" t="s">
        <v>6</v>
      </c>
      <c r="U59" s="33">
        <f>'1. 소켓인수검사'!G61</f>
        <v>0</v>
      </c>
    </row>
    <row r="60" spans="1:21">
      <c r="A60" s="45" t="str">
        <f>'1. 소켓인수검사'!A62</f>
        <v>54</v>
      </c>
      <c r="B60" s="74" t="s">
        <v>32</v>
      </c>
      <c r="C60" s="29">
        <f>'1. 소켓인수검사'!C62</f>
        <v>900</v>
      </c>
      <c r="D60" s="29">
        <f>'1. 소켓인수검사'!D62</f>
        <v>900</v>
      </c>
      <c r="E60" s="30"/>
      <c r="F60" s="31">
        <f t="shared" si="0"/>
        <v>0.81</v>
      </c>
      <c r="G60" s="31">
        <f t="shared" si="1"/>
        <v>3.6</v>
      </c>
      <c r="H60" s="34">
        <v>1</v>
      </c>
      <c r="I60" s="67"/>
      <c r="J60" s="35"/>
      <c r="K60" s="23"/>
      <c r="L60" s="28"/>
      <c r="M60" s="23">
        <f t="shared" si="4"/>
        <v>4.0999999999999996</v>
      </c>
      <c r="N60" s="28">
        <v>2</v>
      </c>
      <c r="O60" s="67"/>
      <c r="P60" s="35"/>
      <c r="Q60" s="32">
        <f t="shared" si="6"/>
        <v>8.68</v>
      </c>
      <c r="R60" s="88">
        <f t="shared" si="5"/>
        <v>8.68</v>
      </c>
      <c r="S60" s="75" t="s">
        <v>40</v>
      </c>
      <c r="T60" s="36" t="s">
        <v>6</v>
      </c>
      <c r="U60" s="33">
        <f>'1. 소켓인수검사'!G62</f>
        <v>0</v>
      </c>
    </row>
    <row r="61" spans="1:21">
      <c r="A61" s="45" t="str">
        <f>'1. 소켓인수검사'!A63</f>
        <v>55</v>
      </c>
      <c r="B61" s="74" t="s">
        <v>32</v>
      </c>
      <c r="C61" s="29">
        <f>'1. 소켓인수검사'!C63</f>
        <v>900</v>
      </c>
      <c r="D61" s="29">
        <f>'1. 소켓인수검사'!D63</f>
        <v>900</v>
      </c>
      <c r="E61" s="30"/>
      <c r="F61" s="31">
        <f t="shared" si="0"/>
        <v>0.81</v>
      </c>
      <c r="G61" s="31">
        <f t="shared" si="1"/>
        <v>3.6</v>
      </c>
      <c r="H61" s="34">
        <v>1</v>
      </c>
      <c r="I61" s="67"/>
      <c r="J61" s="35"/>
      <c r="K61" s="23"/>
      <c r="L61" s="28"/>
      <c r="M61" s="23">
        <f t="shared" si="4"/>
        <v>4.0999999999999996</v>
      </c>
      <c r="N61" s="28">
        <v>2</v>
      </c>
      <c r="O61" s="67"/>
      <c r="P61" s="35"/>
      <c r="Q61" s="32">
        <f t="shared" si="6"/>
        <v>8.68</v>
      </c>
      <c r="R61" s="88">
        <f t="shared" si="5"/>
        <v>8.68</v>
      </c>
      <c r="S61" s="75" t="s">
        <v>40</v>
      </c>
      <c r="T61" s="36" t="s">
        <v>6</v>
      </c>
      <c r="U61" s="33">
        <f>'1. 소켓인수검사'!G63</f>
        <v>0</v>
      </c>
    </row>
    <row r="62" spans="1:21">
      <c r="A62" s="45" t="str">
        <f>'1. 소켓인수검사'!A64</f>
        <v>56</v>
      </c>
      <c r="B62" s="74" t="s">
        <v>32</v>
      </c>
      <c r="C62" s="29">
        <f>'1. 소켓인수검사'!C64</f>
        <v>900</v>
      </c>
      <c r="D62" s="29">
        <f>'1. 소켓인수검사'!D64</f>
        <v>900</v>
      </c>
      <c r="E62" s="30"/>
      <c r="F62" s="31">
        <f t="shared" si="0"/>
        <v>0.81</v>
      </c>
      <c r="G62" s="31">
        <f t="shared" si="1"/>
        <v>3.6</v>
      </c>
      <c r="H62" s="34">
        <v>1</v>
      </c>
      <c r="I62" s="67"/>
      <c r="J62" s="35"/>
      <c r="K62" s="23"/>
      <c r="L62" s="28"/>
      <c r="M62" s="23">
        <f t="shared" si="4"/>
        <v>4.0999999999999996</v>
      </c>
      <c r="N62" s="28">
        <v>2</v>
      </c>
      <c r="O62" s="67"/>
      <c r="P62" s="35"/>
      <c r="Q62" s="32">
        <f t="shared" si="6"/>
        <v>8.68</v>
      </c>
      <c r="R62" s="88">
        <f t="shared" si="5"/>
        <v>8.68</v>
      </c>
      <c r="S62" s="75" t="s">
        <v>40</v>
      </c>
      <c r="T62" s="36" t="s">
        <v>6</v>
      </c>
      <c r="U62" s="33">
        <f>'1. 소켓인수검사'!G64</f>
        <v>0</v>
      </c>
    </row>
    <row r="63" spans="1:21">
      <c r="A63" s="45" t="str">
        <f>'1. 소켓인수검사'!A65</f>
        <v>57</v>
      </c>
      <c r="B63" s="74" t="s">
        <v>32</v>
      </c>
      <c r="C63" s="29">
        <f>'1. 소켓인수검사'!C65</f>
        <v>900</v>
      </c>
      <c r="D63" s="29">
        <f>'1. 소켓인수검사'!D65</f>
        <v>900</v>
      </c>
      <c r="E63" s="30"/>
      <c r="F63" s="31">
        <f t="shared" si="0"/>
        <v>0.81</v>
      </c>
      <c r="G63" s="31">
        <f t="shared" si="1"/>
        <v>3.6</v>
      </c>
      <c r="H63" s="34">
        <v>1</v>
      </c>
      <c r="I63" s="67"/>
      <c r="J63" s="35"/>
      <c r="K63" s="23"/>
      <c r="L63" s="28"/>
      <c r="M63" s="23">
        <f t="shared" si="4"/>
        <v>4.0999999999999996</v>
      </c>
      <c r="N63" s="28">
        <v>2</v>
      </c>
      <c r="O63" s="67"/>
      <c r="P63" s="35"/>
      <c r="Q63" s="32">
        <f t="shared" si="6"/>
        <v>8.68</v>
      </c>
      <c r="R63" s="88">
        <f t="shared" si="5"/>
        <v>8.68</v>
      </c>
      <c r="S63" s="75" t="s">
        <v>40</v>
      </c>
      <c r="T63" s="36" t="s">
        <v>6</v>
      </c>
      <c r="U63" s="33">
        <f>'1. 소켓인수검사'!G65</f>
        <v>0</v>
      </c>
    </row>
    <row r="64" spans="1:21">
      <c r="A64" s="45" t="str">
        <f>'1. 소켓인수검사'!A66</f>
        <v>58</v>
      </c>
      <c r="B64" s="74" t="s">
        <v>32</v>
      </c>
      <c r="C64" s="29">
        <f>'1. 소켓인수검사'!C66</f>
        <v>900</v>
      </c>
      <c r="D64" s="29">
        <f>'1. 소켓인수검사'!D66</f>
        <v>900</v>
      </c>
      <c r="E64" s="30"/>
      <c r="F64" s="31">
        <f t="shared" si="0"/>
        <v>0.81</v>
      </c>
      <c r="G64" s="31">
        <f t="shared" si="1"/>
        <v>3.6</v>
      </c>
      <c r="H64" s="34">
        <v>1</v>
      </c>
      <c r="I64" s="67"/>
      <c r="J64" s="35"/>
      <c r="K64" s="23"/>
      <c r="L64" s="28"/>
      <c r="M64" s="23">
        <f t="shared" si="4"/>
        <v>4.0999999999999996</v>
      </c>
      <c r="N64" s="28">
        <v>2</v>
      </c>
      <c r="O64" s="67"/>
      <c r="P64" s="35"/>
      <c r="Q64" s="32">
        <f t="shared" si="6"/>
        <v>8.68</v>
      </c>
      <c r="R64" s="88">
        <f t="shared" si="5"/>
        <v>8.68</v>
      </c>
      <c r="S64" s="75" t="s">
        <v>40</v>
      </c>
      <c r="T64" s="36" t="s">
        <v>6</v>
      </c>
      <c r="U64" s="33">
        <f>'1. 소켓인수검사'!G66</f>
        <v>0</v>
      </c>
    </row>
    <row r="65" spans="1:21">
      <c r="A65" s="45" t="str">
        <f>'1. 소켓인수검사'!A67</f>
        <v>59</v>
      </c>
      <c r="B65" s="74" t="s">
        <v>32</v>
      </c>
      <c r="C65" s="29">
        <f>'1. 소켓인수검사'!C67</f>
        <v>900</v>
      </c>
      <c r="D65" s="29">
        <f>'1. 소켓인수검사'!D67</f>
        <v>900</v>
      </c>
      <c r="E65" s="30"/>
      <c r="F65" s="31">
        <f t="shared" si="0"/>
        <v>0.81</v>
      </c>
      <c r="G65" s="31">
        <f t="shared" si="1"/>
        <v>3.6</v>
      </c>
      <c r="H65" s="34">
        <v>1</v>
      </c>
      <c r="I65" s="67"/>
      <c r="J65" s="35"/>
      <c r="K65" s="23"/>
      <c r="L65" s="28"/>
      <c r="M65" s="23">
        <f t="shared" si="4"/>
        <v>4.0999999999999996</v>
      </c>
      <c r="N65" s="28">
        <v>2</v>
      </c>
      <c r="O65" s="67"/>
      <c r="P65" s="35"/>
      <c r="Q65" s="32">
        <f t="shared" si="6"/>
        <v>8.68</v>
      </c>
      <c r="R65" s="88">
        <f t="shared" si="5"/>
        <v>8.68</v>
      </c>
      <c r="S65" s="75" t="s">
        <v>40</v>
      </c>
      <c r="T65" s="36" t="s">
        <v>6</v>
      </c>
      <c r="U65" s="33">
        <f>'1. 소켓인수검사'!G67</f>
        <v>0</v>
      </c>
    </row>
    <row r="66" spans="1:21">
      <c r="A66" s="45" t="str">
        <f>'1. 소켓인수검사'!A68</f>
        <v>60</v>
      </c>
      <c r="B66" s="74" t="s">
        <v>32</v>
      </c>
      <c r="C66" s="29">
        <f>'1. 소켓인수검사'!C68</f>
        <v>900</v>
      </c>
      <c r="D66" s="29">
        <f>'1. 소켓인수검사'!D68</f>
        <v>900</v>
      </c>
      <c r="E66" s="30"/>
      <c r="F66" s="31">
        <f t="shared" si="0"/>
        <v>0.81</v>
      </c>
      <c r="G66" s="31">
        <f t="shared" si="1"/>
        <v>3.6</v>
      </c>
      <c r="H66" s="34">
        <v>1</v>
      </c>
      <c r="I66" s="67"/>
      <c r="J66" s="35"/>
      <c r="K66" s="23"/>
      <c r="L66" s="28"/>
      <c r="M66" s="23">
        <f t="shared" si="4"/>
        <v>4.0999999999999996</v>
      </c>
      <c r="N66" s="28">
        <v>2</v>
      </c>
      <c r="O66" s="67"/>
      <c r="P66" s="35"/>
      <c r="Q66" s="32">
        <f t="shared" si="6"/>
        <v>8.68</v>
      </c>
      <c r="R66" s="88">
        <f t="shared" si="5"/>
        <v>8.68</v>
      </c>
      <c r="S66" s="75" t="s">
        <v>40</v>
      </c>
      <c r="T66" s="36" t="s">
        <v>6</v>
      </c>
      <c r="U66" s="33">
        <f>'1. 소켓인수검사'!G68</f>
        <v>0</v>
      </c>
    </row>
    <row r="67" spans="1:21">
      <c r="A67" s="131" t="s">
        <v>5</v>
      </c>
      <c r="B67" s="132"/>
      <c r="C67" s="132"/>
      <c r="D67" s="66"/>
      <c r="E67" s="39"/>
      <c r="F67" s="39"/>
      <c r="G67" s="39"/>
      <c r="H67" s="38">
        <f>SUM(H7:H66)</f>
        <v>60</v>
      </c>
      <c r="I67" s="79"/>
      <c r="J67" s="38">
        <f>SUM(J7:J66)</f>
        <v>0</v>
      </c>
      <c r="K67" s="79"/>
      <c r="L67" s="38">
        <f>SUM(L7:L66)</f>
        <v>0</v>
      </c>
      <c r="M67" s="79"/>
      <c r="N67" s="38">
        <f>SUM(N7:N66)</f>
        <v>120</v>
      </c>
      <c r="O67" s="79"/>
      <c r="P67" s="38">
        <f>SUM(P7:P66)</f>
        <v>0</v>
      </c>
      <c r="Q67" s="79">
        <f>SUM(Q7:Q66)</f>
        <v>520.8000000000003</v>
      </c>
      <c r="R67" s="38">
        <f>SUM(R7:R66)</f>
        <v>520.8000000000003</v>
      </c>
      <c r="S67" s="76"/>
      <c r="T67" s="76"/>
      <c r="U67" s="77"/>
    </row>
    <row r="68" spans="1:21" ht="8.1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4"/>
    </row>
    <row r="69" spans="1:21">
      <c r="A69" s="101" t="s">
        <v>42</v>
      </c>
      <c r="B69" s="101"/>
      <c r="C69" s="101"/>
      <c r="D69" s="133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5"/>
    </row>
    <row r="70" spans="1:21">
      <c r="A70" s="101"/>
      <c r="B70" s="101"/>
      <c r="C70" s="101"/>
      <c r="D70" s="102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4"/>
    </row>
    <row r="71" spans="1:21">
      <c r="A71" s="101"/>
      <c r="B71" s="101"/>
      <c r="C71" s="101"/>
      <c r="D71" s="102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4"/>
    </row>
    <row r="72" spans="1:21">
      <c r="A72" s="101"/>
      <c r="B72" s="101"/>
      <c r="C72" s="101"/>
      <c r="D72" s="102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4"/>
    </row>
    <row r="73" spans="1:21">
      <c r="A73" s="101"/>
      <c r="B73" s="101"/>
      <c r="C73" s="101"/>
      <c r="D73" s="102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4"/>
    </row>
    <row r="74" spans="1:21">
      <c r="A74" s="101"/>
      <c r="B74" s="101"/>
      <c r="C74" s="101"/>
      <c r="D74" s="203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04"/>
      <c r="T74" s="204"/>
      <c r="U74" s="205"/>
    </row>
  </sheetData>
  <mergeCells count="24">
    <mergeCell ref="A68:P68"/>
    <mergeCell ref="A69:C74"/>
    <mergeCell ref="Q5:R5"/>
    <mergeCell ref="S5:S6"/>
    <mergeCell ref="T5:T6"/>
    <mergeCell ref="K5:L5"/>
    <mergeCell ref="O5:P5"/>
    <mergeCell ref="M5:N5"/>
    <mergeCell ref="U5:U6"/>
    <mergeCell ref="A67:C67"/>
    <mergeCell ref="F1:J3"/>
    <mergeCell ref="K1:U3"/>
    <mergeCell ref="D69:U74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</mergeCells>
  <phoneticPr fontId="26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1. 소켓인수검사</vt:lpstr>
      <vt:lpstr>2.2 재단작업(VAG)</vt:lpstr>
      <vt:lpstr>3.2 절곡( VAG)</vt:lpstr>
      <vt:lpstr>5. 차열재 출하용(VM,VT,VAG)</vt:lpstr>
      <vt:lpstr>6. 라벨소요량</vt:lpstr>
      <vt:lpstr>'1. 소켓인수검사'!Print_Area</vt:lpstr>
      <vt:lpstr>'1. 소켓인수검사'!Print_Titles</vt:lpstr>
      <vt:lpstr>'2.2 재단작업(VAG)'!Print_Titles</vt:lpstr>
      <vt:lpstr>'3.2 절곡( VAG)'!Print_Titles</vt:lpstr>
      <vt:lpstr>'5. 차열재 출하용(VM,VT,VAG)'!Print_Titles</vt:lpstr>
      <vt:lpstr>'6. 라벨소요량'!Print_Titles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2026-06-17T00:37:32Z</cp:lastPrinted>
  <dcterms:created xsi:type="dcterms:W3CDTF">2025-03-13T00:09:10Z</dcterms:created>
  <dcterms:modified xsi:type="dcterms:W3CDTF">2026-07-01T03:11:44Z</dcterms:modified>
  <cp:version>1200.0100.01</cp:version>
</cp:coreProperties>
</file>