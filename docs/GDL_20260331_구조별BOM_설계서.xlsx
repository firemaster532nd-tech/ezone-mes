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인정구조 총괄" sheetId="1" state="visible" r:id="rId1"/>
    <sheet xmlns:r="http://schemas.openxmlformats.org/officeDocument/2006/relationships" name="2.구조별 BOM 상세" sheetId="2" state="visible" r:id="rId2"/>
    <sheet xmlns:r="http://schemas.openxmlformats.org/officeDocument/2006/relationships" name="3.자재적용 매트릭스" sheetId="3" state="visible" r:id="rId3"/>
    <sheet xmlns:r="http://schemas.openxmlformats.org/officeDocument/2006/relationships" name="4.소켓치수 산출공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0"/>
    </font>
    <font>
      <name val="Consolas"/>
      <b val="1"/>
      <color rgb="001F4E79"/>
      <sz val="10"/>
    </font>
    <font>
      <name val="Arial"/>
      <sz val="10"/>
    </font>
    <font>
      <name val="Arial"/>
      <b val="1"/>
      <sz val="13"/>
    </font>
    <font>
      <name val="Arial"/>
      <b val="1"/>
      <sz val="8"/>
    </font>
    <font>
      <name val="Arial"/>
      <sz val="9"/>
    </font>
    <font>
      <name val="Arial"/>
      <b val="1"/>
      <color rgb="00006600"/>
      <sz val="10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4" borderId="1" pivotButton="0" quotePrefix="0" xfId="0"/>
    <xf numFmtId="0" fontId="0" fillId="4" borderId="1" pivotButton="0" quotePrefix="0" xfId="0"/>
    <xf numFmtId="0" fontId="4" fillId="5" borderId="1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2:K15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35" customWidth="1" min="3" max="3"/>
    <col width="14" customWidth="1" min="4" max="4"/>
    <col width="12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</cols>
  <sheetData>
    <row r="2">
      <c r="B2" s="1" t="inlineStr">
        <is>
          <t>EZONE 인정구조 총괄 현황 (11종)</t>
        </is>
      </c>
    </row>
    <row r="4">
      <c r="A4" s="2" t="n"/>
      <c r="B4" s="2" t="inlineStr">
        <is>
          <t>구조코드</t>
        </is>
      </c>
      <c r="C4" s="2" t="inlineStr">
        <is>
          <t>인정명</t>
        </is>
      </c>
      <c r="D4" s="2" t="inlineStr">
        <is>
          <t>소켓명</t>
        </is>
      </c>
      <c r="E4" s="2" t="inlineStr">
        <is>
          <t>설치위치</t>
        </is>
      </c>
      <c r="F4" s="2" t="inlineStr">
        <is>
          <t>개구부W</t>
        </is>
      </c>
      <c r="G4" s="2" t="inlineStr">
        <is>
          <t>개구부H</t>
        </is>
      </c>
      <c r="H4" s="2" t="inlineStr">
        <is>
          <t>소켓수</t>
        </is>
      </c>
      <c r="I4" s="2" t="inlineStr">
        <is>
          <t>차열시트T</t>
        </is>
      </c>
      <c r="J4" s="2" t="inlineStr">
        <is>
          <t>세라믹밀도</t>
        </is>
      </c>
      <c r="K4" s="2" t="inlineStr">
        <is>
          <t>내화등급</t>
        </is>
      </c>
    </row>
    <row r="5">
      <c r="A5" s="3" t="n"/>
      <c r="B5" s="3" t="inlineStr">
        <is>
          <t>VT-01</t>
        </is>
      </c>
      <c r="C5" s="3" t="inlineStr">
        <is>
          <t>EZ-F.B-POSMAC Duct-VT-01</t>
        </is>
      </c>
      <c r="D5" s="3" t="inlineStr">
        <is>
          <t>VT200</t>
        </is>
      </c>
      <c r="E5" s="3" t="inlineStr">
        <is>
          <t>수직벽체</t>
        </is>
      </c>
      <c r="F5" s="3" t="n">
        <v>2700</v>
      </c>
      <c r="G5" s="3" t="n">
        <v>750</v>
      </c>
      <c r="H5" s="3" t="n">
        <v>2</v>
      </c>
      <c r="I5" s="3" t="inlineStr">
        <is>
          <t>5.0T</t>
        </is>
      </c>
      <c r="J5" s="3" t="inlineStr">
        <is>
          <t>120K</t>
        </is>
      </c>
      <c r="K5" s="3" t="inlineStr">
        <is>
          <t>차열 2시간</t>
        </is>
      </c>
    </row>
    <row r="6">
      <c r="A6" s="4" t="n"/>
      <c r="B6" s="4" t="inlineStr">
        <is>
          <t>VS-01</t>
        </is>
      </c>
      <c r="C6" s="4" t="inlineStr">
        <is>
          <t>EZ-F.B-POSMAC Duct-VS-01</t>
        </is>
      </c>
      <c r="D6" s="4" t="inlineStr">
        <is>
          <t>VS200+VG200</t>
        </is>
      </c>
      <c r="E6" s="4" t="inlineStr">
        <is>
          <t>수직벽체</t>
        </is>
      </c>
      <c r="F6" s="4" t="n">
        <v>2700</v>
      </c>
      <c r="G6" s="4" t="n">
        <v>750</v>
      </c>
      <c r="H6" s="4" t="n">
        <v>2</v>
      </c>
      <c r="I6" s="4" t="inlineStr">
        <is>
          <t>5.0T</t>
        </is>
      </c>
      <c r="J6" s="4" t="inlineStr">
        <is>
          <t>120K</t>
        </is>
      </c>
      <c r="K6" s="4" t="inlineStr">
        <is>
          <t>차열 2시간</t>
        </is>
      </c>
    </row>
    <row r="7">
      <c r="A7" s="3" t="n"/>
      <c r="B7" s="3" t="inlineStr">
        <is>
          <t>VT-049</t>
        </is>
      </c>
      <c r="C7" s="3" t="inlineStr">
        <is>
          <t>EZ-F.B-POSMAC Duct-VT-049</t>
        </is>
      </c>
      <c r="D7" s="3" t="inlineStr">
        <is>
          <t>VM200</t>
        </is>
      </c>
      <c r="E7" s="3" t="inlineStr">
        <is>
          <t>수직벽체</t>
        </is>
      </c>
      <c r="F7" s="3" t="n">
        <v>1500</v>
      </c>
      <c r="G7" s="3" t="n">
        <v>450</v>
      </c>
      <c r="H7" s="3" t="n">
        <v>1</v>
      </c>
      <c r="I7" s="3" t="inlineStr">
        <is>
          <t>5.0T</t>
        </is>
      </c>
      <c r="J7" s="3" t="inlineStr">
        <is>
          <t>120K</t>
        </is>
      </c>
      <c r="K7" s="3" t="inlineStr">
        <is>
          <t>차열 2시간</t>
        </is>
      </c>
    </row>
    <row r="8">
      <c r="A8" s="4" t="n"/>
      <c r="B8" s="4" t="inlineStr">
        <is>
          <t>VA-064</t>
        </is>
      </c>
      <c r="C8" s="4" t="inlineStr">
        <is>
          <t>EZ-F.B-POSMAC Duct-VA-064</t>
        </is>
      </c>
      <c r="D8" s="4" t="inlineStr">
        <is>
          <t>VM200</t>
        </is>
      </c>
      <c r="E8" s="4" t="inlineStr">
        <is>
          <t>수직벽체</t>
        </is>
      </c>
      <c r="F8" s="4" t="n">
        <v>1700</v>
      </c>
      <c r="G8" s="4" t="n">
        <v>500</v>
      </c>
      <c r="H8" s="4" t="n">
        <v>1</v>
      </c>
      <c r="I8" s="4" t="inlineStr">
        <is>
          <t>5.0T</t>
        </is>
      </c>
      <c r="J8" s="4" t="inlineStr">
        <is>
          <t>120K</t>
        </is>
      </c>
      <c r="K8" s="4" t="inlineStr">
        <is>
          <t>차열 2시간</t>
        </is>
      </c>
    </row>
    <row r="9">
      <c r="A9" s="3" t="n"/>
      <c r="B9" s="3" t="inlineStr">
        <is>
          <t>VT-064</t>
        </is>
      </c>
      <c r="C9" s="3" t="inlineStr">
        <is>
          <t>EZ-F.B-POSMAC Duct-VT-064</t>
        </is>
      </c>
      <c r="D9" s="3" t="inlineStr">
        <is>
          <t>VM200</t>
        </is>
      </c>
      <c r="E9" s="3" t="inlineStr">
        <is>
          <t>수직벽체</t>
        </is>
      </c>
      <c r="F9" s="3" t="n">
        <v>1700</v>
      </c>
      <c r="G9" s="3" t="n">
        <v>500</v>
      </c>
      <c r="H9" s="3" t="n">
        <v>1</v>
      </c>
      <c r="I9" s="3" t="inlineStr">
        <is>
          <t>5.0T</t>
        </is>
      </c>
      <c r="J9" s="3" t="inlineStr">
        <is>
          <t>120K</t>
        </is>
      </c>
      <c r="K9" s="3" t="inlineStr">
        <is>
          <t>차열 2시간</t>
        </is>
      </c>
    </row>
    <row r="10">
      <c r="A10" s="4" t="n"/>
      <c r="B10" s="4" t="inlineStr">
        <is>
          <t>VAG-1.69</t>
        </is>
      </c>
      <c r="C10" s="4" t="inlineStr">
        <is>
          <t>EZ-F.B-POSMAC Duct-VAG-1.69</t>
        </is>
      </c>
      <c r="D10" s="4" t="inlineStr">
        <is>
          <t>VTG200</t>
        </is>
      </c>
      <c r="E10" s="4" t="inlineStr">
        <is>
          <t>수직벽체</t>
        </is>
      </c>
      <c r="F10" s="4" t="n">
        <v>2700</v>
      </c>
      <c r="G10" s="4" t="n">
        <v>750</v>
      </c>
      <c r="H10" s="4" t="n">
        <v>2</v>
      </c>
      <c r="I10" s="4" t="inlineStr">
        <is>
          <t>4.0~5.0T</t>
        </is>
      </c>
      <c r="J10" s="4" t="inlineStr">
        <is>
          <t>96K</t>
        </is>
      </c>
      <c r="K10" s="4" t="inlineStr">
        <is>
          <t>차열 2시간</t>
        </is>
      </c>
    </row>
    <row r="11">
      <c r="A11" s="3" t="n"/>
      <c r="B11" s="3" t="inlineStr">
        <is>
          <t>VTI-064</t>
        </is>
      </c>
      <c r="C11" s="3" t="inlineStr">
        <is>
          <t>EZ-F.B-POSMAC Duct-VTI-064</t>
        </is>
      </c>
      <c r="D11" s="3" t="inlineStr">
        <is>
          <t>VIG200</t>
        </is>
      </c>
      <c r="E11" s="3" t="inlineStr">
        <is>
          <t>수직벽체</t>
        </is>
      </c>
      <c r="F11" s="3" t="n">
        <v>1700</v>
      </c>
      <c r="G11" s="3" t="n">
        <v>500</v>
      </c>
      <c r="H11" s="3" t="n">
        <v>1</v>
      </c>
      <c r="I11" s="3" t="inlineStr">
        <is>
          <t>4.0~5.0T</t>
        </is>
      </c>
      <c r="J11" s="3" t="inlineStr">
        <is>
          <t>96K</t>
        </is>
      </c>
      <c r="K11" s="3" t="inlineStr">
        <is>
          <t>차열 2시간</t>
        </is>
      </c>
    </row>
    <row r="12">
      <c r="A12" s="4" t="n"/>
      <c r="B12" s="4" t="inlineStr">
        <is>
          <t>HAG-1.69</t>
        </is>
      </c>
      <c r="C12" s="4" t="inlineStr">
        <is>
          <t>EZ-F.B-POSMAC Duct-HAG-1.69</t>
        </is>
      </c>
      <c r="D12" s="4" t="inlineStr">
        <is>
          <t>HTG300C</t>
        </is>
      </c>
      <c r="E12" s="4" t="inlineStr">
        <is>
          <t>수평바닥</t>
        </is>
      </c>
      <c r="F12" s="4" t="n">
        <v>2700</v>
      </c>
      <c r="G12" s="4" t="n">
        <v>750</v>
      </c>
      <c r="H12" s="4" t="n">
        <v>2</v>
      </c>
      <c r="I12" s="4" t="inlineStr">
        <is>
          <t>4.0~5.0T</t>
        </is>
      </c>
      <c r="J12" s="4" t="inlineStr">
        <is>
          <t>96K</t>
        </is>
      </c>
      <c r="K12" s="4" t="inlineStr">
        <is>
          <t>차열 2시간</t>
        </is>
      </c>
    </row>
    <row r="13">
      <c r="A13" s="3" t="n"/>
      <c r="B13" s="3" t="inlineStr">
        <is>
          <t>HTG-1.69</t>
        </is>
      </c>
      <c r="C13" s="3" t="inlineStr">
        <is>
          <t>EZ-F.B-POSMAC Duct-HTG-1.69</t>
        </is>
      </c>
      <c r="D13" s="3" t="inlineStr">
        <is>
          <t>HTG300C</t>
        </is>
      </c>
      <c r="E13" s="3" t="inlineStr">
        <is>
          <t>수평바닥</t>
        </is>
      </c>
      <c r="F13" s="3" t="n">
        <v>2760</v>
      </c>
      <c r="G13" s="3" t="n">
        <v>810</v>
      </c>
      <c r="H13" s="3" t="n">
        <v>2</v>
      </c>
      <c r="I13" s="3" t="inlineStr">
        <is>
          <t>4.0~5.0T</t>
        </is>
      </c>
      <c r="J13" s="3" t="inlineStr">
        <is>
          <t>96K</t>
        </is>
      </c>
      <c r="K13" s="3" t="inlineStr">
        <is>
          <t>차열 2시간</t>
        </is>
      </c>
    </row>
    <row r="14">
      <c r="A14" s="4" t="n"/>
      <c r="B14" s="4" t="inlineStr">
        <is>
          <t>HTG-064</t>
        </is>
      </c>
      <c r="C14" s="4" t="inlineStr">
        <is>
          <t>EZ-F.B-POSMAC Duct-HTG-064</t>
        </is>
      </c>
      <c r="D14" s="4" t="inlineStr">
        <is>
          <t>HMG300C</t>
        </is>
      </c>
      <c r="E14" s="4" t="inlineStr">
        <is>
          <t>수평바닥</t>
        </is>
      </c>
      <c r="F14" s="4" t="n">
        <v>1760</v>
      </c>
      <c r="G14" s="4" t="n">
        <v>560</v>
      </c>
      <c r="H14" s="4" t="n">
        <v>1</v>
      </c>
      <c r="I14" s="4" t="inlineStr">
        <is>
          <t>4.0~5.0T</t>
        </is>
      </c>
      <c r="J14" s="4" t="inlineStr">
        <is>
          <t>96K</t>
        </is>
      </c>
      <c r="K14" s="4" t="inlineStr">
        <is>
          <t>차열 2시간</t>
        </is>
      </c>
    </row>
    <row r="15">
      <c r="A15" s="3" t="n"/>
      <c r="B15" s="3" t="inlineStr">
        <is>
          <t>HTG(DC)-064</t>
        </is>
      </c>
      <c r="C15" s="3" t="inlineStr">
        <is>
          <t>EZ-F.B-POSMAC Duct-HTG(DC)-064</t>
        </is>
      </c>
      <c r="D15" s="3" t="inlineStr">
        <is>
          <t>HMG300</t>
        </is>
      </c>
      <c r="E15" s="3" t="inlineStr">
        <is>
          <t>수평바닥</t>
        </is>
      </c>
      <c r="F15" s="3" t="n">
        <v>1600</v>
      </c>
      <c r="G15" s="3" t="n">
        <v>400</v>
      </c>
      <c r="H15" s="3" t="n">
        <v>1</v>
      </c>
      <c r="I15" s="3" t="inlineStr">
        <is>
          <t>4.0~5.0T</t>
        </is>
      </c>
      <c r="J15" s="3" t="inlineStr">
        <is>
          <t>96K</t>
        </is>
      </c>
      <c r="K15" s="3" t="inlineStr">
        <is>
          <t>차열 2시간</t>
        </is>
      </c>
    </row>
  </sheetData>
  <mergeCells count="1"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I58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0" customWidth="1" min="3" max="3"/>
    <col width="20" customWidth="1" min="4" max="4"/>
    <col width="20" customWidth="1" min="5" max="5"/>
    <col width="25" customWidth="1" min="6" max="6"/>
    <col width="20" customWidth="1" min="7" max="7"/>
    <col width="8" customWidth="1" min="8" max="8"/>
    <col width="35" customWidth="1" min="9" max="9"/>
  </cols>
  <sheetData>
    <row r="2">
      <c r="B2" s="1" t="inlineStr">
        <is>
          <t>구조별 BOM 상세 (자재 구성)</t>
        </is>
      </c>
    </row>
    <row r="4">
      <c r="B4" s="5" t="inlineStr">
        <is>
          <t>■ VT-01</t>
        </is>
      </c>
      <c r="C4" s="6" t="n"/>
      <c r="D4" s="6" t="n"/>
      <c r="E4" s="6" t="n"/>
      <c r="F4" s="6" t="n"/>
      <c r="G4" s="6" t="n"/>
      <c r="H4" s="6" t="n"/>
      <c r="I4" s="6" t="n"/>
    </row>
    <row r="5">
      <c r="A5" s="2" t="n"/>
      <c r="B5" s="2" t="inlineStr">
        <is>
          <t>구성</t>
        </is>
      </c>
      <c r="C5" s="2" t="inlineStr">
        <is>
          <t>품목코드</t>
        </is>
      </c>
      <c r="D5" s="2" t="inlineStr">
        <is>
          <t>품명</t>
        </is>
      </c>
      <c r="E5" s="2" t="inlineStr">
        <is>
          <t>수량산출</t>
        </is>
      </c>
      <c r="F5" s="2" t="inlineStr">
        <is>
          <t>단위</t>
        </is>
      </c>
      <c r="G5" s="2" t="inlineStr">
        <is>
          <t>규격/비고</t>
        </is>
      </c>
      <c r="H5" s="2" t="n"/>
    </row>
    <row r="6">
      <c r="A6" s="3" t="n"/>
      <c r="B6" s="3" t="inlineStr">
        <is>
          <t>소켓본체</t>
        </is>
      </c>
      <c r="C6" s="3" t="inlineStr">
        <is>
          <t>SM-SK-BODY</t>
        </is>
      </c>
      <c r="D6" s="3" t="inlineStr">
        <is>
          <t>금속소켓 본체</t>
        </is>
      </c>
      <c r="E6" s="3" t="inlineStr">
        <is>
          <t>1</t>
        </is>
      </c>
      <c r="F6" s="3" t="inlineStr">
        <is>
          <t>EA</t>
        </is>
      </c>
      <c r="G6" s="3" t="inlineStr">
        <is>
          <t>SGCC t1.6, 동일규격×2 (각 1320×750)</t>
        </is>
      </c>
      <c r="H6" s="3" t="n"/>
    </row>
    <row r="7">
      <c r="A7" s="4" t="n"/>
      <c r="B7" s="4" t="inlineStr">
        <is>
          <t>차열시트(소켓)</t>
        </is>
      </c>
      <c r="C7" s="4" t="inlineStr">
        <is>
          <t>SA-CUT-SK</t>
        </is>
      </c>
      <c r="D7" s="4" t="inlineStr">
        <is>
          <t>재단(소켓용)</t>
        </is>
      </c>
      <c r="E7" s="4" t="inlineStr">
        <is>
          <t>치수기반</t>
        </is>
      </c>
      <c r="F7" s="4" t="inlineStr">
        <is>
          <t>매</t>
        </is>
      </c>
      <c r="G7" s="4" t="inlineStr">
        <is>
          <t>밀도1.2g/cm³, t5.0, W190</t>
        </is>
      </c>
      <c r="H7" s="4" t="n"/>
    </row>
    <row r="8">
      <c r="A8" s="3" t="n"/>
      <c r="B8" s="3" t="inlineStr">
        <is>
          <t>블랭킷(소켓외부)</t>
        </is>
      </c>
      <c r="C8" s="3" t="inlineStr">
        <is>
          <t>SM-CW-128-25</t>
        </is>
      </c>
      <c r="D8" s="3" t="inlineStr">
        <is>
          <t>세라믹 128K t25 W200</t>
        </is>
      </c>
      <c r="E8" s="3" t="inlineStr">
        <is>
          <t>치수기반</t>
        </is>
      </c>
      <c r="F8" s="3" t="inlineStr">
        <is>
          <t>M</t>
        </is>
      </c>
      <c r="G8" s="3" t="inlineStr">
        <is>
          <t>소켓 상하좌우 외부</t>
        </is>
      </c>
      <c r="H8" s="3" t="n"/>
    </row>
    <row r="9">
      <c r="A9" s="4" t="n"/>
      <c r="B9" s="4" t="inlineStr">
        <is>
          <t>브라켓</t>
        </is>
      </c>
      <c r="C9" s="4" t="inlineStr">
        <is>
          <t>SM-BRK-TB/MD</t>
        </is>
      </c>
      <c r="D9" s="4" t="inlineStr">
        <is>
          <t>소켓 브라켓</t>
        </is>
      </c>
      <c r="E9" s="4" t="inlineStr">
        <is>
          <t>치수기반</t>
        </is>
      </c>
      <c r="F9" s="4" t="inlineStr">
        <is>
          <t>EA</t>
        </is>
      </c>
      <c r="G9" s="4" t="inlineStr">
        <is>
          <t>상/하/중앙</t>
        </is>
      </c>
      <c r="H9" s="4" t="n"/>
    </row>
    <row r="10">
      <c r="A10" s="3" t="n"/>
      <c r="B10" s="3" t="inlineStr">
        <is>
          <t>플래싱 강판</t>
        </is>
      </c>
      <c r="C10" s="3" t="inlineStr">
        <is>
          <t>SM-GI-I-10</t>
        </is>
      </c>
      <c r="D10" s="3" t="inlineStr">
        <is>
          <t>강재류 I형 L1000</t>
        </is>
      </c>
      <c r="E10" s="3">
        <f>플래싱수</f>
        <v/>
      </c>
      <c r="F10" s="3" t="inlineStr">
        <is>
          <t>EA</t>
        </is>
      </c>
      <c r="G10" s="3" t="inlineStr">
        <is>
          <t>SGCC t0.5, W125</t>
        </is>
      </c>
      <c r="H10" s="3" t="n"/>
    </row>
    <row r="11">
      <c r="A11" s="4" t="n"/>
      <c r="B11" s="4" t="inlineStr">
        <is>
          <t>플래싱 차열시트</t>
        </is>
      </c>
      <c r="C11" s="4" t="inlineStr">
        <is>
          <t>SA-CUT-FL</t>
        </is>
      </c>
      <c r="D11" s="4" t="inlineStr">
        <is>
          <t>재단(플래싱용)</t>
        </is>
      </c>
      <c r="E11" s="4">
        <f>플래싱수</f>
        <v/>
      </c>
      <c r="F11" s="4" t="inlineStr">
        <is>
          <t>매</t>
        </is>
      </c>
      <c r="G11" s="4" t="inlineStr">
        <is>
          <t>t5.0, W125, L1000</t>
        </is>
      </c>
      <c r="H11" s="4" t="n"/>
    </row>
    <row r="12">
      <c r="A12" s="3" t="n"/>
      <c r="B12" s="3" t="inlineStr">
        <is>
          <t>지지구조1단</t>
        </is>
      </c>
      <c r="C12" s="3" t="inlineStr">
        <is>
          <t>SM-CW-96-50</t>
        </is>
      </c>
      <c r="D12" s="3" t="inlineStr">
        <is>
          <t>세라믹 96K t50 W600</t>
        </is>
      </c>
      <c r="E12" s="3" t="inlineStr">
        <is>
          <t>치수기반</t>
        </is>
      </c>
      <c r="F12" s="3" t="inlineStr">
        <is>
          <t>M</t>
        </is>
      </c>
      <c r="G12" s="3" t="inlineStr">
        <is>
          <t>둘레÷600</t>
        </is>
      </c>
      <c r="H12" s="3" t="n"/>
    </row>
    <row r="13">
      <c r="A13" s="4" t="n"/>
      <c r="B13" s="4" t="inlineStr">
        <is>
          <t>지지구조2단</t>
        </is>
      </c>
      <c r="C13" s="4" t="inlineStr">
        <is>
          <t>SM-GW-24-14</t>
        </is>
      </c>
      <c r="D13" s="4" t="inlineStr">
        <is>
          <t>글라스울 24K W1400</t>
        </is>
      </c>
      <c r="E13" s="4" t="inlineStr">
        <is>
          <t>치수기반</t>
        </is>
      </c>
      <c r="F13" s="4" t="inlineStr">
        <is>
          <t>M</t>
        </is>
      </c>
      <c r="G13" s="4" t="inlineStr">
        <is>
          <t>둘레÷1400</t>
        </is>
      </c>
      <c r="H13" s="4" t="n"/>
    </row>
    <row r="14">
      <c r="A14" s="3" t="n"/>
      <c r="B14" s="3" t="inlineStr">
        <is>
          <t>덕트보온</t>
        </is>
      </c>
      <c r="C14" s="3" t="inlineStr">
        <is>
          <t>SM-GW-24-14</t>
        </is>
      </c>
      <c r="D14" s="3" t="inlineStr">
        <is>
          <t>글라스울 24K W1400</t>
        </is>
      </c>
      <c r="E14" s="3" t="inlineStr">
        <is>
          <t>치수기반</t>
        </is>
      </c>
      <c r="F14" s="3" t="inlineStr">
        <is>
          <t>M</t>
        </is>
      </c>
      <c r="G14" s="3" t="inlineStr">
        <is>
          <t>(W+H)×2×4면÷1400</t>
        </is>
      </c>
      <c r="H14" s="3" t="n"/>
    </row>
    <row r="15">
      <c r="A15" s="4" t="n"/>
      <c r="B15" s="4" t="inlineStr">
        <is>
          <t>실란트</t>
        </is>
      </c>
      <c r="C15" s="4" t="inlineStr">
        <is>
          <t>SM-SIL</t>
        </is>
      </c>
      <c r="D15" s="4" t="inlineStr">
        <is>
          <t>실란트</t>
        </is>
      </c>
      <c r="E15" s="4" t="inlineStr">
        <is>
          <t>둘레÷3000</t>
        </is>
      </c>
      <c r="F15" s="4" t="inlineStr">
        <is>
          <t>EA</t>
        </is>
      </c>
      <c r="G15" s="4" t="inlineStr">
        <is>
          <t>0310 구조</t>
        </is>
      </c>
      <c r="H15" s="4" t="n"/>
    </row>
    <row r="17">
      <c r="B17" s="5" t="inlineStr">
        <is>
          <t>■ VA-064</t>
        </is>
      </c>
      <c r="C17" s="6" t="n"/>
      <c r="D17" s="6" t="n"/>
      <c r="E17" s="6" t="n"/>
      <c r="F17" s="6" t="n"/>
      <c r="G17" s="6" t="n"/>
      <c r="H17" s="6" t="n"/>
      <c r="I17" s="6" t="n"/>
    </row>
    <row r="18">
      <c r="A18" s="2" t="n"/>
      <c r="B18" s="2" t="inlineStr">
        <is>
          <t>구성</t>
        </is>
      </c>
      <c r="C18" s="2" t="inlineStr">
        <is>
          <t>품목코드</t>
        </is>
      </c>
      <c r="D18" s="2" t="inlineStr">
        <is>
          <t>품명</t>
        </is>
      </c>
      <c r="E18" s="2" t="inlineStr">
        <is>
          <t>수량산출</t>
        </is>
      </c>
      <c r="F18" s="2" t="inlineStr">
        <is>
          <t>단위</t>
        </is>
      </c>
      <c r="G18" s="2" t="inlineStr">
        <is>
          <t>규격/비고</t>
        </is>
      </c>
      <c r="H18" s="2" t="n"/>
    </row>
    <row r="19">
      <c r="A19" s="3" t="n"/>
      <c r="B19" s="3" t="inlineStr">
        <is>
          <t>소켓본체</t>
        </is>
      </c>
      <c r="C19" s="3" t="inlineStr">
        <is>
          <t>SM-SK-BODY</t>
        </is>
      </c>
      <c r="D19" s="3" t="inlineStr">
        <is>
          <t>금속소켓 본체</t>
        </is>
      </c>
      <c r="E19" s="3" t="inlineStr">
        <is>
          <t>1</t>
        </is>
      </c>
      <c r="F19" s="3" t="inlineStr">
        <is>
          <t>EA</t>
        </is>
      </c>
      <c r="G19" s="3" t="inlineStr">
        <is>
          <t>SGCC t1.6, W1700×H500×높이200</t>
        </is>
      </c>
      <c r="H19" s="3" t="n"/>
    </row>
    <row r="20">
      <c r="A20" s="4" t="n"/>
      <c r="B20" s="4" t="inlineStr">
        <is>
          <t>차열시트(소켓)</t>
        </is>
      </c>
      <c r="C20" s="4" t="inlineStr">
        <is>
          <t>SA-CUT-SK</t>
        </is>
      </c>
      <c r="D20" s="4" t="inlineStr">
        <is>
          <t>재단(소켓용)</t>
        </is>
      </c>
      <c r="E20" s="4" t="inlineStr">
        <is>
          <t>치수기반</t>
        </is>
      </c>
      <c r="F20" s="4" t="inlineStr">
        <is>
          <t>매</t>
        </is>
      </c>
      <c r="G20" s="4" t="inlineStr">
        <is>
          <t>4면 시공</t>
        </is>
      </c>
      <c r="H20" s="4" t="n"/>
    </row>
    <row r="21">
      <c r="A21" s="3" t="n"/>
      <c r="B21" s="3" t="inlineStr">
        <is>
          <t>블랭킷(소켓외부)</t>
        </is>
      </c>
      <c r="C21" s="3" t="inlineStr">
        <is>
          <t>SM-CW-128-25</t>
        </is>
      </c>
      <c r="D21" s="3" t="inlineStr">
        <is>
          <t>세라믹 128K t25 W200</t>
        </is>
      </c>
      <c r="E21" s="3" t="inlineStr">
        <is>
          <t>치수기반</t>
        </is>
      </c>
      <c r="F21" s="3" t="inlineStr">
        <is>
          <t>M</t>
        </is>
      </c>
      <c r="G21" s="3" t="inlineStr"/>
      <c r="H21" s="3" t="n"/>
    </row>
    <row r="22">
      <c r="A22" s="4" t="n"/>
      <c r="B22" s="4" t="inlineStr">
        <is>
          <t>플래싱 강판</t>
        </is>
      </c>
      <c r="C22" s="4" t="inlineStr">
        <is>
          <t>SM-GI-I-10</t>
        </is>
      </c>
      <c r="D22" s="4" t="inlineStr">
        <is>
          <t>강재류 I형 L1000</t>
        </is>
      </c>
      <c r="E22" s="4" t="inlineStr">
        <is>
          <t>치수기반</t>
        </is>
      </c>
      <c r="F22" s="4" t="inlineStr">
        <is>
          <t>EA</t>
        </is>
      </c>
      <c r="G22" s="4" t="inlineStr">
        <is>
          <t>양면 시공</t>
        </is>
      </c>
      <c r="H22" s="4" t="n"/>
    </row>
    <row r="23">
      <c r="A23" s="3" t="n"/>
      <c r="B23" s="3" t="inlineStr">
        <is>
          <t>지지구조1단</t>
        </is>
      </c>
      <c r="C23" s="3" t="inlineStr">
        <is>
          <t>SM-CW-96-50</t>
        </is>
      </c>
      <c r="D23" s="3" t="inlineStr">
        <is>
          <t>세라믹 96K t50 W600</t>
        </is>
      </c>
      <c r="E23" s="3" t="inlineStr">
        <is>
          <t>치수기반</t>
        </is>
      </c>
      <c r="F23" s="3" t="inlineStr">
        <is>
          <t>M</t>
        </is>
      </c>
      <c r="G23" s="3" t="inlineStr"/>
      <c r="H23" s="3" t="n"/>
    </row>
    <row r="24">
      <c r="A24" s="4" t="n"/>
      <c r="B24" s="4" t="inlineStr">
        <is>
          <t>지지구조2단</t>
        </is>
      </c>
      <c r="C24" s="4" t="inlineStr">
        <is>
          <t>SM-GW-24-14</t>
        </is>
      </c>
      <c r="D24" s="4" t="inlineStr">
        <is>
          <t>글라스울 24K W1400</t>
        </is>
      </c>
      <c r="E24" s="4" t="inlineStr">
        <is>
          <t>치수기반</t>
        </is>
      </c>
      <c r="F24" s="4" t="inlineStr">
        <is>
          <t>M</t>
        </is>
      </c>
      <c r="G24" s="4" t="inlineStr"/>
      <c r="H24" s="4" t="n"/>
    </row>
    <row r="25">
      <c r="A25" s="3" t="n"/>
      <c r="B25" s="3" t="inlineStr">
        <is>
          <t>실란트</t>
        </is>
      </c>
      <c r="C25" s="3" t="inlineStr">
        <is>
          <t>SM-SIL</t>
        </is>
      </c>
      <c r="D25" s="3" t="inlineStr">
        <is>
          <t>실란트</t>
        </is>
      </c>
      <c r="E25" s="3" t="inlineStr"/>
      <c r="F25" s="3" t="inlineStr">
        <is>
          <t>EA</t>
        </is>
      </c>
      <c r="G25" s="3" t="inlineStr"/>
      <c r="H25" s="3" t="n"/>
    </row>
    <row r="27">
      <c r="B27" s="5" t="inlineStr">
        <is>
          <t>■ VAG-1.69</t>
        </is>
      </c>
      <c r="C27" s="6" t="n"/>
      <c r="D27" s="6" t="n"/>
      <c r="E27" s="6" t="n"/>
      <c r="F27" s="6" t="n"/>
      <c r="G27" s="6" t="n"/>
      <c r="H27" s="6" t="n"/>
      <c r="I27" s="6" t="n"/>
    </row>
    <row r="28">
      <c r="A28" s="2" t="n"/>
      <c r="B28" s="2" t="inlineStr">
        <is>
          <t>구성</t>
        </is>
      </c>
      <c r="C28" s="2" t="inlineStr">
        <is>
          <t>품목코드</t>
        </is>
      </c>
      <c r="D28" s="2" t="inlineStr">
        <is>
          <t>품명</t>
        </is>
      </c>
      <c r="E28" s="2" t="inlineStr">
        <is>
          <t>수량산출</t>
        </is>
      </c>
      <c r="F28" s="2" t="inlineStr">
        <is>
          <t>단위</t>
        </is>
      </c>
      <c r="G28" s="2" t="inlineStr">
        <is>
          <t>규격/비고</t>
        </is>
      </c>
      <c r="H28" s="2" t="n"/>
    </row>
    <row r="29">
      <c r="A29" s="3" t="n"/>
      <c r="B29" s="3" t="inlineStr">
        <is>
          <t>소켓본체</t>
        </is>
      </c>
      <c r="C29" s="3" t="inlineStr">
        <is>
          <t>SM-SK-BODY</t>
        </is>
      </c>
      <c r="D29" s="3" t="inlineStr">
        <is>
          <t>금속소켓 본체</t>
        </is>
      </c>
      <c r="E29" s="3" t="inlineStr">
        <is>
          <t>1</t>
        </is>
      </c>
      <c r="F29" s="3" t="inlineStr">
        <is>
          <t>EA</t>
        </is>
      </c>
      <c r="G29" s="3" t="inlineStr">
        <is>
          <t>1270×650 ×2개조립 → 2600×650</t>
        </is>
      </c>
      <c r="H29" s="3" t="n"/>
    </row>
    <row r="30">
      <c r="A30" s="4" t="n"/>
      <c r="B30" s="4" t="inlineStr">
        <is>
          <t>차열시트(소켓)</t>
        </is>
      </c>
      <c r="C30" s="4" t="inlineStr">
        <is>
          <t>SA-CUT-SK</t>
        </is>
      </c>
      <c r="D30" s="4" t="inlineStr">
        <is>
          <t>재단(소켓용)</t>
        </is>
      </c>
      <c r="E30" s="4" t="inlineStr">
        <is>
          <t>치수기반</t>
        </is>
      </c>
      <c r="F30" s="4" t="inlineStr">
        <is>
          <t>매</t>
        </is>
      </c>
      <c r="G30" s="4" t="inlineStr"/>
      <c r="H30" s="4" t="n"/>
    </row>
    <row r="31">
      <c r="A31" s="3" t="n"/>
      <c r="B31" s="3" t="inlineStr">
        <is>
          <t>블랭킷(소켓외부)</t>
        </is>
      </c>
      <c r="C31" s="3" t="inlineStr">
        <is>
          <t>SM-CW-96-25W2</t>
        </is>
      </c>
      <c r="D31" s="3" t="inlineStr">
        <is>
          <t>세라믹 96K t25 W200</t>
        </is>
      </c>
      <c r="E31" s="3" t="inlineStr">
        <is>
          <t>치수기반</t>
        </is>
      </c>
      <c r="F31" s="3" t="inlineStr">
        <is>
          <t>M</t>
        </is>
      </c>
      <c r="G31" s="3" t="inlineStr"/>
      <c r="H31" s="3" t="n"/>
    </row>
    <row r="32">
      <c r="A32" s="4" t="n"/>
      <c r="B32" s="4" t="inlineStr">
        <is>
          <t>브라켓</t>
        </is>
      </c>
      <c r="C32" s="4" t="inlineStr">
        <is>
          <t>SM-BRK-TB/MD</t>
        </is>
      </c>
      <c r="D32" s="4" t="inlineStr">
        <is>
          <t>소켓 브라켓</t>
        </is>
      </c>
      <c r="E32" s="4" t="inlineStr">
        <is>
          <t>치수기반</t>
        </is>
      </c>
      <c r="F32" s="4" t="inlineStr">
        <is>
          <t>EA</t>
        </is>
      </c>
      <c r="G32" s="4" t="inlineStr"/>
      <c r="H32" s="4" t="n"/>
    </row>
    <row r="33">
      <c r="A33" s="3" t="n"/>
      <c r="B33" s="3" t="inlineStr">
        <is>
          <t>플래싱 강판</t>
        </is>
      </c>
      <c r="C33" s="3" t="inlineStr">
        <is>
          <t>SM-GI-I-10</t>
        </is>
      </c>
      <c r="D33" s="3" t="inlineStr">
        <is>
          <t>강재류 I형 L1000</t>
        </is>
      </c>
      <c r="E33" s="3" t="inlineStr">
        <is>
          <t>치수기반</t>
        </is>
      </c>
      <c r="F33" s="3" t="inlineStr">
        <is>
          <t>EA</t>
        </is>
      </c>
      <c r="G33" s="3" t="inlineStr"/>
      <c r="H33" s="3" t="n"/>
    </row>
    <row r="34">
      <c r="A34" s="4" t="n"/>
      <c r="B34" s="4" t="inlineStr">
        <is>
          <t>지지구조(전체)</t>
        </is>
      </c>
      <c r="C34" s="4" t="inlineStr">
        <is>
          <t>SM-CW-96-50</t>
        </is>
      </c>
      <c r="D34" s="4" t="inlineStr">
        <is>
          <t>세라믹 96K t50 W600</t>
        </is>
      </c>
      <c r="E34" s="4" t="inlineStr">
        <is>
          <t>치수기반</t>
        </is>
      </c>
      <c r="F34" s="4" t="inlineStr">
        <is>
          <t>M</t>
        </is>
      </c>
      <c r="G34" s="4" t="inlineStr">
        <is>
          <t>세라믹 only, 글라스울 없음</t>
        </is>
      </c>
      <c r="H34" s="4" t="n"/>
    </row>
    <row r="35">
      <c r="A35" s="3" t="n"/>
      <c r="B35" s="3" t="inlineStr">
        <is>
          <t>덕트보온</t>
        </is>
      </c>
      <c r="C35" s="3" t="inlineStr">
        <is>
          <t>SM-GW-24-14</t>
        </is>
      </c>
      <c r="D35" s="3" t="inlineStr">
        <is>
          <t>글라스울 24K W1400</t>
        </is>
      </c>
      <c r="E35" s="3" t="inlineStr">
        <is>
          <t>치수기반</t>
        </is>
      </c>
      <c r="F35" s="3" t="inlineStr">
        <is>
          <t>M</t>
        </is>
      </c>
      <c r="G35" s="3" t="inlineStr"/>
      <c r="H35" s="3" t="n"/>
    </row>
    <row r="37">
      <c r="B37" s="5" t="inlineStr">
        <is>
          <t>■ HTG-1.69</t>
        </is>
      </c>
      <c r="C37" s="6" t="n"/>
      <c r="D37" s="6" t="n"/>
      <c r="E37" s="6" t="n"/>
      <c r="F37" s="6" t="n"/>
      <c r="G37" s="6" t="n"/>
      <c r="H37" s="6" t="n"/>
      <c r="I37" s="6" t="n"/>
    </row>
    <row r="38">
      <c r="A38" s="2" t="n"/>
      <c r="B38" s="2" t="inlineStr">
        <is>
          <t>구성</t>
        </is>
      </c>
      <c r="C38" s="2" t="inlineStr">
        <is>
          <t>품목코드</t>
        </is>
      </c>
      <c r="D38" s="2" t="inlineStr">
        <is>
          <t>품명</t>
        </is>
      </c>
      <c r="E38" s="2" t="inlineStr">
        <is>
          <t>수량산출</t>
        </is>
      </c>
      <c r="F38" s="2" t="inlineStr">
        <is>
          <t>단위</t>
        </is>
      </c>
      <c r="G38" s="2" t="inlineStr">
        <is>
          <t>규격/비고</t>
        </is>
      </c>
      <c r="H38" s="2" t="n"/>
    </row>
    <row r="39">
      <c r="A39" s="3" t="n"/>
      <c r="B39" s="3" t="inlineStr">
        <is>
          <t>소켓본체</t>
        </is>
      </c>
      <c r="C39" s="3" t="inlineStr">
        <is>
          <t>SM-SK-BODY</t>
        </is>
      </c>
      <c r="D39" s="3" t="inlineStr">
        <is>
          <t>금속소켓 본체</t>
        </is>
      </c>
      <c r="E39" s="3" t="inlineStr">
        <is>
          <t>1</t>
        </is>
      </c>
      <c r="F39" s="3" t="inlineStr">
        <is>
          <t>EA</t>
        </is>
      </c>
      <c r="G39" s="3" t="inlineStr">
        <is>
          <t>1350×810 ×2개조립 → 2760×810</t>
        </is>
      </c>
      <c r="H39" s="3" t="n"/>
    </row>
    <row r="40">
      <c r="A40" s="4" t="n"/>
      <c r="B40" s="4" t="inlineStr">
        <is>
          <t>차열시트(소켓)</t>
        </is>
      </c>
      <c r="C40" s="4" t="inlineStr">
        <is>
          <t>SA-CUT-SK</t>
        </is>
      </c>
      <c r="D40" s="4" t="inlineStr">
        <is>
          <t>재단(소켓용)</t>
        </is>
      </c>
      <c r="E40" s="4" t="inlineStr">
        <is>
          <t>치수기반</t>
        </is>
      </c>
      <c r="F40" s="4" t="inlineStr">
        <is>
          <t>매</t>
        </is>
      </c>
      <c r="G40" s="4" t="inlineStr"/>
      <c r="H40" s="4" t="n"/>
    </row>
    <row r="41">
      <c r="A41" s="3" t="n"/>
      <c r="B41" s="3" t="inlineStr">
        <is>
          <t>블랭킷(소켓외부)</t>
        </is>
      </c>
      <c r="C41" s="3" t="inlineStr">
        <is>
          <t>SM-CW-96-25W3</t>
        </is>
      </c>
      <c r="D41" s="3" t="inlineStr">
        <is>
          <t>세라믹 96K t25 W300</t>
        </is>
      </c>
      <c r="E41" s="3" t="inlineStr">
        <is>
          <t>치수기반</t>
        </is>
      </c>
      <c r="F41" s="3" t="inlineStr">
        <is>
          <t>M</t>
        </is>
      </c>
      <c r="G41" s="3" t="inlineStr">
        <is>
          <t>바닥용 W300</t>
        </is>
      </c>
      <c r="H41" s="3" t="n"/>
    </row>
    <row r="42">
      <c r="A42" s="4" t="n"/>
      <c r="B42" s="4" t="inlineStr">
        <is>
          <t>브라켓</t>
        </is>
      </c>
      <c r="C42" s="4" t="inlineStr">
        <is>
          <t>SM-BRK-TB/MD</t>
        </is>
      </c>
      <c r="D42" s="4" t="inlineStr">
        <is>
          <t>소켓 브라켓</t>
        </is>
      </c>
      <c r="E42" s="4" t="inlineStr">
        <is>
          <t>치수기반</t>
        </is>
      </c>
      <c r="F42" s="4" t="inlineStr">
        <is>
          <t>EA</t>
        </is>
      </c>
      <c r="G42" s="4" t="inlineStr"/>
      <c r="H42" s="4" t="n"/>
    </row>
    <row r="43">
      <c r="A43" s="3" t="n"/>
      <c r="B43" s="3" t="inlineStr">
        <is>
          <t>플래싱 강판</t>
        </is>
      </c>
      <c r="C43" s="3" t="inlineStr">
        <is>
          <t>SM-GI-Z-10</t>
        </is>
      </c>
      <c r="D43" s="3" t="inlineStr">
        <is>
          <t>강재류 Z형 L1000</t>
        </is>
      </c>
      <c r="E43" s="3" t="inlineStr">
        <is>
          <t>치수기반</t>
        </is>
      </c>
      <c r="F43" s="3" t="inlineStr">
        <is>
          <t>EA</t>
        </is>
      </c>
      <c r="G43" s="3" t="inlineStr">
        <is>
          <t>Z형</t>
        </is>
      </c>
      <c r="H43" s="3" t="n"/>
    </row>
    <row r="44">
      <c r="A44" s="4" t="n"/>
      <c r="B44" s="4" t="inlineStr">
        <is>
          <t>지지구조1단</t>
        </is>
      </c>
      <c r="C44" s="4" t="inlineStr">
        <is>
          <t>SM-GW-24-14</t>
        </is>
      </c>
      <c r="D44" s="4" t="inlineStr">
        <is>
          <t>글라스울 24K W1400</t>
        </is>
      </c>
      <c r="E44" s="4" t="inlineStr">
        <is>
          <t>치수기반</t>
        </is>
      </c>
      <c r="F44" s="4" t="inlineStr">
        <is>
          <t>M</t>
        </is>
      </c>
      <c r="G44" s="4" t="inlineStr"/>
      <c r="H44" s="4" t="n"/>
    </row>
    <row r="45">
      <c r="A45" s="3" t="n"/>
      <c r="B45" s="3" t="inlineStr">
        <is>
          <t>지지구조2~4단</t>
        </is>
      </c>
      <c r="C45" s="3" t="inlineStr">
        <is>
          <t>SM-CW-96-38</t>
        </is>
      </c>
      <c r="D45" s="3" t="inlineStr">
        <is>
          <t>세라믹 96K t38 W600</t>
        </is>
      </c>
      <c r="E45" s="3" t="inlineStr">
        <is>
          <t>치수기반</t>
        </is>
      </c>
      <c r="F45" s="3" t="inlineStr">
        <is>
          <t>M</t>
        </is>
      </c>
      <c r="G45" s="3" t="inlineStr">
        <is>
          <t>38mm×3단=114mm</t>
        </is>
      </c>
      <c r="H45" s="3" t="n"/>
    </row>
    <row r="46">
      <c r="A46" s="4" t="n"/>
      <c r="B46" s="4" t="inlineStr">
        <is>
          <t>덕트보온</t>
        </is>
      </c>
      <c r="C46" s="4" t="inlineStr">
        <is>
          <t>SM-GW-24-14</t>
        </is>
      </c>
      <c r="D46" s="4" t="inlineStr">
        <is>
          <t>글라스울 24K W1400</t>
        </is>
      </c>
      <c r="E46" s="4" t="inlineStr">
        <is>
          <t>치수기반</t>
        </is>
      </c>
      <c r="F46" s="4" t="inlineStr">
        <is>
          <t>M</t>
        </is>
      </c>
      <c r="G46" s="4" t="inlineStr"/>
      <c r="H46" s="4" t="n"/>
    </row>
    <row r="47">
      <c r="A47" s="3" t="n"/>
      <c r="B47" s="3" t="inlineStr">
        <is>
          <t>틈새복합시트</t>
        </is>
      </c>
      <c r="C47" s="3" t="inlineStr">
        <is>
          <t>FP-GAP-SH</t>
        </is>
      </c>
      <c r="D47" s="3" t="inlineStr">
        <is>
          <t>틈새복합시트</t>
        </is>
      </c>
      <c r="E47" s="3" t="inlineStr">
        <is>
          <t>둘레÷1000×2</t>
        </is>
      </c>
      <c r="F47" s="3" t="inlineStr">
        <is>
          <t>EA</t>
        </is>
      </c>
      <c r="G47" s="3" t="inlineStr">
        <is>
          <t>200H</t>
        </is>
      </c>
      <c r="H47" s="3" t="n"/>
    </row>
    <row r="48">
      <c r="A48" s="4" t="n"/>
      <c r="B48" s="4" t="inlineStr">
        <is>
          <t>고정자재</t>
        </is>
      </c>
      <c r="C48" s="4" t="inlineStr">
        <is>
          <t>SM-GP-10</t>
        </is>
      </c>
      <c r="D48" s="4" t="inlineStr">
        <is>
          <t>고정자재 L1000</t>
        </is>
      </c>
      <c r="E48" s="4">
        <f>틈새시트수</f>
        <v/>
      </c>
      <c r="F48" s="4" t="inlineStr">
        <is>
          <t>EA</t>
        </is>
      </c>
      <c r="G48" s="4" t="inlineStr"/>
      <c r="H48" s="4" t="n"/>
    </row>
    <row r="50">
      <c r="B50" s="5" t="inlineStr">
        <is>
          <t>■ HTG(DC)-064</t>
        </is>
      </c>
      <c r="C50" s="6" t="n"/>
      <c r="D50" s="6" t="n"/>
      <c r="E50" s="6" t="n"/>
      <c r="F50" s="6" t="n"/>
      <c r="G50" s="6" t="n"/>
      <c r="H50" s="6" t="n"/>
      <c r="I50" s="6" t="n"/>
    </row>
    <row r="51">
      <c r="A51" s="2" t="n"/>
      <c r="B51" s="2" t="inlineStr">
        <is>
          <t>구성</t>
        </is>
      </c>
      <c r="C51" s="2" t="inlineStr">
        <is>
          <t>품목코드</t>
        </is>
      </c>
      <c r="D51" s="2" t="inlineStr">
        <is>
          <t>품명</t>
        </is>
      </c>
      <c r="E51" s="2" t="inlineStr">
        <is>
          <t>수량산출</t>
        </is>
      </c>
      <c r="F51" s="2" t="inlineStr">
        <is>
          <t>단위</t>
        </is>
      </c>
      <c r="G51" s="2" t="inlineStr">
        <is>
          <t>규격/비고</t>
        </is>
      </c>
      <c r="H51" s="2" t="n"/>
    </row>
    <row r="52">
      <c r="A52" s="3" t="n"/>
      <c r="B52" s="3" t="inlineStr">
        <is>
          <t>소켓본체</t>
        </is>
      </c>
      <c r="C52" s="3" t="inlineStr">
        <is>
          <t>SM-SK-BODY</t>
        </is>
      </c>
      <c r="D52" s="3" t="inlineStr">
        <is>
          <t>금속소켓 본체</t>
        </is>
      </c>
      <c r="E52" s="3" t="inlineStr">
        <is>
          <t>1</t>
        </is>
      </c>
      <c r="F52" s="3" t="inlineStr">
        <is>
          <t>EA</t>
        </is>
      </c>
      <c r="G52" s="3" t="inlineStr">
        <is>
          <t>W1600×H400×높이300</t>
        </is>
      </c>
      <c r="H52" s="3" t="n"/>
    </row>
    <row r="53">
      <c r="A53" s="4" t="n"/>
      <c r="B53" s="4" t="inlineStr">
        <is>
          <t>차열시트(소켓)</t>
        </is>
      </c>
      <c r="C53" s="4" t="inlineStr">
        <is>
          <t>SA-CUT-SK</t>
        </is>
      </c>
      <c r="D53" s="4" t="inlineStr">
        <is>
          <t>재단(소켓용)</t>
        </is>
      </c>
      <c r="E53" s="4" t="inlineStr">
        <is>
          <t>치수기반</t>
        </is>
      </c>
      <c r="F53" s="4" t="inlineStr">
        <is>
          <t>매</t>
        </is>
      </c>
      <c r="G53" s="4" t="inlineStr"/>
      <c r="H53" s="4" t="n"/>
    </row>
    <row r="54">
      <c r="A54" s="3" t="n"/>
      <c r="B54" s="3" t="inlineStr">
        <is>
          <t>블랭킷 없음</t>
        </is>
      </c>
      <c r="C54" s="3" t="inlineStr">
        <is>
          <t>-</t>
        </is>
      </c>
      <c r="D54" s="3" t="inlineStr">
        <is>
          <t>-</t>
        </is>
      </c>
      <c r="E54" s="3" t="inlineStr">
        <is>
          <t>-</t>
        </is>
      </c>
      <c r="F54" s="3" t="inlineStr">
        <is>
          <t>-</t>
        </is>
      </c>
      <c r="G54" s="3" t="inlineStr">
        <is>
          <t>소켓외부 세라믹블랭킷 없음</t>
        </is>
      </c>
      <c r="H54" s="3" t="n"/>
    </row>
    <row r="55">
      <c r="A55" s="4" t="n"/>
      <c r="B55" s="4" t="inlineStr">
        <is>
          <t>플래싱 강판</t>
        </is>
      </c>
      <c r="C55" s="4" t="inlineStr">
        <is>
          <t>SM-GI-L-10</t>
        </is>
      </c>
      <c r="D55" s="4" t="inlineStr">
        <is>
          <t>강재류 L형 L1000</t>
        </is>
      </c>
      <c r="E55" s="4" t="inlineStr">
        <is>
          <t>치수기반</t>
        </is>
      </c>
      <c r="F55" s="4" t="inlineStr">
        <is>
          <t>EA</t>
        </is>
      </c>
      <c r="G55" s="4" t="inlineStr">
        <is>
          <t>L형(DC형 전용)</t>
        </is>
      </c>
      <c r="H55" s="4" t="n"/>
    </row>
    <row r="56">
      <c r="A56" s="3" t="n"/>
      <c r="B56" s="3" t="inlineStr">
        <is>
          <t>지지구조1단</t>
        </is>
      </c>
      <c r="C56" s="3" t="inlineStr">
        <is>
          <t>SM-GW-24-14</t>
        </is>
      </c>
      <c r="D56" s="3" t="inlineStr">
        <is>
          <t>글라스울 24K W1400</t>
        </is>
      </c>
      <c r="E56" s="3" t="inlineStr">
        <is>
          <t>치수기반</t>
        </is>
      </c>
      <c r="F56" s="3" t="inlineStr">
        <is>
          <t>M</t>
        </is>
      </c>
      <c r="G56" s="3" t="inlineStr"/>
      <c r="H56" s="3" t="n"/>
    </row>
    <row r="57">
      <c r="A57" s="4" t="n"/>
      <c r="B57" s="4" t="inlineStr">
        <is>
          <t>지지구조2단</t>
        </is>
      </c>
      <c r="C57" s="4" t="inlineStr">
        <is>
          <t>SM-CW-96-50</t>
        </is>
      </c>
      <c r="D57" s="4" t="inlineStr">
        <is>
          <t>세라믹 96K t50 W600</t>
        </is>
      </c>
      <c r="E57" s="4" t="inlineStr">
        <is>
          <t>치수기반</t>
        </is>
      </c>
      <c r="F57" s="4" t="inlineStr">
        <is>
          <t>M</t>
        </is>
      </c>
      <c r="G57" s="4" t="inlineStr"/>
      <c r="H57" s="4" t="n"/>
    </row>
    <row r="58">
      <c r="A58" s="3" t="n"/>
      <c r="B58" s="3" t="inlineStr">
        <is>
          <t>덕트보온</t>
        </is>
      </c>
      <c r="C58" s="3" t="inlineStr">
        <is>
          <t>SM-GW-24-14</t>
        </is>
      </c>
      <c r="D58" s="3" t="inlineStr">
        <is>
          <t>글라스울 24K W1400</t>
        </is>
      </c>
      <c r="E58" s="3" t="inlineStr">
        <is>
          <t>치수기반</t>
        </is>
      </c>
      <c r="F58" s="3" t="inlineStr">
        <is>
          <t>M</t>
        </is>
      </c>
      <c r="G58" s="3" t="inlineStr"/>
      <c r="H58" s="3" t="n"/>
    </row>
  </sheetData>
  <mergeCells count="6">
    <mergeCell ref="B50:I50"/>
    <mergeCell ref="B2:I2"/>
    <mergeCell ref="B37:I37"/>
    <mergeCell ref="B27:I27"/>
    <mergeCell ref="B4:I4"/>
    <mergeCell ref="B17:I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2:M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2">
      <c r="B2" s="1" t="inlineStr">
        <is>
          <t>자재 × 구조 적용 매트릭스</t>
        </is>
      </c>
    </row>
    <row r="4">
      <c r="A4" s="2" t="n"/>
      <c r="B4" s="2" t="inlineStr">
        <is>
          <t>자재</t>
        </is>
      </c>
      <c r="C4" s="2" t="inlineStr">
        <is>
          <t>VT-01</t>
        </is>
      </c>
      <c r="D4" s="2" t="inlineStr">
        <is>
          <t>VS-01</t>
        </is>
      </c>
      <c r="E4" s="2" t="inlineStr">
        <is>
          <t>VT-049</t>
        </is>
      </c>
      <c r="F4" s="2" t="inlineStr">
        <is>
          <t>VA-064</t>
        </is>
      </c>
      <c r="G4" s="2" t="inlineStr">
        <is>
          <t>VT-064</t>
        </is>
      </c>
      <c r="H4" s="2" t="inlineStr">
        <is>
          <t>VAG-1.69</t>
        </is>
      </c>
      <c r="I4" s="2" t="inlineStr">
        <is>
          <t>VTI-064</t>
        </is>
      </c>
      <c r="J4" s="2" t="inlineStr">
        <is>
          <t>HAG-1.69</t>
        </is>
      </c>
      <c r="K4" s="2" t="inlineStr">
        <is>
          <t>HTG-1.69</t>
        </is>
      </c>
      <c r="L4" s="2" t="inlineStr">
        <is>
          <t>HTG-064</t>
        </is>
      </c>
      <c r="M4" s="2" t="inlineStr">
        <is>
          <t>HTG(DC)-064</t>
        </is>
      </c>
    </row>
    <row r="5">
      <c r="A5" s="3" t="n"/>
      <c r="B5" s="3" t="inlineStr">
        <is>
          <t>SM-SK-BODY 소켓본체</t>
        </is>
      </c>
      <c r="C5" s="7" t="inlineStr">
        <is>
          <t>O</t>
        </is>
      </c>
      <c r="D5" s="7" t="inlineStr">
        <is>
          <t>O</t>
        </is>
      </c>
      <c r="E5" s="7" t="inlineStr">
        <is>
          <t>O</t>
        </is>
      </c>
      <c r="F5" s="7" t="inlineStr">
        <is>
          <t>O</t>
        </is>
      </c>
      <c r="G5" s="7" t="inlineStr">
        <is>
          <t>O</t>
        </is>
      </c>
      <c r="H5" s="7" t="inlineStr">
        <is>
          <t>O</t>
        </is>
      </c>
      <c r="I5" s="7" t="inlineStr">
        <is>
          <t>O</t>
        </is>
      </c>
      <c r="J5" s="7" t="inlineStr">
        <is>
          <t>O</t>
        </is>
      </c>
      <c r="K5" s="7" t="inlineStr">
        <is>
          <t>O</t>
        </is>
      </c>
      <c r="L5" s="7" t="inlineStr">
        <is>
          <t>O</t>
        </is>
      </c>
      <c r="M5" s="7" t="inlineStr">
        <is>
          <t>O</t>
        </is>
      </c>
    </row>
    <row r="6">
      <c r="A6" s="4" t="n"/>
      <c r="B6" s="4" t="inlineStr">
        <is>
          <t>SM-CW-128-25 블랭킷벽체</t>
        </is>
      </c>
      <c r="C6" s="4" t="inlineStr">
        <is>
          <t>O</t>
        </is>
      </c>
      <c r="D6" s="4" t="inlineStr">
        <is>
          <t>O</t>
        </is>
      </c>
      <c r="E6" s="4" t="inlineStr">
        <is>
          <t>O</t>
        </is>
      </c>
      <c r="F6" s="4" t="inlineStr">
        <is>
          <t>O</t>
        </is>
      </c>
      <c r="G6" s="4" t="inlineStr">
        <is>
          <t>O</t>
        </is>
      </c>
      <c r="H6" s="4" t="inlineStr"/>
      <c r="I6" s="4" t="inlineStr"/>
      <c r="J6" s="4" t="inlineStr"/>
      <c r="K6" s="4" t="inlineStr"/>
      <c r="L6" s="4" t="inlineStr"/>
      <c r="M6" s="4" t="inlineStr"/>
    </row>
    <row r="7">
      <c r="A7" s="3" t="n"/>
      <c r="B7" s="3" t="inlineStr">
        <is>
          <t>SM-CW-96-25W2 블랭킷벽체</t>
        </is>
      </c>
      <c r="C7" s="3" t="inlineStr"/>
      <c r="D7" s="3" t="inlineStr"/>
      <c r="E7" s="3" t="inlineStr"/>
      <c r="F7" s="3" t="inlineStr"/>
      <c r="G7" s="3" t="inlineStr"/>
      <c r="H7" s="7" t="inlineStr">
        <is>
          <t>O</t>
        </is>
      </c>
      <c r="I7" s="7" t="inlineStr">
        <is>
          <t>O</t>
        </is>
      </c>
      <c r="J7" s="3" t="inlineStr"/>
      <c r="K7" s="3" t="inlineStr"/>
      <c r="L7" s="3" t="inlineStr"/>
      <c r="M7" s="3" t="inlineStr"/>
    </row>
    <row r="8">
      <c r="A8" s="4" t="n"/>
      <c r="B8" s="4" t="inlineStr">
        <is>
          <t>SM-CW-96-25W3 블랭킷바닥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>
        <is>
          <t>O</t>
        </is>
      </c>
      <c r="K8" s="4" t="inlineStr">
        <is>
          <t>O</t>
        </is>
      </c>
      <c r="L8" s="4" t="inlineStr">
        <is>
          <t>O</t>
        </is>
      </c>
      <c r="M8" s="4" t="inlineStr"/>
    </row>
    <row r="9">
      <c r="A9" s="3" t="n"/>
      <c r="B9" s="3" t="inlineStr">
        <is>
          <t>SM-CW-96-50 지지구조</t>
        </is>
      </c>
      <c r="C9" s="7" t="inlineStr">
        <is>
          <t>O</t>
        </is>
      </c>
      <c r="D9" s="7" t="inlineStr">
        <is>
          <t>O</t>
        </is>
      </c>
      <c r="E9" s="3" t="inlineStr"/>
      <c r="F9" s="7" t="inlineStr">
        <is>
          <t>O</t>
        </is>
      </c>
      <c r="G9" s="7" t="inlineStr">
        <is>
          <t>O</t>
        </is>
      </c>
      <c r="H9" s="7" t="inlineStr">
        <is>
          <t>O</t>
        </is>
      </c>
      <c r="I9" s="7" t="inlineStr">
        <is>
          <t>O</t>
        </is>
      </c>
      <c r="J9" s="3" t="inlineStr"/>
      <c r="K9" s="3" t="inlineStr"/>
      <c r="L9" s="7" t="inlineStr">
        <is>
          <t>O</t>
        </is>
      </c>
      <c r="M9" s="7" t="inlineStr">
        <is>
          <t>O</t>
        </is>
      </c>
    </row>
    <row r="10">
      <c r="A10" s="4" t="n"/>
      <c r="B10" s="4" t="inlineStr">
        <is>
          <t>SM-CW-96-38 지지구조1.69</t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>
        <is>
          <t>O</t>
        </is>
      </c>
      <c r="K10" s="4" t="inlineStr">
        <is>
          <t>O</t>
        </is>
      </c>
      <c r="L10" s="4" t="inlineStr"/>
      <c r="M10" s="4" t="inlineStr"/>
    </row>
    <row r="11">
      <c r="A11" s="3" t="n"/>
      <c r="B11" s="3" t="inlineStr">
        <is>
          <t>SM-GW-24-14 글라스울W1400</t>
        </is>
      </c>
      <c r="C11" s="7" t="inlineStr">
        <is>
          <t>O</t>
        </is>
      </c>
      <c r="D11" s="7" t="inlineStr">
        <is>
          <t>O</t>
        </is>
      </c>
      <c r="E11" s="7" t="inlineStr">
        <is>
          <t>O</t>
        </is>
      </c>
      <c r="F11" s="7" t="inlineStr">
        <is>
          <t>O</t>
        </is>
      </c>
      <c r="G11" s="7" t="inlineStr">
        <is>
          <t>O</t>
        </is>
      </c>
      <c r="H11" s="3" t="inlineStr"/>
      <c r="I11" s="3" t="inlineStr"/>
      <c r="J11" s="7" t="inlineStr">
        <is>
          <t>O</t>
        </is>
      </c>
      <c r="K11" s="7" t="inlineStr">
        <is>
          <t>O</t>
        </is>
      </c>
      <c r="L11" s="7" t="inlineStr">
        <is>
          <t>O</t>
        </is>
      </c>
      <c r="M11" s="7" t="inlineStr">
        <is>
          <t>O</t>
        </is>
      </c>
    </row>
    <row r="12">
      <c r="A12" s="4" t="n"/>
      <c r="B12" s="4" t="inlineStr">
        <is>
          <t>SM-GW-24-10 글라스울W1000</t>
        </is>
      </c>
      <c r="C12" s="4" t="inlineStr"/>
      <c r="D12" s="4" t="inlineStr"/>
      <c r="E12" s="4" t="inlineStr">
        <is>
          <t>O</t>
        </is>
      </c>
      <c r="F12" s="4" t="inlineStr"/>
      <c r="G12" s="4" t="inlineStr"/>
      <c r="H12" s="4" t="inlineStr"/>
      <c r="I12" s="4" t="inlineStr">
        <is>
          <t>O</t>
        </is>
      </c>
      <c r="J12" s="4" t="inlineStr"/>
      <c r="K12" s="4" t="inlineStr"/>
      <c r="L12" s="4" t="inlineStr"/>
      <c r="M12" s="4" t="inlineStr"/>
    </row>
    <row r="13">
      <c r="A13" s="3" t="n"/>
      <c r="B13" s="3" t="inlineStr">
        <is>
          <t>SM-GI-I-10 강판I형</t>
        </is>
      </c>
      <c r="C13" s="7" t="inlineStr">
        <is>
          <t>O</t>
        </is>
      </c>
      <c r="D13" s="7" t="inlineStr">
        <is>
          <t>O</t>
        </is>
      </c>
      <c r="E13" s="7" t="inlineStr">
        <is>
          <t>O</t>
        </is>
      </c>
      <c r="F13" s="7" t="inlineStr">
        <is>
          <t>O</t>
        </is>
      </c>
      <c r="G13" s="7" t="inlineStr">
        <is>
          <t>O</t>
        </is>
      </c>
      <c r="H13" s="7" t="inlineStr">
        <is>
          <t>O</t>
        </is>
      </c>
      <c r="I13" s="7" t="inlineStr">
        <is>
          <t>O</t>
        </is>
      </c>
      <c r="J13" s="7" t="inlineStr">
        <is>
          <t>O</t>
        </is>
      </c>
      <c r="K13" s="3" t="inlineStr"/>
      <c r="L13" s="3" t="inlineStr"/>
      <c r="M13" s="3" t="inlineStr"/>
    </row>
    <row r="14">
      <c r="A14" s="4" t="n"/>
      <c r="B14" s="4" t="inlineStr">
        <is>
          <t>SM-GI-Z-10 강판Z형</t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>
        <is>
          <t>O</t>
        </is>
      </c>
      <c r="L14" s="4" t="inlineStr">
        <is>
          <t>O</t>
        </is>
      </c>
      <c r="M14" s="4" t="inlineStr"/>
    </row>
    <row r="15">
      <c r="A15" s="3" t="n"/>
      <c r="B15" s="3" t="inlineStr">
        <is>
          <t>SM-GI-L-10 강판L형</t>
        </is>
      </c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7" t="inlineStr">
        <is>
          <t>O</t>
        </is>
      </c>
    </row>
    <row r="16">
      <c r="A16" s="4" t="n"/>
      <c r="B16" s="4" t="inlineStr">
        <is>
          <t>SM-GP-10 고정자재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>
        <is>
          <t>O</t>
        </is>
      </c>
      <c r="K16" s="4" t="inlineStr">
        <is>
          <t>O</t>
        </is>
      </c>
      <c r="L16" s="4" t="inlineStr">
        <is>
          <t>O</t>
        </is>
      </c>
      <c r="M16" s="4" t="inlineStr"/>
    </row>
    <row r="17">
      <c r="A17" s="3" t="n"/>
      <c r="B17" s="3" t="inlineStr">
        <is>
          <t>SM-BRK-TB 브라켓상하</t>
        </is>
      </c>
      <c r="C17" s="7" t="inlineStr">
        <is>
          <t>O</t>
        </is>
      </c>
      <c r="D17" s="7" t="inlineStr">
        <is>
          <t>O</t>
        </is>
      </c>
      <c r="E17" s="3" t="inlineStr"/>
      <c r="F17" s="3" t="inlineStr"/>
      <c r="G17" s="3" t="inlineStr"/>
      <c r="H17" s="7" t="inlineStr">
        <is>
          <t>O</t>
        </is>
      </c>
      <c r="I17" s="3" t="inlineStr"/>
      <c r="J17" s="7" t="inlineStr">
        <is>
          <t>O</t>
        </is>
      </c>
      <c r="K17" s="7" t="inlineStr">
        <is>
          <t>O</t>
        </is>
      </c>
      <c r="L17" s="3" t="inlineStr"/>
      <c r="M17" s="3" t="inlineStr"/>
    </row>
    <row r="18">
      <c r="A18" s="4" t="n"/>
      <c r="B18" s="4" t="inlineStr">
        <is>
          <t>SM-BRK-MD 브라켓중앙</t>
        </is>
      </c>
      <c r="C18" s="4" t="inlineStr">
        <is>
          <t>O</t>
        </is>
      </c>
      <c r="D18" s="4" t="inlineStr"/>
      <c r="E18" s="4" t="inlineStr"/>
      <c r="F18" s="4" t="inlineStr"/>
      <c r="G18" s="4" t="inlineStr"/>
      <c r="H18" s="4" t="inlineStr">
        <is>
          <t>O</t>
        </is>
      </c>
      <c r="I18" s="4" t="inlineStr"/>
      <c r="J18" s="4" t="inlineStr"/>
      <c r="K18" s="4" t="inlineStr"/>
      <c r="L18" s="4" t="inlineStr"/>
      <c r="M18" s="4" t="inlineStr"/>
    </row>
    <row r="19">
      <c r="A19" s="3" t="n"/>
      <c r="B19" s="3" t="inlineStr">
        <is>
          <t>SM-SIL 실란트</t>
        </is>
      </c>
      <c r="C19" s="7" t="inlineStr">
        <is>
          <t>O</t>
        </is>
      </c>
      <c r="D19" s="7" t="inlineStr">
        <is>
          <t>O</t>
        </is>
      </c>
      <c r="E19" s="7" t="inlineStr">
        <is>
          <t>O</t>
        </is>
      </c>
      <c r="F19" s="7" t="inlineStr">
        <is>
          <t>O</t>
        </is>
      </c>
      <c r="G19" s="7" t="inlineStr">
        <is>
          <t>O</t>
        </is>
      </c>
      <c r="H19" s="7" t="inlineStr">
        <is>
          <t>O</t>
        </is>
      </c>
      <c r="I19" s="3" t="inlineStr"/>
      <c r="J19" s="3" t="inlineStr"/>
      <c r="K19" s="3" t="inlineStr"/>
      <c r="L19" s="3" t="inlineStr"/>
      <c r="M19" s="3" t="inlineStr"/>
    </row>
    <row r="20">
      <c r="A20" s="4" t="n"/>
      <c r="B20" s="4" t="inlineStr">
        <is>
          <t>FP-GAP-SH 틈새시트</t>
        </is>
      </c>
      <c r="C20" s="4" t="inlineStr"/>
      <c r="D20" s="4" t="inlineStr"/>
      <c r="E20" s="4" t="inlineStr"/>
      <c r="F20" s="4" t="inlineStr"/>
      <c r="G20" s="4" t="inlineStr"/>
      <c r="H20" s="4" t="inlineStr"/>
      <c r="I20" s="4" t="inlineStr">
        <is>
          <t>O</t>
        </is>
      </c>
      <c r="J20" s="4" t="inlineStr">
        <is>
          <t>O</t>
        </is>
      </c>
      <c r="K20" s="4" t="inlineStr">
        <is>
          <t>O</t>
        </is>
      </c>
      <c r="L20" s="4" t="inlineStr">
        <is>
          <t>O</t>
        </is>
      </c>
      <c r="M20" s="4" t="inlineStr"/>
    </row>
  </sheetData>
  <mergeCells count="1">
    <mergeCell ref="B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2:I1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2">
      <c r="B2" s="1" t="inlineStr">
        <is>
          <t>소켓 본체 치수 산출 공식</t>
        </is>
      </c>
    </row>
    <row r="4">
      <c r="B4" s="8" t="inlineStr">
        <is>
          <t>공식: 개별소켓 가로 = (개구부W / 소켓수) - 30mm(보강대겹침, 2소켓시)</t>
        </is>
      </c>
    </row>
    <row r="6">
      <c r="A6" s="2" t="n"/>
      <c r="B6" s="2" t="inlineStr">
        <is>
          <t>구조코드</t>
        </is>
      </c>
      <c r="C6" s="2" t="inlineStr">
        <is>
          <t>개구부W</t>
        </is>
      </c>
      <c r="D6" s="2" t="inlineStr">
        <is>
          <t>개구부H</t>
        </is>
      </c>
      <c r="E6" s="2" t="inlineStr">
        <is>
          <t>소켓수</t>
        </is>
      </c>
      <c r="F6" s="2" t="inlineStr">
        <is>
          <t>소켓가로</t>
        </is>
      </c>
      <c r="G6" s="2" t="inlineStr">
        <is>
          <t>소켓세로</t>
        </is>
      </c>
      <c r="H6" s="2" t="inlineStr">
        <is>
          <t>소켓높이</t>
        </is>
      </c>
      <c r="I6" s="2" t="inlineStr">
        <is>
          <t>비고</t>
        </is>
      </c>
    </row>
    <row r="7">
      <c r="A7" s="3" t="n"/>
      <c r="B7" s="3" t="inlineStr">
        <is>
          <t>VT-01</t>
        </is>
      </c>
      <c r="C7" s="3" t="n">
        <v>2700</v>
      </c>
      <c r="D7" s="3" t="n">
        <v>750</v>
      </c>
      <c r="E7" s="3" t="n">
        <v>2</v>
      </c>
      <c r="F7" s="3" t="n">
        <v>1320</v>
      </c>
      <c r="G7" s="3" t="n">
        <v>750</v>
      </c>
      <c r="H7" s="3" t="n">
        <v>200</v>
      </c>
      <c r="I7" s="3" t="inlineStr">
        <is>
          <t>(2700/2)-30=1320</t>
        </is>
      </c>
    </row>
    <row r="8">
      <c r="A8" s="4" t="n"/>
      <c r="B8" s="4" t="inlineStr">
        <is>
          <t>VS-01</t>
        </is>
      </c>
      <c r="C8" s="4" t="n">
        <v>2700</v>
      </c>
      <c r="D8" s="4" t="n">
        <v>750</v>
      </c>
      <c r="E8" s="4" t="n">
        <v>2</v>
      </c>
      <c r="F8" s="4" t="n">
        <v>1320</v>
      </c>
      <c r="G8" s="4" t="n">
        <v>750</v>
      </c>
      <c r="H8" s="4" t="n">
        <v>200</v>
      </c>
      <c r="I8" s="4" t="inlineStr">
        <is>
          <t>이종규격: VS200+VG200</t>
        </is>
      </c>
    </row>
    <row r="9">
      <c r="A9" s="3" t="n"/>
      <c r="B9" s="3" t="inlineStr">
        <is>
          <t>VT-049</t>
        </is>
      </c>
      <c r="C9" s="3" t="n">
        <v>1500</v>
      </c>
      <c r="D9" s="3" t="n">
        <v>450</v>
      </c>
      <c r="E9" s="3" t="n">
        <v>1</v>
      </c>
      <c r="F9" s="3" t="n">
        <v>1500</v>
      </c>
      <c r="G9" s="3" t="n">
        <v>450</v>
      </c>
      <c r="H9" s="3" t="n">
        <v>200</v>
      </c>
      <c r="I9" s="3" t="inlineStr"/>
    </row>
    <row r="10">
      <c r="A10" s="4" t="n"/>
      <c r="B10" s="4" t="inlineStr">
        <is>
          <t>VA-064</t>
        </is>
      </c>
      <c r="C10" s="4" t="n">
        <v>1700</v>
      </c>
      <c r="D10" s="4" t="n">
        <v>500</v>
      </c>
      <c r="E10" s="4" t="n">
        <v>1</v>
      </c>
      <c r="F10" s="4" t="n">
        <v>1700</v>
      </c>
      <c r="G10" s="4" t="n">
        <v>500</v>
      </c>
      <c r="H10" s="4" t="n">
        <v>200</v>
      </c>
      <c r="I10" s="4" t="inlineStr"/>
    </row>
    <row r="11">
      <c r="A11" s="3" t="n"/>
      <c r="B11" s="3" t="inlineStr">
        <is>
          <t>VT-064</t>
        </is>
      </c>
      <c r="C11" s="3" t="n">
        <v>1700</v>
      </c>
      <c r="D11" s="3" t="n">
        <v>500</v>
      </c>
      <c r="E11" s="3" t="n">
        <v>1</v>
      </c>
      <c r="F11" s="3" t="n">
        <v>1700</v>
      </c>
      <c r="G11" s="3" t="n">
        <v>500</v>
      </c>
      <c r="H11" s="3" t="n">
        <v>200</v>
      </c>
      <c r="I11" s="3" t="inlineStr"/>
    </row>
    <row r="12">
      <c r="A12" s="4" t="n"/>
      <c r="B12" s="4" t="inlineStr">
        <is>
          <t>VAG-1.69</t>
        </is>
      </c>
      <c r="C12" s="4" t="n">
        <v>2700</v>
      </c>
      <c r="D12" s="4" t="n">
        <v>750</v>
      </c>
      <c r="E12" s="4" t="n">
        <v>2</v>
      </c>
      <c r="F12" s="4" t="n">
        <v>1270</v>
      </c>
      <c r="G12" s="4" t="n">
        <v>650</v>
      </c>
      <c r="H12" s="4" t="n">
        <v>200</v>
      </c>
      <c r="I12" s="4" t="inlineStr">
        <is>
          <t>1270×650 ×2 → 2600×650</t>
        </is>
      </c>
    </row>
    <row r="13">
      <c r="A13" s="3" t="n"/>
      <c r="B13" s="3" t="inlineStr">
        <is>
          <t>VTI-064</t>
        </is>
      </c>
      <c r="C13" s="3" t="n">
        <v>1700</v>
      </c>
      <c r="D13" s="3" t="n">
        <v>500</v>
      </c>
      <c r="E13" s="3" t="n">
        <v>1</v>
      </c>
      <c r="F13" s="3" t="n">
        <v>1700</v>
      </c>
      <c r="G13" s="3" t="n">
        <v>500</v>
      </c>
      <c r="H13" s="3" t="n">
        <v>200</v>
      </c>
      <c r="I13" s="3" t="inlineStr"/>
    </row>
    <row r="14">
      <c r="A14" s="4" t="n"/>
      <c r="B14" s="4" t="inlineStr">
        <is>
          <t>HAG-1.69</t>
        </is>
      </c>
      <c r="C14" s="4" t="n">
        <v>2700</v>
      </c>
      <c r="D14" s="4" t="n">
        <v>750</v>
      </c>
      <c r="E14" s="4" t="n">
        <v>2</v>
      </c>
      <c r="F14" s="4" t="n">
        <v>1320</v>
      </c>
      <c r="G14" s="4" t="n">
        <v>750</v>
      </c>
      <c r="H14" s="4" t="n">
        <v>300</v>
      </c>
      <c r="I14" s="4" t="inlineStr">
        <is>
          <t>바닥형 높이300</t>
        </is>
      </c>
    </row>
    <row r="15">
      <c r="A15" s="3" t="n"/>
      <c r="B15" s="3" t="inlineStr">
        <is>
          <t>HTG-1.69</t>
        </is>
      </c>
      <c r="C15" s="3" t="n">
        <v>2760</v>
      </c>
      <c r="D15" s="3" t="n">
        <v>810</v>
      </c>
      <c r="E15" s="3" t="n">
        <v>2</v>
      </c>
      <c r="F15" s="3" t="n">
        <v>1350</v>
      </c>
      <c r="G15" s="3" t="n">
        <v>810</v>
      </c>
      <c r="H15" s="3" t="n">
        <v>300</v>
      </c>
      <c r="I15" s="3" t="inlineStr">
        <is>
          <t>(2760/2)-30=1350</t>
        </is>
      </c>
    </row>
    <row r="16">
      <c r="A16" s="4" t="n"/>
      <c r="B16" s="4" t="inlineStr">
        <is>
          <t>HTG-064</t>
        </is>
      </c>
      <c r="C16" s="4" t="n">
        <v>1760</v>
      </c>
      <c r="D16" s="4" t="n">
        <v>560</v>
      </c>
      <c r="E16" s="4" t="n">
        <v>1</v>
      </c>
      <c r="F16" s="4" t="n">
        <v>1760</v>
      </c>
      <c r="G16" s="4" t="n">
        <v>560</v>
      </c>
      <c r="H16" s="4" t="n">
        <v>300</v>
      </c>
      <c r="I16" s="4" t="inlineStr"/>
    </row>
    <row r="17">
      <c r="A17" s="3" t="n"/>
      <c r="B17" s="3" t="inlineStr">
        <is>
          <t>HTG(DC)-064</t>
        </is>
      </c>
      <c r="C17" s="3" t="n">
        <v>1600</v>
      </c>
      <c r="D17" s="3" t="n">
        <v>400</v>
      </c>
      <c r="E17" s="3" t="n">
        <v>1</v>
      </c>
      <c r="F17" s="3" t="n">
        <v>1600</v>
      </c>
      <c r="G17" s="3" t="n">
        <v>400</v>
      </c>
      <c r="H17" s="3" t="n">
        <v>300</v>
      </c>
      <c r="I17" s="3" t="inlineStr">
        <is>
          <t>DC형</t>
        </is>
      </c>
    </row>
  </sheetData>
  <mergeCells count="2">
    <mergeCell ref="B4:H4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2026-03-30T15:40:48Z</dcterms:created>
  <dcterms:modified xmlns:dcterms="http://purl.org/dc/terms/" xmlns:xsi="http://www.w3.org/2001/XMLSchema-instance" xsi:type="dcterms:W3CDTF">2026-03-30T15:40:48Z</dcterms:modified>
</cp:coreProperties>
</file>